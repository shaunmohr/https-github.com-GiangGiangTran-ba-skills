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plit Data" sheetId="1" state="visible" r:id="rId1"/>
    <sheet name="Summary by Resource" sheetId="2" state="visible" r:id="rId2"/>
    <sheet name="Formula Reference" sheetId="3" state="visible" r:id="rId3"/>
  </sheets>
  <definedNames>
    <definedName name="_xlnm._FilterDatabase" localSheetId="0" hidden="1">'Shift Split Data'!$A$1:$G$7481</definedName>
    <definedName name="_xlnm._FilterDatabase" localSheetId="1" hidden="1">'Summary by Resource'!$A$1:$D$95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:SS"/>
    <numFmt numFmtId="166" formatCode="DD/MM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ourier New"/>
      <color rgb="001F3864"/>
      <sz val="10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AFE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65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165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4" customWidth="1" min="5" max="5"/>
    <col width="13" customWidth="1" min="6" max="6"/>
    <col width="13" customWidth="1" min="7" max="7"/>
  </cols>
  <sheetData>
    <row r="1" ht="20" customHeight="1">
      <c r="A1" s="1" t="inlineStr">
        <is>
          <t>Resource</t>
        </is>
      </c>
      <c r="B1" s="1" t="inlineStr">
        <is>
          <t>Start Date &amp; Time</t>
        </is>
      </c>
      <c r="C1" s="1" t="inlineStr">
        <is>
          <t>End Date &amp; Time</t>
        </is>
      </c>
      <c r="D1" s="1" t="inlineStr">
        <is>
          <t>Duration (hrs)</t>
        </is>
      </c>
      <c r="E1" s="1" t="inlineStr">
        <is>
          <t>Shift Type</t>
        </is>
      </c>
      <c r="F1" s="1" t="inlineStr">
        <is>
          <t>Start Date</t>
        </is>
      </c>
      <c r="G1" s="1" t="inlineStr">
        <is>
          <t>End Date</t>
        </is>
      </c>
    </row>
    <row r="2">
      <c r="A2" s="2" t="inlineStr">
        <is>
          <t>EXD60</t>
        </is>
      </c>
      <c r="B2" s="3" t="n">
        <v>46050.52083333334</v>
      </c>
      <c r="C2" s="3" t="n">
        <v>46050.75</v>
      </c>
      <c r="D2" s="4">
        <f>(C2-B2)*24</f>
        <v/>
      </c>
      <c r="E2" s="5">
        <f>IF(AND(HOUR(B2)&gt;=6,HOUR(B2)&lt;18),"Day Shift","Night Shift")</f>
        <v/>
      </c>
      <c r="F2" s="6">
        <f>INT(B2)</f>
        <v/>
      </c>
      <c r="G2" s="6">
        <f>INT(C2)</f>
        <v/>
      </c>
    </row>
    <row r="3">
      <c r="A3" s="7" t="inlineStr">
        <is>
          <t>EXD60</t>
        </is>
      </c>
      <c r="B3" s="8" t="n">
        <v>46050.75</v>
      </c>
      <c r="C3" s="8" t="n">
        <v>46050.95311342592</v>
      </c>
      <c r="D3" s="9">
        <f>(C3-B3)*24</f>
        <v/>
      </c>
      <c r="E3" s="10">
        <f>IF(AND(HOUR(B3)&gt;=6,HOUR(B3)&lt;18),"Day Shift","Night Shift")</f>
        <v/>
      </c>
      <c r="F3" s="11">
        <f>INT(B3)</f>
        <v/>
      </c>
      <c r="G3" s="11">
        <f>INT(C3)</f>
        <v/>
      </c>
    </row>
    <row r="4">
      <c r="A4" s="2" t="inlineStr">
        <is>
          <t>EXD73</t>
        </is>
      </c>
      <c r="B4" s="3" t="n">
        <v>46050.52083333334</v>
      </c>
      <c r="C4" s="3" t="n">
        <v>46050.75</v>
      </c>
      <c r="D4" s="4">
        <f>(C4-B4)*24</f>
        <v/>
      </c>
      <c r="E4" s="5">
        <f>IF(AND(HOUR(B4)&gt;=6,HOUR(B4)&lt;18),"Day Shift","Night Shift")</f>
        <v/>
      </c>
      <c r="F4" s="6">
        <f>INT(B4)</f>
        <v/>
      </c>
      <c r="G4" s="6">
        <f>INT(C4)</f>
        <v/>
      </c>
    </row>
    <row r="5">
      <c r="A5" s="7" t="inlineStr">
        <is>
          <t>EXD73</t>
        </is>
      </c>
      <c r="B5" s="8" t="n">
        <v>46050.75</v>
      </c>
      <c r="C5" s="8" t="n">
        <v>46050.84688657407</v>
      </c>
      <c r="D5" s="9">
        <f>(C5-B5)*24</f>
        <v/>
      </c>
      <c r="E5" s="10">
        <f>IF(AND(HOUR(B5)&gt;=6,HOUR(B5)&lt;18),"Day Shift","Night Shift")</f>
        <v/>
      </c>
      <c r="F5" s="11">
        <f>INT(B5)</f>
        <v/>
      </c>
      <c r="G5" s="11">
        <f>INT(C5)</f>
        <v/>
      </c>
    </row>
    <row r="6">
      <c r="A6" s="2" t="inlineStr">
        <is>
          <t>EXD408</t>
        </is>
      </c>
      <c r="B6" s="3" t="n">
        <v>46050.52083333334</v>
      </c>
      <c r="C6" s="3" t="n">
        <v>46050.75</v>
      </c>
      <c r="D6" s="4">
        <f>(C6-B6)*24</f>
        <v/>
      </c>
      <c r="E6" s="5">
        <f>IF(AND(HOUR(B6)&gt;=6,HOUR(B6)&lt;18),"Day Shift","Night Shift")</f>
        <v/>
      </c>
      <c r="F6" s="6">
        <f>INT(B6)</f>
        <v/>
      </c>
      <c r="G6" s="6">
        <f>INT(C6)</f>
        <v/>
      </c>
    </row>
    <row r="7">
      <c r="A7" s="7" t="inlineStr">
        <is>
          <t>EXD408</t>
        </is>
      </c>
      <c r="B7" s="8" t="n">
        <v>46050.75</v>
      </c>
      <c r="C7" s="8" t="n">
        <v>46050.89243055556</v>
      </c>
      <c r="D7" s="9">
        <f>(C7-B7)*24</f>
        <v/>
      </c>
      <c r="E7" s="10">
        <f>IF(AND(HOUR(B7)&gt;=6,HOUR(B7)&lt;18),"Day Shift","Night Shift")</f>
        <v/>
      </c>
      <c r="F7" s="11">
        <f>INT(B7)</f>
        <v/>
      </c>
      <c r="G7" s="11">
        <f>INT(C7)</f>
        <v/>
      </c>
    </row>
    <row r="8">
      <c r="A8" s="2" t="inlineStr">
        <is>
          <t>EXD61</t>
        </is>
      </c>
      <c r="B8" s="3" t="n">
        <v>46050.52842592593</v>
      </c>
      <c r="C8" s="3" t="n">
        <v>46050.72457175926</v>
      </c>
      <c r="D8" s="4">
        <f>(C8-B8)*24</f>
        <v/>
      </c>
      <c r="E8" s="5">
        <f>IF(AND(HOUR(B8)&gt;=6,HOUR(B8)&lt;18),"Day Shift","Night Shift")</f>
        <v/>
      </c>
      <c r="F8" s="6">
        <f>INT(B8)</f>
        <v/>
      </c>
      <c r="G8" s="6">
        <f>INT(C8)</f>
        <v/>
      </c>
    </row>
    <row r="9">
      <c r="A9" s="2" t="inlineStr">
        <is>
          <t>EXD409</t>
        </is>
      </c>
      <c r="B9" s="3" t="n">
        <v>46050.57243055556</v>
      </c>
      <c r="C9" s="3" t="n">
        <v>46050.75</v>
      </c>
      <c r="D9" s="4">
        <f>(C9-B9)*24</f>
        <v/>
      </c>
      <c r="E9" s="5">
        <f>IF(AND(HOUR(B9)&gt;=6,HOUR(B9)&lt;18),"Day Shift","Night Shift")</f>
        <v/>
      </c>
      <c r="F9" s="6">
        <f>INT(B9)</f>
        <v/>
      </c>
      <c r="G9" s="6">
        <f>INT(C9)</f>
        <v/>
      </c>
    </row>
    <row r="10">
      <c r="A10" s="7" t="inlineStr">
        <is>
          <t>EXD409</t>
        </is>
      </c>
      <c r="B10" s="8" t="n">
        <v>46050.75</v>
      </c>
      <c r="C10" s="8" t="n">
        <v>46050.82712962963</v>
      </c>
      <c r="D10" s="9">
        <f>(C10-B10)*24</f>
        <v/>
      </c>
      <c r="E10" s="10">
        <f>IF(AND(HOUR(B10)&gt;=6,HOUR(B10)&lt;18),"Day Shift","Night Shift")</f>
        <v/>
      </c>
      <c r="F10" s="11">
        <f>INT(B10)</f>
        <v/>
      </c>
      <c r="G10" s="11">
        <f>INT(C10)</f>
        <v/>
      </c>
    </row>
    <row r="11">
      <c r="A11" s="2" t="inlineStr">
        <is>
          <t>SHE36</t>
        </is>
      </c>
      <c r="B11" s="3" t="n">
        <v>46050.654375</v>
      </c>
      <c r="C11" s="3" t="n">
        <v>46050.75</v>
      </c>
      <c r="D11" s="4">
        <f>(C11-B11)*24</f>
        <v/>
      </c>
      <c r="E11" s="5">
        <f>IF(AND(HOUR(B11)&gt;=6,HOUR(B11)&lt;18),"Day Shift","Night Shift")</f>
        <v/>
      </c>
      <c r="F11" s="6">
        <f>INT(B11)</f>
        <v/>
      </c>
      <c r="G11" s="6">
        <f>INT(C11)</f>
        <v/>
      </c>
    </row>
    <row r="12">
      <c r="A12" s="7" t="inlineStr">
        <is>
          <t>SHE36</t>
        </is>
      </c>
      <c r="B12" s="8" t="n">
        <v>46050.75</v>
      </c>
      <c r="C12" s="8" t="n">
        <v>46050.83034722223</v>
      </c>
      <c r="D12" s="9">
        <f>(C12-B12)*24</f>
        <v/>
      </c>
      <c r="E12" s="10">
        <f>IF(AND(HOUR(B12)&gt;=6,HOUR(B12)&lt;18),"Day Shift","Night Shift")</f>
        <v/>
      </c>
      <c r="F12" s="11">
        <f>INT(B12)</f>
        <v/>
      </c>
      <c r="G12" s="11">
        <f>INT(C12)</f>
        <v/>
      </c>
    </row>
    <row r="13">
      <c r="A13" s="7" t="inlineStr">
        <is>
          <t>EXD61</t>
        </is>
      </c>
      <c r="B13" s="8" t="n">
        <v>46050.78315972222</v>
      </c>
      <c r="C13" s="8" t="n">
        <v>46051.25</v>
      </c>
      <c r="D13" s="9">
        <f>(C13-B13)*24</f>
        <v/>
      </c>
      <c r="E13" s="10">
        <f>IF(AND(HOUR(B13)&gt;=6,HOUR(B13)&lt;18),"Day Shift","Night Shift")</f>
        <v/>
      </c>
      <c r="F13" s="11">
        <f>INT(B13)</f>
        <v/>
      </c>
      <c r="G13" s="11">
        <f>INT(C13)</f>
        <v/>
      </c>
    </row>
    <row r="14">
      <c r="A14" s="2" t="inlineStr">
        <is>
          <t>EXD61</t>
        </is>
      </c>
      <c r="B14" s="3" t="n">
        <v>46051.25</v>
      </c>
      <c r="C14" s="3" t="n">
        <v>46051.75</v>
      </c>
      <c r="D14" s="4">
        <f>(C14-B14)*24</f>
        <v/>
      </c>
      <c r="E14" s="5">
        <f>IF(AND(HOUR(B14)&gt;=6,HOUR(B14)&lt;18),"Day Shift","Night Shift")</f>
        <v/>
      </c>
      <c r="F14" s="6">
        <f>INT(B14)</f>
        <v/>
      </c>
      <c r="G14" s="6">
        <f>INT(C14)</f>
        <v/>
      </c>
    </row>
    <row r="15">
      <c r="A15" s="7" t="inlineStr">
        <is>
          <t>EXD61</t>
        </is>
      </c>
      <c r="B15" s="8" t="n">
        <v>46051.75</v>
      </c>
      <c r="C15" s="8" t="n">
        <v>46051.87783564815</v>
      </c>
      <c r="D15" s="9">
        <f>(C15-B15)*24</f>
        <v/>
      </c>
      <c r="E15" s="10">
        <f>IF(AND(HOUR(B15)&gt;=6,HOUR(B15)&lt;18),"Day Shift","Night Shift")</f>
        <v/>
      </c>
      <c r="F15" s="11">
        <f>INT(B15)</f>
        <v/>
      </c>
      <c r="G15" s="11">
        <f>INT(C15)</f>
        <v/>
      </c>
    </row>
    <row r="16">
      <c r="A16" s="7" t="inlineStr">
        <is>
          <t>EXD100</t>
        </is>
      </c>
      <c r="B16" s="8" t="n">
        <v>46050.8025462963</v>
      </c>
      <c r="C16" s="8" t="n">
        <v>46051.25</v>
      </c>
      <c r="D16" s="9">
        <f>(C16-B16)*24</f>
        <v/>
      </c>
      <c r="E16" s="10">
        <f>IF(AND(HOUR(B16)&gt;=6,HOUR(B16)&lt;18),"Day Shift","Night Shift")</f>
        <v/>
      </c>
      <c r="F16" s="11">
        <f>INT(B16)</f>
        <v/>
      </c>
      <c r="G16" s="11">
        <f>INT(C16)</f>
        <v/>
      </c>
    </row>
    <row r="17">
      <c r="A17" s="2" t="inlineStr">
        <is>
          <t>EXD100</t>
        </is>
      </c>
      <c r="B17" s="3" t="n">
        <v>46051.25</v>
      </c>
      <c r="C17" s="3" t="n">
        <v>46051.30186342593</v>
      </c>
      <c r="D17" s="4">
        <f>(C17-B17)*24</f>
        <v/>
      </c>
      <c r="E17" s="5">
        <f>IF(AND(HOUR(B17)&gt;=6,HOUR(B17)&lt;18),"Day Shift","Night Shift")</f>
        <v/>
      </c>
      <c r="F17" s="6">
        <f>INT(B17)</f>
        <v/>
      </c>
      <c r="G17" s="6">
        <f>INT(C17)</f>
        <v/>
      </c>
    </row>
    <row r="18">
      <c r="A18" s="7" t="inlineStr">
        <is>
          <t>SHE36</t>
        </is>
      </c>
      <c r="B18" s="8" t="n">
        <v>46050.83034722223</v>
      </c>
      <c r="C18" s="8" t="n">
        <v>46051.25</v>
      </c>
      <c r="D18" s="9">
        <f>(C18-B18)*24</f>
        <v/>
      </c>
      <c r="E18" s="10">
        <f>IF(AND(HOUR(B18)&gt;=6,HOUR(B18)&lt;18),"Day Shift","Night Shift")</f>
        <v/>
      </c>
      <c r="F18" s="11">
        <f>INT(B18)</f>
        <v/>
      </c>
      <c r="G18" s="11">
        <f>INT(C18)</f>
        <v/>
      </c>
    </row>
    <row r="19">
      <c r="A19" s="2" t="inlineStr">
        <is>
          <t>SHE36</t>
        </is>
      </c>
      <c r="B19" s="3" t="n">
        <v>46051.25</v>
      </c>
      <c r="C19" s="3" t="n">
        <v>46051.66239583334</v>
      </c>
      <c r="D19" s="4">
        <f>(C19-B19)*24</f>
        <v/>
      </c>
      <c r="E19" s="5">
        <f>IF(AND(HOUR(B19)&gt;=6,HOUR(B19)&lt;18),"Day Shift","Night Shift")</f>
        <v/>
      </c>
      <c r="F19" s="6">
        <f>INT(B19)</f>
        <v/>
      </c>
      <c r="G19" s="6">
        <f>INT(C19)</f>
        <v/>
      </c>
    </row>
    <row r="20">
      <c r="A20" s="7" t="inlineStr">
        <is>
          <t>EXD407</t>
        </is>
      </c>
      <c r="B20" s="8" t="n">
        <v>46050.83280092593</v>
      </c>
      <c r="C20" s="8" t="n">
        <v>46051.19703703704</v>
      </c>
      <c r="D20" s="9">
        <f>(C20-B20)*24</f>
        <v/>
      </c>
      <c r="E20" s="10">
        <f>IF(AND(HOUR(B20)&gt;=6,HOUR(B20)&lt;18),"Day Shift","Night Shift")</f>
        <v/>
      </c>
      <c r="F20" s="11">
        <f>INT(B20)</f>
        <v/>
      </c>
      <c r="G20" s="11">
        <f>INT(C20)</f>
        <v/>
      </c>
    </row>
    <row r="21">
      <c r="A21" s="7" t="inlineStr">
        <is>
          <t>EXD56</t>
        </is>
      </c>
      <c r="B21" s="8" t="n">
        <v>46050.83894675926</v>
      </c>
      <c r="C21" s="8" t="n">
        <v>46051.25</v>
      </c>
      <c r="D21" s="9">
        <f>(C21-B21)*24</f>
        <v/>
      </c>
      <c r="E21" s="10">
        <f>IF(AND(HOUR(B21)&gt;=6,HOUR(B21)&lt;18),"Day Shift","Night Shift")</f>
        <v/>
      </c>
      <c r="F21" s="11">
        <f>INT(B21)</f>
        <v/>
      </c>
      <c r="G21" s="11">
        <f>INT(C21)</f>
        <v/>
      </c>
    </row>
    <row r="22">
      <c r="A22" s="2" t="inlineStr">
        <is>
          <t>EXD56</t>
        </is>
      </c>
      <c r="B22" s="3" t="n">
        <v>46051.25</v>
      </c>
      <c r="C22" s="3" t="n">
        <v>46051.45171296296</v>
      </c>
      <c r="D22" s="4">
        <f>(C22-B22)*24</f>
        <v/>
      </c>
      <c r="E22" s="5">
        <f>IF(AND(HOUR(B22)&gt;=6,HOUR(B22)&lt;18),"Day Shift","Night Shift")</f>
        <v/>
      </c>
      <c r="F22" s="6">
        <f>INT(B22)</f>
        <v/>
      </c>
      <c r="G22" s="6">
        <f>INT(C22)</f>
        <v/>
      </c>
    </row>
    <row r="23">
      <c r="A23" s="7" t="inlineStr">
        <is>
          <t>EXD409</t>
        </is>
      </c>
      <c r="B23" s="8" t="n">
        <v>46050.86130787037</v>
      </c>
      <c r="C23" s="8" t="n">
        <v>46051.19315972222</v>
      </c>
      <c r="D23" s="9">
        <f>(C23-B23)*24</f>
        <v/>
      </c>
      <c r="E23" s="10">
        <f>IF(AND(HOUR(B23)&gt;=6,HOUR(B23)&lt;18),"Day Shift","Night Shift")</f>
        <v/>
      </c>
      <c r="F23" s="11">
        <f>INT(B23)</f>
        <v/>
      </c>
      <c r="G23" s="11">
        <f>INT(C23)</f>
        <v/>
      </c>
    </row>
    <row r="24">
      <c r="A24" s="7" t="inlineStr">
        <is>
          <t>EXD101</t>
        </is>
      </c>
      <c r="B24" s="8" t="n">
        <v>46050.88125</v>
      </c>
      <c r="C24" s="8" t="n">
        <v>46051.25</v>
      </c>
      <c r="D24" s="9">
        <f>(C24-B24)*24</f>
        <v/>
      </c>
      <c r="E24" s="10">
        <f>IF(AND(HOUR(B24)&gt;=6,HOUR(B24)&lt;18),"Day Shift","Night Shift")</f>
        <v/>
      </c>
      <c r="F24" s="11">
        <f>INT(B24)</f>
        <v/>
      </c>
      <c r="G24" s="11">
        <f>INT(C24)</f>
        <v/>
      </c>
    </row>
    <row r="25">
      <c r="A25" s="2" t="inlineStr">
        <is>
          <t>EXD101</t>
        </is>
      </c>
      <c r="B25" s="3" t="n">
        <v>46051.25</v>
      </c>
      <c r="C25" s="3" t="n">
        <v>46051.75</v>
      </c>
      <c r="D25" s="4">
        <f>(C25-B25)*24</f>
        <v/>
      </c>
      <c r="E25" s="5">
        <f>IF(AND(HOUR(B25)&gt;=6,HOUR(B25)&lt;18),"Day Shift","Night Shift")</f>
        <v/>
      </c>
      <c r="F25" s="6">
        <f>INT(B25)</f>
        <v/>
      </c>
      <c r="G25" s="6">
        <f>INT(C25)</f>
        <v/>
      </c>
    </row>
    <row r="26">
      <c r="A26" s="7" t="inlineStr">
        <is>
          <t>EXD101</t>
        </is>
      </c>
      <c r="B26" s="8" t="n">
        <v>46051.75</v>
      </c>
      <c r="C26" s="8" t="n">
        <v>46052.05361111111</v>
      </c>
      <c r="D26" s="9">
        <f>(C26-B26)*24</f>
        <v/>
      </c>
      <c r="E26" s="10">
        <f>IF(AND(HOUR(B26)&gt;=6,HOUR(B26)&lt;18),"Day Shift","Night Shift")</f>
        <v/>
      </c>
      <c r="F26" s="11">
        <f>INT(B26)</f>
        <v/>
      </c>
      <c r="G26" s="11">
        <f>INT(C26)</f>
        <v/>
      </c>
    </row>
    <row r="27">
      <c r="A27" s="7" t="inlineStr">
        <is>
          <t>EXD408</t>
        </is>
      </c>
      <c r="B27" s="8" t="n">
        <v>46050.89243055556</v>
      </c>
      <c r="C27" s="8" t="n">
        <v>46051.22697916667</v>
      </c>
      <c r="D27" s="9">
        <f>(C27-B27)*24</f>
        <v/>
      </c>
      <c r="E27" s="10">
        <f>IF(AND(HOUR(B27)&gt;=6,HOUR(B27)&lt;18),"Day Shift","Night Shift")</f>
        <v/>
      </c>
      <c r="F27" s="11">
        <f>INT(B27)</f>
        <v/>
      </c>
      <c r="G27" s="11">
        <f>INT(C27)</f>
        <v/>
      </c>
    </row>
    <row r="28">
      <c r="A28" s="7" t="inlineStr">
        <is>
          <t>EXD98</t>
        </is>
      </c>
      <c r="B28" s="8" t="n">
        <v>46051.05454861111</v>
      </c>
      <c r="C28" s="8" t="n">
        <v>46051.25</v>
      </c>
      <c r="D28" s="9">
        <f>(C28-B28)*24</f>
        <v/>
      </c>
      <c r="E28" s="10">
        <f>IF(AND(HOUR(B28)&gt;=6,HOUR(B28)&lt;18),"Day Shift","Night Shift")</f>
        <v/>
      </c>
      <c r="F28" s="11">
        <f>INT(B28)</f>
        <v/>
      </c>
      <c r="G28" s="11">
        <f>INT(C28)</f>
        <v/>
      </c>
    </row>
    <row r="29">
      <c r="A29" s="2" t="inlineStr">
        <is>
          <t>EXD98</t>
        </is>
      </c>
      <c r="B29" s="3" t="n">
        <v>46051.25</v>
      </c>
      <c r="C29" s="3" t="n">
        <v>46051.68425925926</v>
      </c>
      <c r="D29" s="4">
        <f>(C29-B29)*24</f>
        <v/>
      </c>
      <c r="E29" s="5">
        <f>IF(AND(HOUR(B29)&gt;=6,HOUR(B29)&lt;18),"Day Shift","Night Shift")</f>
        <v/>
      </c>
      <c r="F29" s="6">
        <f>INT(B29)</f>
        <v/>
      </c>
      <c r="G29" s="6">
        <f>INT(C29)</f>
        <v/>
      </c>
    </row>
    <row r="30">
      <c r="A30" s="7" t="inlineStr">
        <is>
          <t>EXD60</t>
        </is>
      </c>
      <c r="B30" s="8" t="n">
        <v>46051.07819444445</v>
      </c>
      <c r="C30" s="8" t="n">
        <v>46051.25</v>
      </c>
      <c r="D30" s="9">
        <f>(C30-B30)*24</f>
        <v/>
      </c>
      <c r="E30" s="10">
        <f>IF(AND(HOUR(B30)&gt;=6,HOUR(B30)&lt;18),"Day Shift","Night Shift")</f>
        <v/>
      </c>
      <c r="F30" s="11">
        <f>INT(B30)</f>
        <v/>
      </c>
      <c r="G30" s="11">
        <f>INT(C30)</f>
        <v/>
      </c>
    </row>
    <row r="31">
      <c r="A31" s="2" t="inlineStr">
        <is>
          <t>EXD60</t>
        </is>
      </c>
      <c r="B31" s="3" t="n">
        <v>46051.25</v>
      </c>
      <c r="C31" s="3" t="n">
        <v>46051.41717592593</v>
      </c>
      <c r="D31" s="4">
        <f>(C31-B31)*24</f>
        <v/>
      </c>
      <c r="E31" s="5">
        <f>IF(AND(HOUR(B31)&gt;=6,HOUR(B31)&lt;18),"Day Shift","Night Shift")</f>
        <v/>
      </c>
      <c r="F31" s="6">
        <f>INT(B31)</f>
        <v/>
      </c>
      <c r="G31" s="6">
        <f>INT(C31)</f>
        <v/>
      </c>
    </row>
    <row r="32">
      <c r="A32" s="7" t="inlineStr">
        <is>
          <t>EXD409</t>
        </is>
      </c>
      <c r="B32" s="8" t="n">
        <v>46051.19315972222</v>
      </c>
      <c r="C32" s="8" t="n">
        <v>46051.25</v>
      </c>
      <c r="D32" s="9">
        <f>(C32-B32)*24</f>
        <v/>
      </c>
      <c r="E32" s="10">
        <f>IF(AND(HOUR(B32)&gt;=6,HOUR(B32)&lt;18),"Day Shift","Night Shift")</f>
        <v/>
      </c>
      <c r="F32" s="11">
        <f>INT(B32)</f>
        <v/>
      </c>
      <c r="G32" s="11">
        <f>INT(C32)</f>
        <v/>
      </c>
    </row>
    <row r="33">
      <c r="A33" s="2" t="inlineStr">
        <is>
          <t>EXD409</t>
        </is>
      </c>
      <c r="B33" s="3" t="n">
        <v>46051.25</v>
      </c>
      <c r="C33" s="3" t="n">
        <v>46051.75</v>
      </c>
      <c r="D33" s="4">
        <f>(C33-B33)*24</f>
        <v/>
      </c>
      <c r="E33" s="5">
        <f>IF(AND(HOUR(B33)&gt;=6,HOUR(B33)&lt;18),"Day Shift","Night Shift")</f>
        <v/>
      </c>
      <c r="F33" s="6">
        <f>INT(B33)</f>
        <v/>
      </c>
      <c r="G33" s="6">
        <f>INT(C33)</f>
        <v/>
      </c>
    </row>
    <row r="34">
      <c r="A34" s="7" t="inlineStr">
        <is>
          <t>EXD409</t>
        </is>
      </c>
      <c r="B34" s="8" t="n">
        <v>46051.75</v>
      </c>
      <c r="C34" s="8" t="n">
        <v>46052.25</v>
      </c>
      <c r="D34" s="9">
        <f>(C34-B34)*24</f>
        <v/>
      </c>
      <c r="E34" s="10">
        <f>IF(AND(HOUR(B34)&gt;=6,HOUR(B34)&lt;18),"Day Shift","Night Shift")</f>
        <v/>
      </c>
      <c r="F34" s="11">
        <f>INT(B34)</f>
        <v/>
      </c>
      <c r="G34" s="11">
        <f>INT(C34)</f>
        <v/>
      </c>
    </row>
    <row r="35">
      <c r="A35" s="2" t="inlineStr">
        <is>
          <t>EXD409</t>
        </is>
      </c>
      <c r="B35" s="3" t="n">
        <v>46052.25</v>
      </c>
      <c r="C35" s="3" t="n">
        <v>46052.33511574074</v>
      </c>
      <c r="D35" s="4">
        <f>(C35-B35)*24</f>
        <v/>
      </c>
      <c r="E35" s="5">
        <f>IF(AND(HOUR(B35)&gt;=6,HOUR(B35)&lt;18),"Day Shift","Night Shift")</f>
        <v/>
      </c>
      <c r="F35" s="6">
        <f>INT(B35)</f>
        <v/>
      </c>
      <c r="G35" s="6">
        <f>INT(C35)</f>
        <v/>
      </c>
    </row>
    <row r="36">
      <c r="A36" s="7" t="inlineStr">
        <is>
          <t>EXD407</t>
        </is>
      </c>
      <c r="B36" s="8" t="n">
        <v>46051.19703703704</v>
      </c>
      <c r="C36" s="8" t="n">
        <v>46051.25</v>
      </c>
      <c r="D36" s="9">
        <f>(C36-B36)*24</f>
        <v/>
      </c>
      <c r="E36" s="10">
        <f>IF(AND(HOUR(B36)&gt;=6,HOUR(B36)&lt;18),"Day Shift","Night Shift")</f>
        <v/>
      </c>
      <c r="F36" s="11">
        <f>INT(B36)</f>
        <v/>
      </c>
      <c r="G36" s="11">
        <f>INT(C36)</f>
        <v/>
      </c>
    </row>
    <row r="37">
      <c r="A37" s="2" t="inlineStr">
        <is>
          <t>EXD407</t>
        </is>
      </c>
      <c r="B37" s="3" t="n">
        <v>46051.25</v>
      </c>
      <c r="C37" s="3" t="n">
        <v>46051.59271990741</v>
      </c>
      <c r="D37" s="4">
        <f>(C37-B37)*24</f>
        <v/>
      </c>
      <c r="E37" s="5">
        <f>IF(AND(HOUR(B37)&gt;=6,HOUR(B37)&lt;18),"Day Shift","Night Shift")</f>
        <v/>
      </c>
      <c r="F37" s="6">
        <f>INT(B37)</f>
        <v/>
      </c>
      <c r="G37" s="6">
        <f>INT(C37)</f>
        <v/>
      </c>
    </row>
    <row r="38">
      <c r="A38" s="2" t="inlineStr">
        <is>
          <t>EXD73</t>
        </is>
      </c>
      <c r="B38" s="3" t="n">
        <v>46051.28195601852</v>
      </c>
      <c r="C38" s="3" t="n">
        <v>46051.50424768519</v>
      </c>
      <c r="D38" s="4">
        <f>(C38-B38)*24</f>
        <v/>
      </c>
      <c r="E38" s="5">
        <f>IF(AND(HOUR(B38)&gt;=6,HOUR(B38)&lt;18),"Day Shift","Night Shift")</f>
        <v/>
      </c>
      <c r="F38" s="6">
        <f>INT(B38)</f>
        <v/>
      </c>
      <c r="G38" s="6">
        <f>INT(C38)</f>
        <v/>
      </c>
    </row>
    <row r="39">
      <c r="A39" s="2" t="inlineStr">
        <is>
          <t>EXD100</t>
        </is>
      </c>
      <c r="B39" s="3" t="n">
        <v>46051.40754629629</v>
      </c>
      <c r="C39" s="3" t="n">
        <v>46051.75</v>
      </c>
      <c r="D39" s="4">
        <f>(C39-B39)*24</f>
        <v/>
      </c>
      <c r="E39" s="5">
        <f>IF(AND(HOUR(B39)&gt;=6,HOUR(B39)&lt;18),"Day Shift","Night Shift")</f>
        <v/>
      </c>
      <c r="F39" s="6">
        <f>INT(B39)</f>
        <v/>
      </c>
      <c r="G39" s="6">
        <f>INT(C39)</f>
        <v/>
      </c>
    </row>
    <row r="40">
      <c r="A40" s="7" t="inlineStr">
        <is>
          <t>EXD100</t>
        </is>
      </c>
      <c r="B40" s="8" t="n">
        <v>46051.75</v>
      </c>
      <c r="C40" s="8" t="n">
        <v>46051.92081018518</v>
      </c>
      <c r="D40" s="9">
        <f>(C40-B40)*24</f>
        <v/>
      </c>
      <c r="E40" s="10">
        <f>IF(AND(HOUR(B40)&gt;=6,HOUR(B40)&lt;18),"Day Shift","Night Shift")</f>
        <v/>
      </c>
      <c r="F40" s="11">
        <f>INT(B40)</f>
        <v/>
      </c>
      <c r="G40" s="11">
        <f>INT(C40)</f>
        <v/>
      </c>
    </row>
    <row r="41">
      <c r="A41" s="2" t="inlineStr">
        <is>
          <t>EXD60</t>
        </is>
      </c>
      <c r="B41" s="3" t="n">
        <v>46051.41717592593</v>
      </c>
      <c r="C41" s="3" t="n">
        <v>46051.75</v>
      </c>
      <c r="D41" s="4">
        <f>(C41-B41)*24</f>
        <v/>
      </c>
      <c r="E41" s="5">
        <f>IF(AND(HOUR(B41)&gt;=6,HOUR(B41)&lt;18),"Day Shift","Night Shift")</f>
        <v/>
      </c>
      <c r="F41" s="6">
        <f>INT(B41)</f>
        <v/>
      </c>
      <c r="G41" s="6">
        <f>INT(C41)</f>
        <v/>
      </c>
    </row>
    <row r="42">
      <c r="A42" s="7" t="inlineStr">
        <is>
          <t>EXD60</t>
        </is>
      </c>
      <c r="B42" s="8" t="n">
        <v>46051.75</v>
      </c>
      <c r="C42" s="8" t="n">
        <v>46051.76702546296</v>
      </c>
      <c r="D42" s="9">
        <f>(C42-B42)*24</f>
        <v/>
      </c>
      <c r="E42" s="10">
        <f>IF(AND(HOUR(B42)&gt;=6,HOUR(B42)&lt;18),"Day Shift","Night Shift")</f>
        <v/>
      </c>
      <c r="F42" s="11">
        <f>INT(B42)</f>
        <v/>
      </c>
      <c r="G42" s="11">
        <f>INT(C42)</f>
        <v/>
      </c>
    </row>
    <row r="43">
      <c r="A43" s="2" t="inlineStr">
        <is>
          <t>EXD73</t>
        </is>
      </c>
      <c r="B43" s="3" t="n">
        <v>46051.50424768519</v>
      </c>
      <c r="C43" s="3" t="n">
        <v>46051.75</v>
      </c>
      <c r="D43" s="4">
        <f>(C43-B43)*24</f>
        <v/>
      </c>
      <c r="E43" s="5">
        <f>IF(AND(HOUR(B43)&gt;=6,HOUR(B43)&lt;18),"Day Shift","Night Shift")</f>
        <v/>
      </c>
      <c r="F43" s="6">
        <f>INT(B43)</f>
        <v/>
      </c>
      <c r="G43" s="6">
        <f>INT(C43)</f>
        <v/>
      </c>
    </row>
    <row r="44">
      <c r="A44" s="7" t="inlineStr">
        <is>
          <t>EXD73</t>
        </is>
      </c>
      <c r="B44" s="8" t="n">
        <v>46051.75</v>
      </c>
      <c r="C44" s="8" t="n">
        <v>46052.25</v>
      </c>
      <c r="D44" s="9">
        <f>(C44-B44)*24</f>
        <v/>
      </c>
      <c r="E44" s="10">
        <f>IF(AND(HOUR(B44)&gt;=6,HOUR(B44)&lt;18),"Day Shift","Night Shift")</f>
        <v/>
      </c>
      <c r="F44" s="11">
        <f>INT(B44)</f>
        <v/>
      </c>
      <c r="G44" s="11">
        <f>INT(C44)</f>
        <v/>
      </c>
    </row>
    <row r="45">
      <c r="A45" s="2" t="inlineStr">
        <is>
          <t>EXD73</t>
        </is>
      </c>
      <c r="B45" s="3" t="n">
        <v>46052.25</v>
      </c>
      <c r="C45" s="3" t="n">
        <v>46052.75</v>
      </c>
      <c r="D45" s="4">
        <f>(C45-B45)*24</f>
        <v/>
      </c>
      <c r="E45" s="5">
        <f>IF(AND(HOUR(B45)&gt;=6,HOUR(B45)&lt;18),"Day Shift","Night Shift")</f>
        <v/>
      </c>
      <c r="F45" s="6">
        <f>INT(B45)</f>
        <v/>
      </c>
      <c r="G45" s="6">
        <f>INT(C45)</f>
        <v/>
      </c>
    </row>
    <row r="46">
      <c r="A46" s="7" t="inlineStr">
        <is>
          <t>EXD73</t>
        </is>
      </c>
      <c r="B46" s="8" t="n">
        <v>46052.75</v>
      </c>
      <c r="C46" s="8" t="n">
        <v>46053.25</v>
      </c>
      <c r="D46" s="9">
        <f>(C46-B46)*24</f>
        <v/>
      </c>
      <c r="E46" s="10">
        <f>IF(AND(HOUR(B46)&gt;=6,HOUR(B46)&lt;18),"Day Shift","Night Shift")</f>
        <v/>
      </c>
      <c r="F46" s="11">
        <f>INT(B46)</f>
        <v/>
      </c>
      <c r="G46" s="11">
        <f>INT(C46)</f>
        <v/>
      </c>
    </row>
    <row r="47">
      <c r="A47" s="2" t="inlineStr">
        <is>
          <t>EXD73</t>
        </is>
      </c>
      <c r="B47" s="3" t="n">
        <v>46053.25</v>
      </c>
      <c r="C47" s="3" t="n">
        <v>46053.41702546296</v>
      </c>
      <c r="D47" s="4">
        <f>(C47-B47)*24</f>
        <v/>
      </c>
      <c r="E47" s="5">
        <f>IF(AND(HOUR(B47)&gt;=6,HOUR(B47)&lt;18),"Day Shift","Night Shift")</f>
        <v/>
      </c>
      <c r="F47" s="6">
        <f>INT(B47)</f>
        <v/>
      </c>
      <c r="G47" s="6">
        <f>INT(C47)</f>
        <v/>
      </c>
    </row>
    <row r="48">
      <c r="A48" s="2" t="inlineStr">
        <is>
          <t>EXD407</t>
        </is>
      </c>
      <c r="B48" s="3" t="n">
        <v>46051.59271990741</v>
      </c>
      <c r="C48" s="3" t="n">
        <v>46051.75</v>
      </c>
      <c r="D48" s="4">
        <f>(C48-B48)*24</f>
        <v/>
      </c>
      <c r="E48" s="5">
        <f>IF(AND(HOUR(B48)&gt;=6,HOUR(B48)&lt;18),"Day Shift","Night Shift")</f>
        <v/>
      </c>
      <c r="F48" s="6">
        <f>INT(B48)</f>
        <v/>
      </c>
      <c r="G48" s="6">
        <f>INT(C48)</f>
        <v/>
      </c>
    </row>
    <row r="49">
      <c r="A49" s="7" t="inlineStr">
        <is>
          <t>EXD407</t>
        </is>
      </c>
      <c r="B49" s="8" t="n">
        <v>46051.75</v>
      </c>
      <c r="C49" s="8" t="n">
        <v>46051.78880787037</v>
      </c>
      <c r="D49" s="9">
        <f>(C49-B49)*24</f>
        <v/>
      </c>
      <c r="E49" s="10">
        <f>IF(AND(HOUR(B49)&gt;=6,HOUR(B49)&lt;18),"Day Shift","Night Shift")</f>
        <v/>
      </c>
      <c r="F49" s="11">
        <f>INT(B49)</f>
        <v/>
      </c>
      <c r="G49" s="11">
        <f>INT(C49)</f>
        <v/>
      </c>
    </row>
    <row r="50">
      <c r="A50" s="2" t="inlineStr">
        <is>
          <t>SHE36</t>
        </is>
      </c>
      <c r="B50" s="3" t="n">
        <v>46051.66239583334</v>
      </c>
      <c r="C50" s="3" t="n">
        <v>46051.75</v>
      </c>
      <c r="D50" s="4">
        <f>(C50-B50)*24</f>
        <v/>
      </c>
      <c r="E50" s="5">
        <f>IF(AND(HOUR(B50)&gt;=6,HOUR(B50)&lt;18),"Day Shift","Night Shift")</f>
        <v/>
      </c>
      <c r="F50" s="6">
        <f>INT(B50)</f>
        <v/>
      </c>
      <c r="G50" s="6">
        <f>INT(C50)</f>
        <v/>
      </c>
    </row>
    <row r="51">
      <c r="A51" s="7" t="inlineStr">
        <is>
          <t>SHE36</t>
        </is>
      </c>
      <c r="B51" s="8" t="n">
        <v>46051.75</v>
      </c>
      <c r="C51" s="8" t="n">
        <v>46052.25</v>
      </c>
      <c r="D51" s="9">
        <f>(C51-B51)*24</f>
        <v/>
      </c>
      <c r="E51" s="10">
        <f>IF(AND(HOUR(B51)&gt;=6,HOUR(B51)&lt;18),"Day Shift","Night Shift")</f>
        <v/>
      </c>
      <c r="F51" s="11">
        <f>INT(B51)</f>
        <v/>
      </c>
      <c r="G51" s="11">
        <f>INT(C51)</f>
        <v/>
      </c>
    </row>
    <row r="52">
      <c r="A52" s="2" t="inlineStr">
        <is>
          <t>SHE36</t>
        </is>
      </c>
      <c r="B52" s="3" t="n">
        <v>46052.25</v>
      </c>
      <c r="C52" s="3" t="n">
        <v>46052.75</v>
      </c>
      <c r="D52" s="4">
        <f>(C52-B52)*24</f>
        <v/>
      </c>
      <c r="E52" s="5">
        <f>IF(AND(HOUR(B52)&gt;=6,HOUR(B52)&lt;18),"Day Shift","Night Shift")</f>
        <v/>
      </c>
      <c r="F52" s="6">
        <f>INT(B52)</f>
        <v/>
      </c>
      <c r="G52" s="6">
        <f>INT(C52)</f>
        <v/>
      </c>
    </row>
    <row r="53">
      <c r="A53" s="7" t="inlineStr">
        <is>
          <t>SHE36</t>
        </is>
      </c>
      <c r="B53" s="8" t="n">
        <v>46052.75</v>
      </c>
      <c r="C53" s="8" t="n">
        <v>46052.85575231481</v>
      </c>
      <c r="D53" s="9">
        <f>(C53-B53)*24</f>
        <v/>
      </c>
      <c r="E53" s="10">
        <f>IF(AND(HOUR(B53)&gt;=6,HOUR(B53)&lt;18),"Day Shift","Night Shift")</f>
        <v/>
      </c>
      <c r="F53" s="11">
        <f>INT(B53)</f>
        <v/>
      </c>
      <c r="G53" s="11">
        <f>INT(C53)</f>
        <v/>
      </c>
    </row>
    <row r="54">
      <c r="A54" s="2" t="inlineStr">
        <is>
          <t>EXD408;EXD98</t>
        </is>
      </c>
      <c r="B54" s="3" t="n">
        <v>46051.67988425926</v>
      </c>
      <c r="C54" s="3" t="n">
        <v>46051.75</v>
      </c>
      <c r="D54" s="4">
        <f>(C54-B54)*24</f>
        <v/>
      </c>
      <c r="E54" s="5">
        <f>IF(AND(HOUR(B54)&gt;=6,HOUR(B54)&lt;18),"Day Shift","Night Shift")</f>
        <v/>
      </c>
      <c r="F54" s="6">
        <f>INT(B54)</f>
        <v/>
      </c>
      <c r="G54" s="6">
        <f>INT(C54)</f>
        <v/>
      </c>
    </row>
    <row r="55">
      <c r="A55" s="7" t="inlineStr">
        <is>
          <t>EXD408;EXD98</t>
        </is>
      </c>
      <c r="B55" s="8" t="n">
        <v>46051.75</v>
      </c>
      <c r="C55" s="8" t="n">
        <v>46052.25</v>
      </c>
      <c r="D55" s="9">
        <f>(C55-B55)*24</f>
        <v/>
      </c>
      <c r="E55" s="10">
        <f>IF(AND(HOUR(B55)&gt;=6,HOUR(B55)&lt;18),"Day Shift","Night Shift")</f>
        <v/>
      </c>
      <c r="F55" s="11">
        <f>INT(B55)</f>
        <v/>
      </c>
      <c r="G55" s="11">
        <f>INT(C55)</f>
        <v/>
      </c>
    </row>
    <row r="56">
      <c r="A56" s="2" t="inlineStr">
        <is>
          <t>EXD408;EXD98</t>
        </is>
      </c>
      <c r="B56" s="3" t="n">
        <v>46052.25</v>
      </c>
      <c r="C56" s="3" t="n">
        <v>46052.75</v>
      </c>
      <c r="D56" s="4">
        <f>(C56-B56)*24</f>
        <v/>
      </c>
      <c r="E56" s="5">
        <f>IF(AND(HOUR(B56)&gt;=6,HOUR(B56)&lt;18),"Day Shift","Night Shift")</f>
        <v/>
      </c>
      <c r="F56" s="6">
        <f>INT(B56)</f>
        <v/>
      </c>
      <c r="G56" s="6">
        <f>INT(C56)</f>
        <v/>
      </c>
    </row>
    <row r="57">
      <c r="A57" s="7" t="inlineStr">
        <is>
          <t>EXD408;EXD98</t>
        </is>
      </c>
      <c r="B57" s="8" t="n">
        <v>46052.75</v>
      </c>
      <c r="C57" s="8" t="n">
        <v>46053.25</v>
      </c>
      <c r="D57" s="9">
        <f>(C57-B57)*24</f>
        <v/>
      </c>
      <c r="E57" s="10">
        <f>IF(AND(HOUR(B57)&gt;=6,HOUR(B57)&lt;18),"Day Shift","Night Shift")</f>
        <v/>
      </c>
      <c r="F57" s="11">
        <f>INT(B57)</f>
        <v/>
      </c>
      <c r="G57" s="11">
        <f>INT(C57)</f>
        <v/>
      </c>
    </row>
    <row r="58">
      <c r="A58" s="2" t="inlineStr">
        <is>
          <t>EXD408;EXD98</t>
        </is>
      </c>
      <c r="B58" s="3" t="n">
        <v>46053.25</v>
      </c>
      <c r="C58" s="3" t="n">
        <v>46053.75</v>
      </c>
      <c r="D58" s="4">
        <f>(C58-B58)*24</f>
        <v/>
      </c>
      <c r="E58" s="5">
        <f>IF(AND(HOUR(B58)&gt;=6,HOUR(B58)&lt;18),"Day Shift","Night Shift")</f>
        <v/>
      </c>
      <c r="F58" s="6">
        <f>INT(B58)</f>
        <v/>
      </c>
      <c r="G58" s="6">
        <f>INT(C58)</f>
        <v/>
      </c>
    </row>
    <row r="59">
      <c r="A59" s="7" t="inlineStr">
        <is>
          <t>EXD408;EXD98</t>
        </is>
      </c>
      <c r="B59" s="8" t="n">
        <v>46053.75</v>
      </c>
      <c r="C59" s="8" t="n">
        <v>46054.25</v>
      </c>
      <c r="D59" s="9">
        <f>(C59-B59)*24</f>
        <v/>
      </c>
      <c r="E59" s="10">
        <f>IF(AND(HOUR(B59)&gt;=6,HOUR(B59)&lt;18),"Day Shift","Night Shift")</f>
        <v/>
      </c>
      <c r="F59" s="11">
        <f>INT(B59)</f>
        <v/>
      </c>
      <c r="G59" s="11">
        <f>INT(C59)</f>
        <v/>
      </c>
    </row>
    <row r="60">
      <c r="A60" s="2" t="inlineStr">
        <is>
          <t>EXD408;EXD98</t>
        </is>
      </c>
      <c r="B60" s="3" t="n">
        <v>46054.25</v>
      </c>
      <c r="C60" s="3" t="n">
        <v>46054.49436342593</v>
      </c>
      <c r="D60" s="4">
        <f>(C60-B60)*24</f>
        <v/>
      </c>
      <c r="E60" s="5">
        <f>IF(AND(HOUR(B60)&gt;=6,HOUR(B60)&lt;18),"Day Shift","Night Shift")</f>
        <v/>
      </c>
      <c r="F60" s="6">
        <f>INT(B60)</f>
        <v/>
      </c>
      <c r="G60" s="6">
        <f>INT(C60)</f>
        <v/>
      </c>
    </row>
    <row r="61">
      <c r="A61" s="2" t="inlineStr">
        <is>
          <t>EXD98</t>
        </is>
      </c>
      <c r="B61" s="3" t="n">
        <v>46051.68425925926</v>
      </c>
      <c r="C61" s="3" t="n">
        <v>46051.75</v>
      </c>
      <c r="D61" s="4">
        <f>(C61-B61)*24</f>
        <v/>
      </c>
      <c r="E61" s="5">
        <f>IF(AND(HOUR(B61)&gt;=6,HOUR(B61)&lt;18),"Day Shift","Night Shift")</f>
        <v/>
      </c>
      <c r="F61" s="6">
        <f>INT(B61)</f>
        <v/>
      </c>
      <c r="G61" s="6">
        <f>INT(C61)</f>
        <v/>
      </c>
    </row>
    <row r="62">
      <c r="A62" s="7" t="inlineStr">
        <is>
          <t>EXD98</t>
        </is>
      </c>
      <c r="B62" s="8" t="n">
        <v>46051.75</v>
      </c>
      <c r="C62" s="8" t="n">
        <v>46051.98537037037</v>
      </c>
      <c r="D62" s="9">
        <f>(C62-B62)*24</f>
        <v/>
      </c>
      <c r="E62" s="10">
        <f>IF(AND(HOUR(B62)&gt;=6,HOUR(B62)&lt;18),"Day Shift","Night Shift")</f>
        <v/>
      </c>
      <c r="F62" s="11">
        <f>INT(B62)</f>
        <v/>
      </c>
      <c r="G62" s="11">
        <f>INT(C62)</f>
        <v/>
      </c>
    </row>
    <row r="63">
      <c r="A63" s="2" t="inlineStr">
        <is>
          <t>EXD56</t>
        </is>
      </c>
      <c r="B63" s="3" t="n">
        <v>46051.74355324074</v>
      </c>
      <c r="C63" s="3" t="n">
        <v>46051.75</v>
      </c>
      <c r="D63" s="4">
        <f>(C63-B63)*24</f>
        <v/>
      </c>
      <c r="E63" s="5">
        <f>IF(AND(HOUR(B63)&gt;=6,HOUR(B63)&lt;18),"Day Shift","Night Shift")</f>
        <v/>
      </c>
      <c r="F63" s="6">
        <f>INT(B63)</f>
        <v/>
      </c>
      <c r="G63" s="6">
        <f>INT(C63)</f>
        <v/>
      </c>
    </row>
    <row r="64">
      <c r="A64" s="7" t="inlineStr">
        <is>
          <t>EXD56</t>
        </is>
      </c>
      <c r="B64" s="8" t="n">
        <v>46051.75</v>
      </c>
      <c r="C64" s="8" t="n">
        <v>46052.25</v>
      </c>
      <c r="D64" s="9">
        <f>(C64-B64)*24</f>
        <v/>
      </c>
      <c r="E64" s="10">
        <f>IF(AND(HOUR(B64)&gt;=6,HOUR(B64)&lt;18),"Day Shift","Night Shift")</f>
        <v/>
      </c>
      <c r="F64" s="11">
        <f>INT(B64)</f>
        <v/>
      </c>
      <c r="G64" s="11">
        <f>INT(C64)</f>
        <v/>
      </c>
    </row>
    <row r="65">
      <c r="A65" s="2" t="inlineStr">
        <is>
          <t>EXD56</t>
        </is>
      </c>
      <c r="B65" s="3" t="n">
        <v>46052.25</v>
      </c>
      <c r="C65" s="3" t="n">
        <v>46052.62390046296</v>
      </c>
      <c r="D65" s="4">
        <f>(C65-B65)*24</f>
        <v/>
      </c>
      <c r="E65" s="5">
        <f>IF(AND(HOUR(B65)&gt;=6,HOUR(B65)&lt;18),"Day Shift","Night Shift")</f>
        <v/>
      </c>
      <c r="F65" s="6">
        <f>INT(B65)</f>
        <v/>
      </c>
      <c r="G65" s="6">
        <f>INT(C65)</f>
        <v/>
      </c>
    </row>
    <row r="66">
      <c r="A66" s="7" t="inlineStr">
        <is>
          <t>EXD61</t>
        </is>
      </c>
      <c r="B66" s="8" t="n">
        <v>46051.87783564815</v>
      </c>
      <c r="C66" s="8" t="n">
        <v>46052.25</v>
      </c>
      <c r="D66" s="9">
        <f>(C66-B66)*24</f>
        <v/>
      </c>
      <c r="E66" s="10">
        <f>IF(AND(HOUR(B66)&gt;=6,HOUR(B66)&lt;18),"Day Shift","Night Shift")</f>
        <v/>
      </c>
      <c r="F66" s="11">
        <f>INT(B66)</f>
        <v/>
      </c>
      <c r="G66" s="11">
        <f>INT(C66)</f>
        <v/>
      </c>
    </row>
    <row r="67">
      <c r="A67" s="2" t="inlineStr">
        <is>
          <t>EXD61</t>
        </is>
      </c>
      <c r="B67" s="3" t="n">
        <v>46052.25</v>
      </c>
      <c r="C67" s="3" t="n">
        <v>46052.45118055555</v>
      </c>
      <c r="D67" s="4">
        <f>(C67-B67)*24</f>
        <v/>
      </c>
      <c r="E67" s="5">
        <f>IF(AND(HOUR(B67)&gt;=6,HOUR(B67)&lt;18),"Day Shift","Night Shift")</f>
        <v/>
      </c>
      <c r="F67" s="6">
        <f>INT(B67)</f>
        <v/>
      </c>
      <c r="G67" s="6">
        <f>INT(C67)</f>
        <v/>
      </c>
    </row>
    <row r="68">
      <c r="A68" s="7" t="inlineStr">
        <is>
          <t>EXD60</t>
        </is>
      </c>
      <c r="B68" s="8" t="n">
        <v>46051.90710648148</v>
      </c>
      <c r="C68" s="8" t="n">
        <v>46052.25</v>
      </c>
      <c r="D68" s="9">
        <f>(C68-B68)*24</f>
        <v/>
      </c>
      <c r="E68" s="10">
        <f>IF(AND(HOUR(B68)&gt;=6,HOUR(B68)&lt;18),"Day Shift","Night Shift")</f>
        <v/>
      </c>
      <c r="F68" s="11">
        <f>INT(B68)</f>
        <v/>
      </c>
      <c r="G68" s="11">
        <f>INT(C68)</f>
        <v/>
      </c>
    </row>
    <row r="69">
      <c r="A69" s="2" t="inlineStr">
        <is>
          <t>EXD60</t>
        </is>
      </c>
      <c r="B69" s="3" t="n">
        <v>46052.25</v>
      </c>
      <c r="C69" s="3" t="n">
        <v>46052.75</v>
      </c>
      <c r="D69" s="4">
        <f>(C69-B69)*24</f>
        <v/>
      </c>
      <c r="E69" s="5">
        <f>IF(AND(HOUR(B69)&gt;=6,HOUR(B69)&lt;18),"Day Shift","Night Shift")</f>
        <v/>
      </c>
      <c r="F69" s="6">
        <f>INT(B69)</f>
        <v/>
      </c>
      <c r="G69" s="6">
        <f>INT(C69)</f>
        <v/>
      </c>
    </row>
    <row r="70">
      <c r="A70" s="7" t="inlineStr">
        <is>
          <t>EXD60</t>
        </is>
      </c>
      <c r="B70" s="8" t="n">
        <v>46052.75</v>
      </c>
      <c r="C70" s="8" t="n">
        <v>46052.87488425926</v>
      </c>
      <c r="D70" s="9">
        <f>(C70-B70)*24</f>
        <v/>
      </c>
      <c r="E70" s="10">
        <f>IF(AND(HOUR(B70)&gt;=6,HOUR(B70)&lt;18),"Day Shift","Night Shift")</f>
        <v/>
      </c>
      <c r="F70" s="11">
        <f>INT(B70)</f>
        <v/>
      </c>
      <c r="G70" s="11">
        <f>INT(C70)</f>
        <v/>
      </c>
    </row>
    <row r="71">
      <c r="A71" s="7" t="inlineStr">
        <is>
          <t>EXD100</t>
        </is>
      </c>
      <c r="B71" s="8" t="n">
        <v>46051.92081018518</v>
      </c>
      <c r="C71" s="8" t="n">
        <v>46052.25</v>
      </c>
      <c r="D71" s="9">
        <f>(C71-B71)*24</f>
        <v/>
      </c>
      <c r="E71" s="10">
        <f>IF(AND(HOUR(B71)&gt;=6,HOUR(B71)&lt;18),"Day Shift","Night Shift")</f>
        <v/>
      </c>
      <c r="F71" s="11">
        <f>INT(B71)</f>
        <v/>
      </c>
      <c r="G71" s="11">
        <f>INT(C71)</f>
        <v/>
      </c>
    </row>
    <row r="72">
      <c r="A72" s="2" t="inlineStr">
        <is>
          <t>EXD100</t>
        </is>
      </c>
      <c r="B72" s="3" t="n">
        <v>46052.25</v>
      </c>
      <c r="C72" s="3" t="n">
        <v>46052.68965277778</v>
      </c>
      <c r="D72" s="4">
        <f>(C72-B72)*24</f>
        <v/>
      </c>
      <c r="E72" s="5">
        <f>IF(AND(HOUR(B72)&gt;=6,HOUR(B72)&lt;18),"Day Shift","Night Shift")</f>
        <v/>
      </c>
      <c r="F72" s="6">
        <f>INT(B72)</f>
        <v/>
      </c>
      <c r="G72" s="6">
        <f>INT(C72)</f>
        <v/>
      </c>
    </row>
    <row r="73">
      <c r="A73" s="7" t="inlineStr">
        <is>
          <t>EXD408</t>
        </is>
      </c>
      <c r="B73" s="8" t="n">
        <v>46052.05324074074</v>
      </c>
      <c r="C73" s="8" t="n">
        <v>46052.25</v>
      </c>
      <c r="D73" s="9">
        <f>(C73-B73)*24</f>
        <v/>
      </c>
      <c r="E73" s="10">
        <f>IF(AND(HOUR(B73)&gt;=6,HOUR(B73)&lt;18),"Day Shift","Night Shift")</f>
        <v/>
      </c>
      <c r="F73" s="11">
        <f>INT(B73)</f>
        <v/>
      </c>
      <c r="G73" s="11">
        <f>INT(C73)</f>
        <v/>
      </c>
    </row>
    <row r="74">
      <c r="A74" s="2" t="inlineStr">
        <is>
          <t>EXD408</t>
        </is>
      </c>
      <c r="B74" s="3" t="n">
        <v>46052.25</v>
      </c>
      <c r="C74" s="3" t="n">
        <v>46052.37719907407</v>
      </c>
      <c r="D74" s="4">
        <f>(C74-B74)*24</f>
        <v/>
      </c>
      <c r="E74" s="5">
        <f>IF(AND(HOUR(B74)&gt;=6,HOUR(B74)&lt;18),"Day Shift","Night Shift")</f>
        <v/>
      </c>
      <c r="F74" s="6">
        <f>INT(B74)</f>
        <v/>
      </c>
      <c r="G74" s="6">
        <f>INT(C74)</f>
        <v/>
      </c>
    </row>
    <row r="75">
      <c r="A75" s="7" t="inlineStr">
        <is>
          <t>EXD98;EXD408</t>
        </is>
      </c>
      <c r="B75" s="8" t="n">
        <v>46052.17559027778</v>
      </c>
      <c r="C75" s="8" t="n">
        <v>46052.25</v>
      </c>
      <c r="D75" s="9">
        <f>(C75-B75)*24</f>
        <v/>
      </c>
      <c r="E75" s="10">
        <f>IF(AND(HOUR(B75)&gt;=6,HOUR(B75)&lt;18),"Day Shift","Night Shift")</f>
        <v/>
      </c>
      <c r="F75" s="11">
        <f>INT(B75)</f>
        <v/>
      </c>
      <c r="G75" s="11">
        <f>INT(C75)</f>
        <v/>
      </c>
    </row>
    <row r="76">
      <c r="A76" s="2" t="inlineStr">
        <is>
          <t>EXD98;EXD408</t>
        </is>
      </c>
      <c r="B76" s="3" t="n">
        <v>46052.25</v>
      </c>
      <c r="C76" s="3" t="n">
        <v>46052.75</v>
      </c>
      <c r="D76" s="4">
        <f>(C76-B76)*24</f>
        <v/>
      </c>
      <c r="E76" s="5">
        <f>IF(AND(HOUR(B76)&gt;=6,HOUR(B76)&lt;18),"Day Shift","Night Shift")</f>
        <v/>
      </c>
      <c r="F76" s="6">
        <f>INT(B76)</f>
        <v/>
      </c>
      <c r="G76" s="6">
        <f>INT(C76)</f>
        <v/>
      </c>
    </row>
    <row r="77">
      <c r="A77" s="7" t="inlineStr">
        <is>
          <t>EXD98;EXD408</t>
        </is>
      </c>
      <c r="B77" s="8" t="n">
        <v>46052.75</v>
      </c>
      <c r="C77" s="8" t="n">
        <v>46053.25</v>
      </c>
      <c r="D77" s="9">
        <f>(C77-B77)*24</f>
        <v/>
      </c>
      <c r="E77" s="10">
        <f>IF(AND(HOUR(B77)&gt;=6,HOUR(B77)&lt;18),"Day Shift","Night Shift")</f>
        <v/>
      </c>
      <c r="F77" s="11">
        <f>INT(B77)</f>
        <v/>
      </c>
      <c r="G77" s="11">
        <f>INT(C77)</f>
        <v/>
      </c>
    </row>
    <row r="78">
      <c r="A78" s="2" t="inlineStr">
        <is>
          <t>EXD98;EXD408</t>
        </is>
      </c>
      <c r="B78" s="3" t="n">
        <v>46053.25</v>
      </c>
      <c r="C78" s="3" t="n">
        <v>46053.75</v>
      </c>
      <c r="D78" s="4">
        <f>(C78-B78)*24</f>
        <v/>
      </c>
      <c r="E78" s="5">
        <f>IF(AND(HOUR(B78)&gt;=6,HOUR(B78)&lt;18),"Day Shift","Night Shift")</f>
        <v/>
      </c>
      <c r="F78" s="6">
        <f>INT(B78)</f>
        <v/>
      </c>
      <c r="G78" s="6">
        <f>INT(C78)</f>
        <v/>
      </c>
    </row>
    <row r="79">
      <c r="A79" s="7" t="inlineStr">
        <is>
          <t>EXD98;EXD408</t>
        </is>
      </c>
      <c r="B79" s="8" t="n">
        <v>46053.75</v>
      </c>
      <c r="C79" s="8" t="n">
        <v>46054.25</v>
      </c>
      <c r="D79" s="9">
        <f>(C79-B79)*24</f>
        <v/>
      </c>
      <c r="E79" s="10">
        <f>IF(AND(HOUR(B79)&gt;=6,HOUR(B79)&lt;18),"Day Shift","Night Shift")</f>
        <v/>
      </c>
      <c r="F79" s="11">
        <f>INT(B79)</f>
        <v/>
      </c>
      <c r="G79" s="11">
        <f>INT(C79)</f>
        <v/>
      </c>
    </row>
    <row r="80">
      <c r="A80" s="2" t="inlineStr">
        <is>
          <t>EXD98;EXD408</t>
        </is>
      </c>
      <c r="B80" s="3" t="n">
        <v>46054.25</v>
      </c>
      <c r="C80" s="3" t="n">
        <v>46054.75</v>
      </c>
      <c r="D80" s="4">
        <f>(C80-B80)*24</f>
        <v/>
      </c>
      <c r="E80" s="5">
        <f>IF(AND(HOUR(B80)&gt;=6,HOUR(B80)&lt;18),"Day Shift","Night Shift")</f>
        <v/>
      </c>
      <c r="F80" s="6">
        <f>INT(B80)</f>
        <v/>
      </c>
      <c r="G80" s="6">
        <f>INT(C80)</f>
        <v/>
      </c>
    </row>
    <row r="81">
      <c r="A81" s="7" t="inlineStr">
        <is>
          <t>EXD98;EXD408</t>
        </is>
      </c>
      <c r="B81" s="8" t="n">
        <v>46054.75</v>
      </c>
      <c r="C81" s="8" t="n">
        <v>46054.8521875</v>
      </c>
      <c r="D81" s="9">
        <f>(C81-B81)*24</f>
        <v/>
      </c>
      <c r="E81" s="10">
        <f>IF(AND(HOUR(B81)&gt;=6,HOUR(B81)&lt;18),"Day Shift","Night Shift")</f>
        <v/>
      </c>
      <c r="F81" s="11">
        <f>INT(B81)</f>
        <v/>
      </c>
      <c r="G81" s="11">
        <f>INT(C81)</f>
        <v/>
      </c>
    </row>
    <row r="82">
      <c r="A82" s="2" t="inlineStr">
        <is>
          <t>EXD409</t>
        </is>
      </c>
      <c r="B82" s="3" t="n">
        <v>46052.33511574074</v>
      </c>
      <c r="C82" s="3" t="n">
        <v>46052.75</v>
      </c>
      <c r="D82" s="4">
        <f>(C82-B82)*24</f>
        <v/>
      </c>
      <c r="E82" s="5">
        <f>IF(AND(HOUR(B82)&gt;=6,HOUR(B82)&lt;18),"Day Shift","Night Shift")</f>
        <v/>
      </c>
      <c r="F82" s="6">
        <f>INT(B82)</f>
        <v/>
      </c>
      <c r="G82" s="6">
        <f>INT(C82)</f>
        <v/>
      </c>
    </row>
    <row r="83">
      <c r="A83" s="7" t="inlineStr">
        <is>
          <t>EXD409</t>
        </is>
      </c>
      <c r="B83" s="8" t="n">
        <v>46052.75</v>
      </c>
      <c r="C83" s="8" t="n">
        <v>46053.25</v>
      </c>
      <c r="D83" s="9">
        <f>(C83-B83)*24</f>
        <v/>
      </c>
      <c r="E83" s="10">
        <f>IF(AND(HOUR(B83)&gt;=6,HOUR(B83)&lt;18),"Day Shift","Night Shift")</f>
        <v/>
      </c>
      <c r="F83" s="11">
        <f>INT(B83)</f>
        <v/>
      </c>
      <c r="G83" s="11">
        <f>INT(C83)</f>
        <v/>
      </c>
    </row>
    <row r="84">
      <c r="A84" s="2" t="inlineStr">
        <is>
          <t>EXD409</t>
        </is>
      </c>
      <c r="B84" s="3" t="n">
        <v>46053.25</v>
      </c>
      <c r="C84" s="3" t="n">
        <v>46053.30842592593</v>
      </c>
      <c r="D84" s="4">
        <f>(C84-B84)*24</f>
        <v/>
      </c>
      <c r="E84" s="5">
        <f>IF(AND(HOUR(B84)&gt;=6,HOUR(B84)&lt;18),"Day Shift","Night Shift")</f>
        <v/>
      </c>
      <c r="F84" s="6">
        <f>INT(B84)</f>
        <v/>
      </c>
      <c r="G84" s="6">
        <f>INT(C84)</f>
        <v/>
      </c>
    </row>
    <row r="85">
      <c r="A85" s="2" t="inlineStr">
        <is>
          <t>EXD408</t>
        </is>
      </c>
      <c r="B85" s="3" t="n">
        <v>46052.37719907407</v>
      </c>
      <c r="C85" s="3" t="n">
        <v>46052.6337037037</v>
      </c>
      <c r="D85" s="4">
        <f>(C85-B85)*24</f>
        <v/>
      </c>
      <c r="E85" s="5">
        <f>IF(AND(HOUR(B85)&gt;=6,HOUR(B85)&lt;18),"Day Shift","Night Shift")</f>
        <v/>
      </c>
      <c r="F85" s="6">
        <f>INT(B85)</f>
        <v/>
      </c>
      <c r="G85" s="6">
        <f>INT(C85)</f>
        <v/>
      </c>
    </row>
    <row r="86">
      <c r="A86" s="2" t="inlineStr">
        <is>
          <t>EXD61</t>
        </is>
      </c>
      <c r="B86" s="3" t="n">
        <v>46052.45118055555</v>
      </c>
      <c r="C86" s="3" t="n">
        <v>46052.75</v>
      </c>
      <c r="D86" s="4">
        <f>(C86-B86)*24</f>
        <v/>
      </c>
      <c r="E86" s="5">
        <f>IF(AND(HOUR(B86)&gt;=6,HOUR(B86)&lt;18),"Day Shift","Night Shift")</f>
        <v/>
      </c>
      <c r="F86" s="6">
        <f>INT(B86)</f>
        <v/>
      </c>
      <c r="G86" s="6">
        <f>INT(C86)</f>
        <v/>
      </c>
    </row>
    <row r="87">
      <c r="A87" s="7" t="inlineStr">
        <is>
          <t>EXD61</t>
        </is>
      </c>
      <c r="B87" s="8" t="n">
        <v>46052.75</v>
      </c>
      <c r="C87" s="8" t="n">
        <v>46053.04916666666</v>
      </c>
      <c r="D87" s="9">
        <f>(C87-B87)*24</f>
        <v/>
      </c>
      <c r="E87" s="10">
        <f>IF(AND(HOUR(B87)&gt;=6,HOUR(B87)&lt;18),"Day Shift","Night Shift")</f>
        <v/>
      </c>
      <c r="F87" s="11">
        <f>INT(B87)</f>
        <v/>
      </c>
      <c r="G87" s="11">
        <f>INT(C87)</f>
        <v/>
      </c>
    </row>
    <row r="88">
      <c r="A88" s="2" t="inlineStr">
        <is>
          <t>EXD98</t>
        </is>
      </c>
      <c r="B88" s="3" t="n">
        <v>46052.64634259259</v>
      </c>
      <c r="C88" s="3" t="n">
        <v>46052.75</v>
      </c>
      <c r="D88" s="4">
        <f>(C88-B88)*24</f>
        <v/>
      </c>
      <c r="E88" s="5">
        <f>IF(AND(HOUR(B88)&gt;=6,HOUR(B88)&lt;18),"Day Shift","Night Shift")</f>
        <v/>
      </c>
      <c r="F88" s="6">
        <f>INT(B88)</f>
        <v/>
      </c>
      <c r="G88" s="6">
        <f>INT(C88)</f>
        <v/>
      </c>
    </row>
    <row r="89">
      <c r="A89" s="7" t="inlineStr">
        <is>
          <t>EXD98</t>
        </is>
      </c>
      <c r="B89" s="8" t="n">
        <v>46052.75</v>
      </c>
      <c r="C89" s="8" t="n">
        <v>46053.18646990741</v>
      </c>
      <c r="D89" s="9">
        <f>(C89-B89)*24</f>
        <v/>
      </c>
      <c r="E89" s="10">
        <f>IF(AND(HOUR(B89)&gt;=6,HOUR(B89)&lt;18),"Day Shift","Night Shift")</f>
        <v/>
      </c>
      <c r="F89" s="11">
        <f>INT(B89)</f>
        <v/>
      </c>
      <c r="G89" s="11">
        <f>INT(C89)</f>
        <v/>
      </c>
    </row>
    <row r="90">
      <c r="A90" s="2" t="inlineStr">
        <is>
          <t>EXD56</t>
        </is>
      </c>
      <c r="B90" s="3" t="n">
        <v>46052.68501157407</v>
      </c>
      <c r="C90" s="3" t="n">
        <v>46052.75</v>
      </c>
      <c r="D90" s="4">
        <f>(C90-B90)*24</f>
        <v/>
      </c>
      <c r="E90" s="5">
        <f>IF(AND(HOUR(B90)&gt;=6,HOUR(B90)&lt;18),"Day Shift","Night Shift")</f>
        <v/>
      </c>
      <c r="F90" s="6">
        <f>INT(B90)</f>
        <v/>
      </c>
      <c r="G90" s="6">
        <f>INT(C90)</f>
        <v/>
      </c>
    </row>
    <row r="91">
      <c r="A91" s="7" t="inlineStr">
        <is>
          <t>EXD56</t>
        </is>
      </c>
      <c r="B91" s="8" t="n">
        <v>46052.75</v>
      </c>
      <c r="C91" s="8" t="n">
        <v>46053.05946759259</v>
      </c>
      <c r="D91" s="9">
        <f>(C91-B91)*24</f>
        <v/>
      </c>
      <c r="E91" s="10">
        <f>IF(AND(HOUR(B91)&gt;=6,HOUR(B91)&lt;18),"Day Shift","Night Shift")</f>
        <v/>
      </c>
      <c r="F91" s="11">
        <f>INT(B91)</f>
        <v/>
      </c>
      <c r="G91" s="11">
        <f>INT(C91)</f>
        <v/>
      </c>
    </row>
    <row r="92">
      <c r="A92" s="2" t="inlineStr">
        <is>
          <t>EXD408</t>
        </is>
      </c>
      <c r="B92" s="3" t="n">
        <v>46052.68614583334</v>
      </c>
      <c r="C92" s="3" t="n">
        <v>46052.75</v>
      </c>
      <c r="D92" s="4">
        <f>(C92-B92)*24</f>
        <v/>
      </c>
      <c r="E92" s="5">
        <f>IF(AND(HOUR(B92)&gt;=6,HOUR(B92)&lt;18),"Day Shift","Night Shift")</f>
        <v/>
      </c>
      <c r="F92" s="6">
        <f>INT(B92)</f>
        <v/>
      </c>
      <c r="G92" s="6">
        <f>INT(C92)</f>
        <v/>
      </c>
    </row>
    <row r="93">
      <c r="A93" s="7" t="inlineStr">
        <is>
          <t>EXD408</t>
        </is>
      </c>
      <c r="B93" s="8" t="n">
        <v>46052.75</v>
      </c>
      <c r="C93" s="8" t="n">
        <v>46053.23045138889</v>
      </c>
      <c r="D93" s="9">
        <f>(C93-B93)*24</f>
        <v/>
      </c>
      <c r="E93" s="10">
        <f>IF(AND(HOUR(B93)&gt;=6,HOUR(B93)&lt;18),"Day Shift","Night Shift")</f>
        <v/>
      </c>
      <c r="F93" s="11">
        <f>INT(B93)</f>
        <v/>
      </c>
      <c r="G93" s="11">
        <f>INT(C93)</f>
        <v/>
      </c>
    </row>
    <row r="94">
      <c r="A94" s="2" t="inlineStr">
        <is>
          <t>EXD100</t>
        </is>
      </c>
      <c r="B94" s="3" t="n">
        <v>46052.68965277778</v>
      </c>
      <c r="C94" s="3" t="n">
        <v>46052.75</v>
      </c>
      <c r="D94" s="4">
        <f>(C94-B94)*24</f>
        <v/>
      </c>
      <c r="E94" s="5">
        <f>IF(AND(HOUR(B94)&gt;=6,HOUR(B94)&lt;18),"Day Shift","Night Shift")</f>
        <v/>
      </c>
      <c r="F94" s="6">
        <f>INT(B94)</f>
        <v/>
      </c>
      <c r="G94" s="6">
        <f>INT(C94)</f>
        <v/>
      </c>
    </row>
    <row r="95">
      <c r="A95" s="7" t="inlineStr">
        <is>
          <t>EXD100</t>
        </is>
      </c>
      <c r="B95" s="8" t="n">
        <v>46052.75</v>
      </c>
      <c r="C95" s="8" t="n">
        <v>46053.25</v>
      </c>
      <c r="D95" s="9">
        <f>(C95-B95)*24</f>
        <v/>
      </c>
      <c r="E95" s="10">
        <f>IF(AND(HOUR(B95)&gt;=6,HOUR(B95)&lt;18),"Day Shift","Night Shift")</f>
        <v/>
      </c>
      <c r="F95" s="11">
        <f>INT(B95)</f>
        <v/>
      </c>
      <c r="G95" s="11">
        <f>INT(C95)</f>
        <v/>
      </c>
    </row>
    <row r="96">
      <c r="A96" s="2" t="inlineStr">
        <is>
          <t>EXD100</t>
        </is>
      </c>
      <c r="B96" s="3" t="n">
        <v>46053.25</v>
      </c>
      <c r="C96" s="3" t="n">
        <v>46053.48927083334</v>
      </c>
      <c r="D96" s="4">
        <f>(C96-B96)*24</f>
        <v/>
      </c>
      <c r="E96" s="5">
        <f>IF(AND(HOUR(B96)&gt;=6,HOUR(B96)&lt;18),"Day Shift","Night Shift")</f>
        <v/>
      </c>
      <c r="F96" s="6">
        <f>INT(B96)</f>
        <v/>
      </c>
      <c r="G96" s="6">
        <f>INT(C96)</f>
        <v/>
      </c>
    </row>
    <row r="97">
      <c r="A97" s="7" t="inlineStr">
        <is>
          <t>EXD101</t>
        </is>
      </c>
      <c r="B97" s="8" t="n">
        <v>46052.78165509259</v>
      </c>
      <c r="C97" s="8" t="n">
        <v>46053.25</v>
      </c>
      <c r="D97" s="9">
        <f>(C97-B97)*24</f>
        <v/>
      </c>
      <c r="E97" s="10">
        <f>IF(AND(HOUR(B97)&gt;=6,HOUR(B97)&lt;18),"Day Shift","Night Shift")</f>
        <v/>
      </c>
      <c r="F97" s="11">
        <f>INT(B97)</f>
        <v/>
      </c>
      <c r="G97" s="11">
        <f>INT(C97)</f>
        <v/>
      </c>
    </row>
    <row r="98">
      <c r="A98" s="2" t="inlineStr">
        <is>
          <t>EXD101</t>
        </is>
      </c>
      <c r="B98" s="3" t="n">
        <v>46053.25</v>
      </c>
      <c r="C98" s="3" t="n">
        <v>46053.75</v>
      </c>
      <c r="D98" s="4">
        <f>(C98-B98)*24</f>
        <v/>
      </c>
      <c r="E98" s="5">
        <f>IF(AND(HOUR(B98)&gt;=6,HOUR(B98)&lt;18),"Day Shift","Night Shift")</f>
        <v/>
      </c>
      <c r="F98" s="6">
        <f>INT(B98)</f>
        <v/>
      </c>
      <c r="G98" s="6">
        <f>INT(C98)</f>
        <v/>
      </c>
    </row>
    <row r="99">
      <c r="A99" s="7" t="inlineStr">
        <is>
          <t>EXD101</t>
        </is>
      </c>
      <c r="B99" s="8" t="n">
        <v>46053.75</v>
      </c>
      <c r="C99" s="8" t="n">
        <v>46054.25</v>
      </c>
      <c r="D99" s="9">
        <f>(C99-B99)*24</f>
        <v/>
      </c>
      <c r="E99" s="10">
        <f>IF(AND(HOUR(B99)&gt;=6,HOUR(B99)&lt;18),"Day Shift","Night Shift")</f>
        <v/>
      </c>
      <c r="F99" s="11">
        <f>INT(B99)</f>
        <v/>
      </c>
      <c r="G99" s="11">
        <f>INT(C99)</f>
        <v/>
      </c>
    </row>
    <row r="100">
      <c r="A100" s="2" t="inlineStr">
        <is>
          <t>EXD101</t>
        </is>
      </c>
      <c r="B100" s="3" t="n">
        <v>46054.25</v>
      </c>
      <c r="C100" s="3" t="n">
        <v>46054.75</v>
      </c>
      <c r="D100" s="4">
        <f>(C100-B100)*24</f>
        <v/>
      </c>
      <c r="E100" s="5">
        <f>IF(AND(HOUR(B100)&gt;=6,HOUR(B100)&lt;18),"Day Shift","Night Shift")</f>
        <v/>
      </c>
      <c r="F100" s="6">
        <f>INT(B100)</f>
        <v/>
      </c>
      <c r="G100" s="6">
        <f>INT(C100)</f>
        <v/>
      </c>
    </row>
    <row r="101">
      <c r="A101" s="7" t="inlineStr">
        <is>
          <t>EXD101</t>
        </is>
      </c>
      <c r="B101" s="8" t="n">
        <v>46054.75</v>
      </c>
      <c r="C101" s="8" t="n">
        <v>46054.97903935185</v>
      </c>
      <c r="D101" s="9">
        <f>(C101-B101)*24</f>
        <v/>
      </c>
      <c r="E101" s="10">
        <f>IF(AND(HOUR(B101)&gt;=6,HOUR(B101)&lt;18),"Day Shift","Night Shift")</f>
        <v/>
      </c>
      <c r="F101" s="11">
        <f>INT(B101)</f>
        <v/>
      </c>
      <c r="G101" s="11">
        <f>INT(C101)</f>
        <v/>
      </c>
    </row>
    <row r="102">
      <c r="A102" s="7" t="inlineStr">
        <is>
          <t>SHE36</t>
        </is>
      </c>
      <c r="B102" s="8" t="n">
        <v>46052.85575231481</v>
      </c>
      <c r="C102" s="8" t="n">
        <v>46053.25</v>
      </c>
      <c r="D102" s="9">
        <f>(C102-B102)*24</f>
        <v/>
      </c>
      <c r="E102" s="10">
        <f>IF(AND(HOUR(B102)&gt;=6,HOUR(B102)&lt;18),"Day Shift","Night Shift")</f>
        <v/>
      </c>
      <c r="F102" s="11">
        <f>INT(B102)</f>
        <v/>
      </c>
      <c r="G102" s="11">
        <f>INT(C102)</f>
        <v/>
      </c>
    </row>
    <row r="103">
      <c r="A103" s="2" t="inlineStr">
        <is>
          <t>SHE36</t>
        </is>
      </c>
      <c r="B103" s="3" t="n">
        <v>46053.25</v>
      </c>
      <c r="C103" s="3" t="n">
        <v>46053.75</v>
      </c>
      <c r="D103" s="4">
        <f>(C103-B103)*24</f>
        <v/>
      </c>
      <c r="E103" s="5">
        <f>IF(AND(HOUR(B103)&gt;=6,HOUR(B103)&lt;18),"Day Shift","Night Shift")</f>
        <v/>
      </c>
      <c r="F103" s="6">
        <f>INT(B103)</f>
        <v/>
      </c>
      <c r="G103" s="6">
        <f>INT(C103)</f>
        <v/>
      </c>
    </row>
    <row r="104">
      <c r="A104" s="7" t="inlineStr">
        <is>
          <t>SHE36</t>
        </is>
      </c>
      <c r="B104" s="8" t="n">
        <v>46053.75</v>
      </c>
      <c r="C104" s="8" t="n">
        <v>46053.97693287037</v>
      </c>
      <c r="D104" s="9">
        <f>(C104-B104)*24</f>
        <v/>
      </c>
      <c r="E104" s="10">
        <f>IF(AND(HOUR(B104)&gt;=6,HOUR(B104)&lt;18),"Day Shift","Night Shift")</f>
        <v/>
      </c>
      <c r="F104" s="11">
        <f>INT(B104)</f>
        <v/>
      </c>
      <c r="G104" s="11">
        <f>INT(C104)</f>
        <v/>
      </c>
    </row>
    <row r="105">
      <c r="A105" s="7" t="inlineStr">
        <is>
          <t>EXD60</t>
        </is>
      </c>
      <c r="B105" s="8" t="n">
        <v>46052.87488425926</v>
      </c>
      <c r="C105" s="8" t="n">
        <v>46053.25</v>
      </c>
      <c r="D105" s="9">
        <f>(C105-B105)*24</f>
        <v/>
      </c>
      <c r="E105" s="10">
        <f>IF(AND(HOUR(B105)&gt;=6,HOUR(B105)&lt;18),"Day Shift","Night Shift")</f>
        <v/>
      </c>
      <c r="F105" s="11">
        <f>INT(B105)</f>
        <v/>
      </c>
      <c r="G105" s="11">
        <f>INT(C105)</f>
        <v/>
      </c>
    </row>
    <row r="106">
      <c r="A106" s="2" t="inlineStr">
        <is>
          <t>EXD60</t>
        </is>
      </c>
      <c r="B106" s="3" t="n">
        <v>46053.25</v>
      </c>
      <c r="C106" s="3" t="n">
        <v>46053.75</v>
      </c>
      <c r="D106" s="4">
        <f>(C106-B106)*24</f>
        <v/>
      </c>
      <c r="E106" s="5">
        <f>IF(AND(HOUR(B106)&gt;=6,HOUR(B106)&lt;18),"Day Shift","Night Shift")</f>
        <v/>
      </c>
      <c r="F106" s="6">
        <f>INT(B106)</f>
        <v/>
      </c>
      <c r="G106" s="6">
        <f>INT(C106)</f>
        <v/>
      </c>
    </row>
    <row r="107">
      <c r="A107" s="7" t="inlineStr">
        <is>
          <t>EXD60</t>
        </is>
      </c>
      <c r="B107" s="8" t="n">
        <v>46053.75</v>
      </c>
      <c r="C107" s="8" t="n">
        <v>46053.84197916667</v>
      </c>
      <c r="D107" s="9">
        <f>(C107-B107)*24</f>
        <v/>
      </c>
      <c r="E107" s="10">
        <f>IF(AND(HOUR(B107)&gt;=6,HOUR(B107)&lt;18),"Day Shift","Night Shift")</f>
        <v/>
      </c>
      <c r="F107" s="11">
        <f>INT(B107)</f>
        <v/>
      </c>
      <c r="G107" s="11">
        <f>INT(C107)</f>
        <v/>
      </c>
    </row>
    <row r="108">
      <c r="A108" s="7" t="inlineStr">
        <is>
          <t>EXD61</t>
        </is>
      </c>
      <c r="B108" s="8" t="n">
        <v>46053.04916666666</v>
      </c>
      <c r="C108" s="8" t="n">
        <v>46053.25</v>
      </c>
      <c r="D108" s="9">
        <f>(C108-B108)*24</f>
        <v/>
      </c>
      <c r="E108" s="10">
        <f>IF(AND(HOUR(B108)&gt;=6,HOUR(B108)&lt;18),"Day Shift","Night Shift")</f>
        <v/>
      </c>
      <c r="F108" s="11">
        <f>INT(B108)</f>
        <v/>
      </c>
      <c r="G108" s="11">
        <f>INT(C108)</f>
        <v/>
      </c>
    </row>
    <row r="109">
      <c r="A109" s="2" t="inlineStr">
        <is>
          <t>EXD61</t>
        </is>
      </c>
      <c r="B109" s="3" t="n">
        <v>46053.25</v>
      </c>
      <c r="C109" s="3" t="n">
        <v>46053.51004629629</v>
      </c>
      <c r="D109" s="4">
        <f>(C109-B109)*24</f>
        <v/>
      </c>
      <c r="E109" s="5">
        <f>IF(AND(HOUR(B109)&gt;=6,HOUR(B109)&lt;18),"Day Shift","Night Shift")</f>
        <v/>
      </c>
      <c r="F109" s="6">
        <f>INT(B109)</f>
        <v/>
      </c>
      <c r="G109" s="6">
        <f>INT(C109)</f>
        <v/>
      </c>
    </row>
    <row r="110">
      <c r="A110" s="7" t="inlineStr">
        <is>
          <t>EXD56</t>
        </is>
      </c>
      <c r="B110" s="8" t="n">
        <v>46053.11519675926</v>
      </c>
      <c r="C110" s="8" t="n">
        <v>46053.25</v>
      </c>
      <c r="D110" s="9">
        <f>(C110-B110)*24</f>
        <v/>
      </c>
      <c r="E110" s="10">
        <f>IF(AND(HOUR(B110)&gt;=6,HOUR(B110)&lt;18),"Day Shift","Night Shift")</f>
        <v/>
      </c>
      <c r="F110" s="11">
        <f>INT(B110)</f>
        <v/>
      </c>
      <c r="G110" s="11">
        <f>INT(C110)</f>
        <v/>
      </c>
    </row>
    <row r="111">
      <c r="A111" s="2" t="inlineStr">
        <is>
          <t>EXD56</t>
        </is>
      </c>
      <c r="B111" s="3" t="n">
        <v>46053.25</v>
      </c>
      <c r="C111" s="3" t="n">
        <v>46053.75</v>
      </c>
      <c r="D111" s="4">
        <f>(C111-B111)*24</f>
        <v/>
      </c>
      <c r="E111" s="5">
        <f>IF(AND(HOUR(B111)&gt;=6,HOUR(B111)&lt;18),"Day Shift","Night Shift")</f>
        <v/>
      </c>
      <c r="F111" s="6">
        <f>INT(B111)</f>
        <v/>
      </c>
      <c r="G111" s="6">
        <f>INT(C111)</f>
        <v/>
      </c>
    </row>
    <row r="112">
      <c r="A112" s="7" t="inlineStr">
        <is>
          <t>EXD56</t>
        </is>
      </c>
      <c r="B112" s="8" t="n">
        <v>46053.75</v>
      </c>
      <c r="C112" s="8" t="n">
        <v>46054.25</v>
      </c>
      <c r="D112" s="9">
        <f>(C112-B112)*24</f>
        <v/>
      </c>
      <c r="E112" s="10">
        <f>IF(AND(HOUR(B112)&gt;=6,HOUR(B112)&lt;18),"Day Shift","Night Shift")</f>
        <v/>
      </c>
      <c r="F112" s="11">
        <f>INT(B112)</f>
        <v/>
      </c>
      <c r="G112" s="11">
        <f>INT(C112)</f>
        <v/>
      </c>
    </row>
    <row r="113">
      <c r="A113" s="2" t="inlineStr">
        <is>
          <t>EXD56</t>
        </is>
      </c>
      <c r="B113" s="3" t="n">
        <v>46054.25</v>
      </c>
      <c r="C113" s="3" t="n">
        <v>46054.75</v>
      </c>
      <c r="D113" s="4">
        <f>(C113-B113)*24</f>
        <v/>
      </c>
      <c r="E113" s="5">
        <f>IF(AND(HOUR(B113)&gt;=6,HOUR(B113)&lt;18),"Day Shift","Night Shift")</f>
        <v/>
      </c>
      <c r="F113" s="6">
        <f>INT(B113)</f>
        <v/>
      </c>
      <c r="G113" s="6">
        <f>INT(C113)</f>
        <v/>
      </c>
    </row>
    <row r="114">
      <c r="A114" s="7" t="inlineStr">
        <is>
          <t>EXD56</t>
        </is>
      </c>
      <c r="B114" s="8" t="n">
        <v>46054.75</v>
      </c>
      <c r="C114" s="8" t="n">
        <v>46054.87053240741</v>
      </c>
      <c r="D114" s="9">
        <f>(C114-B114)*24</f>
        <v/>
      </c>
      <c r="E114" s="10">
        <f>IF(AND(HOUR(B114)&gt;=6,HOUR(B114)&lt;18),"Day Shift","Night Shift")</f>
        <v/>
      </c>
      <c r="F114" s="11">
        <f>INT(B114)</f>
        <v/>
      </c>
      <c r="G114" s="11">
        <f>INT(C114)</f>
        <v/>
      </c>
    </row>
    <row r="115">
      <c r="A115" s="7" t="inlineStr">
        <is>
          <t>EXD98</t>
        </is>
      </c>
      <c r="B115" s="8" t="n">
        <v>46053.18646990741</v>
      </c>
      <c r="C115" s="8" t="n">
        <v>46053.25</v>
      </c>
      <c r="D115" s="9">
        <f>(C115-B115)*24</f>
        <v/>
      </c>
      <c r="E115" s="10">
        <f>IF(AND(HOUR(B115)&gt;=6,HOUR(B115)&lt;18),"Day Shift","Night Shift")</f>
        <v/>
      </c>
      <c r="F115" s="11">
        <f>INT(B115)</f>
        <v/>
      </c>
      <c r="G115" s="11">
        <f>INT(C115)</f>
        <v/>
      </c>
    </row>
    <row r="116">
      <c r="A116" s="2" t="inlineStr">
        <is>
          <t>EXD98</t>
        </is>
      </c>
      <c r="B116" s="3" t="n">
        <v>46053.25</v>
      </c>
      <c r="C116" s="3" t="n">
        <v>46053.68790509259</v>
      </c>
      <c r="D116" s="4">
        <f>(C116-B116)*24</f>
        <v/>
      </c>
      <c r="E116" s="5">
        <f>IF(AND(HOUR(B116)&gt;=6,HOUR(B116)&lt;18),"Day Shift","Night Shift")</f>
        <v/>
      </c>
      <c r="F116" s="6">
        <f>INT(B116)</f>
        <v/>
      </c>
      <c r="G116" s="6">
        <f>INT(C116)</f>
        <v/>
      </c>
    </row>
    <row r="117">
      <c r="A117" s="7" t="inlineStr">
        <is>
          <t>EXD408</t>
        </is>
      </c>
      <c r="B117" s="8" t="n">
        <v>46053.23075231481</v>
      </c>
      <c r="C117" s="8" t="n">
        <v>46053.25</v>
      </c>
      <c r="D117" s="9">
        <f>(C117-B117)*24</f>
        <v/>
      </c>
      <c r="E117" s="10">
        <f>IF(AND(HOUR(B117)&gt;=6,HOUR(B117)&lt;18),"Day Shift","Night Shift")</f>
        <v/>
      </c>
      <c r="F117" s="11">
        <f>INT(B117)</f>
        <v/>
      </c>
      <c r="G117" s="11">
        <f>INT(C117)</f>
        <v/>
      </c>
    </row>
    <row r="118">
      <c r="A118" s="2" t="inlineStr">
        <is>
          <t>EXD408</t>
        </is>
      </c>
      <c r="B118" s="3" t="n">
        <v>46053.25</v>
      </c>
      <c r="C118" s="3" t="n">
        <v>46053.73398148148</v>
      </c>
      <c r="D118" s="4">
        <f>(C118-B118)*24</f>
        <v/>
      </c>
      <c r="E118" s="5">
        <f>IF(AND(HOUR(B118)&gt;=6,HOUR(B118)&lt;18),"Day Shift","Night Shift")</f>
        <v/>
      </c>
      <c r="F118" s="6">
        <f>INT(B118)</f>
        <v/>
      </c>
      <c r="G118" s="6">
        <f>INT(C118)</f>
        <v/>
      </c>
    </row>
    <row r="119">
      <c r="A119" s="2" t="inlineStr">
        <is>
          <t>EXD409</t>
        </is>
      </c>
      <c r="B119" s="3" t="n">
        <v>46053.30842592593</v>
      </c>
      <c r="C119" s="3" t="n">
        <v>46053.75</v>
      </c>
      <c r="D119" s="4">
        <f>(C119-B119)*24</f>
        <v/>
      </c>
      <c r="E119" s="5">
        <f>IF(AND(HOUR(B119)&gt;=6,HOUR(B119)&lt;18),"Day Shift","Night Shift")</f>
        <v/>
      </c>
      <c r="F119" s="6">
        <f>INT(B119)</f>
        <v/>
      </c>
      <c r="G119" s="6">
        <f>INT(C119)</f>
        <v/>
      </c>
    </row>
    <row r="120">
      <c r="A120" s="7" t="inlineStr">
        <is>
          <t>EXD409</t>
        </is>
      </c>
      <c r="B120" s="8" t="n">
        <v>46053.75</v>
      </c>
      <c r="C120" s="8" t="n">
        <v>46053.85421296296</v>
      </c>
      <c r="D120" s="9">
        <f>(C120-B120)*24</f>
        <v/>
      </c>
      <c r="E120" s="10">
        <f>IF(AND(HOUR(B120)&gt;=6,HOUR(B120)&lt;18),"Day Shift","Night Shift")</f>
        <v/>
      </c>
      <c r="F120" s="11">
        <f>INT(B120)</f>
        <v/>
      </c>
      <c r="G120" s="11">
        <f>INT(C120)</f>
        <v/>
      </c>
    </row>
    <row r="121">
      <c r="A121" s="2" t="inlineStr">
        <is>
          <t>EXD73</t>
        </is>
      </c>
      <c r="B121" s="3" t="n">
        <v>46053.41702546296</v>
      </c>
      <c r="C121" s="3" t="n">
        <v>46053.75</v>
      </c>
      <c r="D121" s="4">
        <f>(C121-B121)*24</f>
        <v/>
      </c>
      <c r="E121" s="5">
        <f>IF(AND(HOUR(B121)&gt;=6,HOUR(B121)&lt;18),"Day Shift","Night Shift")</f>
        <v/>
      </c>
      <c r="F121" s="6">
        <f>INT(B121)</f>
        <v/>
      </c>
      <c r="G121" s="6">
        <f>INT(C121)</f>
        <v/>
      </c>
    </row>
    <row r="122">
      <c r="A122" s="7" t="inlineStr">
        <is>
          <t>EXD73</t>
        </is>
      </c>
      <c r="B122" s="8" t="n">
        <v>46053.75</v>
      </c>
      <c r="C122" s="8" t="n">
        <v>46054.25</v>
      </c>
      <c r="D122" s="9">
        <f>(C122-B122)*24</f>
        <v/>
      </c>
      <c r="E122" s="10">
        <f>IF(AND(HOUR(B122)&gt;=6,HOUR(B122)&lt;18),"Day Shift","Night Shift")</f>
        <v/>
      </c>
      <c r="F122" s="11">
        <f>INT(B122)</f>
        <v/>
      </c>
      <c r="G122" s="11">
        <f>INT(C122)</f>
        <v/>
      </c>
    </row>
    <row r="123">
      <c r="A123" s="2" t="inlineStr">
        <is>
          <t>EXD73</t>
        </is>
      </c>
      <c r="B123" s="3" t="n">
        <v>46054.25</v>
      </c>
      <c r="C123" s="3" t="n">
        <v>46054.28619212963</v>
      </c>
      <c r="D123" s="4">
        <f>(C123-B123)*24</f>
        <v/>
      </c>
      <c r="E123" s="5">
        <f>IF(AND(HOUR(B123)&gt;=6,HOUR(B123)&lt;18),"Day Shift","Night Shift")</f>
        <v/>
      </c>
      <c r="F123" s="6">
        <f>INT(B123)</f>
        <v/>
      </c>
      <c r="G123" s="6">
        <f>INT(C123)</f>
        <v/>
      </c>
    </row>
    <row r="124">
      <c r="A124" s="2" t="inlineStr">
        <is>
          <t>EXD52</t>
        </is>
      </c>
      <c r="B124" s="3" t="n">
        <v>46053.52083333334</v>
      </c>
      <c r="C124" s="3" t="n">
        <v>46053.75</v>
      </c>
      <c r="D124" s="4">
        <f>(C124-B124)*24</f>
        <v/>
      </c>
      <c r="E124" s="5">
        <f>IF(AND(HOUR(B124)&gt;=6,HOUR(B124)&lt;18),"Day Shift","Night Shift")</f>
        <v/>
      </c>
      <c r="F124" s="6">
        <f>INT(B124)</f>
        <v/>
      </c>
      <c r="G124" s="6">
        <f>INT(C124)</f>
        <v/>
      </c>
    </row>
    <row r="125">
      <c r="A125" s="7" t="inlineStr">
        <is>
          <t>EXD52</t>
        </is>
      </c>
      <c r="B125" s="8" t="n">
        <v>46053.75</v>
      </c>
      <c r="C125" s="8" t="n">
        <v>46054.25</v>
      </c>
      <c r="D125" s="9">
        <f>(C125-B125)*24</f>
        <v/>
      </c>
      <c r="E125" s="10">
        <f>IF(AND(HOUR(B125)&gt;=6,HOUR(B125)&lt;18),"Day Shift","Night Shift")</f>
        <v/>
      </c>
      <c r="F125" s="11">
        <f>INT(B125)</f>
        <v/>
      </c>
      <c r="G125" s="11">
        <f>INT(C125)</f>
        <v/>
      </c>
    </row>
    <row r="126">
      <c r="A126" s="2" t="inlineStr">
        <is>
          <t>EXD52</t>
        </is>
      </c>
      <c r="B126" s="3" t="n">
        <v>46054.25</v>
      </c>
      <c r="C126" s="3" t="n">
        <v>46054.75</v>
      </c>
      <c r="D126" s="4">
        <f>(C126-B126)*24</f>
        <v/>
      </c>
      <c r="E126" s="5">
        <f>IF(AND(HOUR(B126)&gt;=6,HOUR(B126)&lt;18),"Day Shift","Night Shift")</f>
        <v/>
      </c>
      <c r="F126" s="6">
        <f>INT(B126)</f>
        <v/>
      </c>
      <c r="G126" s="6">
        <f>INT(C126)</f>
        <v/>
      </c>
    </row>
    <row r="127">
      <c r="A127" s="7" t="inlineStr">
        <is>
          <t>EXD52</t>
        </is>
      </c>
      <c r="B127" s="8" t="n">
        <v>46054.75</v>
      </c>
      <c r="C127" s="8" t="n">
        <v>46055.23556712963</v>
      </c>
      <c r="D127" s="9">
        <f>(C127-B127)*24</f>
        <v/>
      </c>
      <c r="E127" s="10">
        <f>IF(AND(HOUR(B127)&gt;=6,HOUR(B127)&lt;18),"Day Shift","Night Shift")</f>
        <v/>
      </c>
      <c r="F127" s="11">
        <f>INT(B127)</f>
        <v/>
      </c>
      <c r="G127" s="11">
        <f>INT(C127)</f>
        <v/>
      </c>
    </row>
    <row r="128">
      <c r="A128" s="2" t="inlineStr">
        <is>
          <t>EXD51</t>
        </is>
      </c>
      <c r="B128" s="3" t="n">
        <v>46053.5209375</v>
      </c>
      <c r="C128" s="3" t="n">
        <v>46053.75</v>
      </c>
      <c r="D128" s="4">
        <f>(C128-B128)*24</f>
        <v/>
      </c>
      <c r="E128" s="5">
        <f>IF(AND(HOUR(B128)&gt;=6,HOUR(B128)&lt;18),"Day Shift","Night Shift")</f>
        <v/>
      </c>
      <c r="F128" s="6">
        <f>INT(B128)</f>
        <v/>
      </c>
      <c r="G128" s="6">
        <f>INT(C128)</f>
        <v/>
      </c>
    </row>
    <row r="129">
      <c r="A129" s="7" t="inlineStr">
        <is>
          <t>EXD51</t>
        </is>
      </c>
      <c r="B129" s="8" t="n">
        <v>46053.75</v>
      </c>
      <c r="C129" s="8" t="n">
        <v>46053.983125</v>
      </c>
      <c r="D129" s="9">
        <f>(C129-B129)*24</f>
        <v/>
      </c>
      <c r="E129" s="10">
        <f>IF(AND(HOUR(B129)&gt;=6,HOUR(B129)&lt;18),"Day Shift","Night Shift")</f>
        <v/>
      </c>
      <c r="F129" s="11">
        <f>INT(B129)</f>
        <v/>
      </c>
      <c r="G129" s="11">
        <f>INT(C129)</f>
        <v/>
      </c>
    </row>
    <row r="130">
      <c r="A130" s="2" t="inlineStr">
        <is>
          <t>EXD100</t>
        </is>
      </c>
      <c r="B130" s="3" t="n">
        <v>46053.52878472222</v>
      </c>
      <c r="C130" s="3" t="n">
        <v>46053.75</v>
      </c>
      <c r="D130" s="4">
        <f>(C130-B130)*24</f>
        <v/>
      </c>
      <c r="E130" s="5">
        <f>IF(AND(HOUR(B130)&gt;=6,HOUR(B130)&lt;18),"Day Shift","Night Shift")</f>
        <v/>
      </c>
      <c r="F130" s="6">
        <f>INT(B130)</f>
        <v/>
      </c>
      <c r="G130" s="6">
        <f>INT(C130)</f>
        <v/>
      </c>
    </row>
    <row r="131">
      <c r="A131" s="7" t="inlineStr">
        <is>
          <t>EXD100</t>
        </is>
      </c>
      <c r="B131" s="8" t="n">
        <v>46053.75</v>
      </c>
      <c r="C131" s="8" t="n">
        <v>46053.97737268519</v>
      </c>
      <c r="D131" s="9">
        <f>(C131-B131)*24</f>
        <v/>
      </c>
      <c r="E131" s="10">
        <f>IF(AND(HOUR(B131)&gt;=6,HOUR(B131)&lt;18),"Day Shift","Night Shift")</f>
        <v/>
      </c>
      <c r="F131" s="11">
        <f>INT(B131)</f>
        <v/>
      </c>
      <c r="G131" s="11">
        <f>INT(C131)</f>
        <v/>
      </c>
    </row>
    <row r="132">
      <c r="A132" s="2" t="inlineStr">
        <is>
          <t>EXD407</t>
        </is>
      </c>
      <c r="B132" s="3" t="n">
        <v>46053.54699074074</v>
      </c>
      <c r="C132" s="3" t="n">
        <v>46053.75</v>
      </c>
      <c r="D132" s="4">
        <f>(C132-B132)*24</f>
        <v/>
      </c>
      <c r="E132" s="5">
        <f>IF(AND(HOUR(B132)&gt;=6,HOUR(B132)&lt;18),"Day Shift","Night Shift")</f>
        <v/>
      </c>
      <c r="F132" s="6">
        <f>INT(B132)</f>
        <v/>
      </c>
      <c r="G132" s="6">
        <f>INT(C132)</f>
        <v/>
      </c>
    </row>
    <row r="133">
      <c r="A133" s="7" t="inlineStr">
        <is>
          <t>EXD407</t>
        </is>
      </c>
      <c r="B133" s="8" t="n">
        <v>46053.75</v>
      </c>
      <c r="C133" s="8" t="n">
        <v>46054.25</v>
      </c>
      <c r="D133" s="9">
        <f>(C133-B133)*24</f>
        <v/>
      </c>
      <c r="E133" s="10">
        <f>IF(AND(HOUR(B133)&gt;=6,HOUR(B133)&lt;18),"Day Shift","Night Shift")</f>
        <v/>
      </c>
      <c r="F133" s="11">
        <f>INT(B133)</f>
        <v/>
      </c>
      <c r="G133" s="11">
        <f>INT(C133)</f>
        <v/>
      </c>
    </row>
    <row r="134">
      <c r="A134" s="2" t="inlineStr">
        <is>
          <t>EXD407</t>
        </is>
      </c>
      <c r="B134" s="3" t="n">
        <v>46054.25</v>
      </c>
      <c r="C134" s="3" t="n">
        <v>46054.26907407407</v>
      </c>
      <c r="D134" s="4">
        <f>(C134-B134)*24</f>
        <v/>
      </c>
      <c r="E134" s="5">
        <f>IF(AND(HOUR(B134)&gt;=6,HOUR(B134)&lt;18),"Day Shift","Night Shift")</f>
        <v/>
      </c>
      <c r="F134" s="6">
        <f>INT(B134)</f>
        <v/>
      </c>
      <c r="G134" s="6">
        <f>INT(C134)</f>
        <v/>
      </c>
    </row>
    <row r="135">
      <c r="A135" s="2" t="inlineStr">
        <is>
          <t>LDW265</t>
        </is>
      </c>
      <c r="B135" s="3" t="n">
        <v>46053.56336805555</v>
      </c>
      <c r="C135" s="3" t="n">
        <v>46053.75</v>
      </c>
      <c r="D135" s="4">
        <f>(C135-B135)*24</f>
        <v/>
      </c>
      <c r="E135" s="5">
        <f>IF(AND(HOUR(B135)&gt;=6,HOUR(B135)&lt;18),"Day Shift","Night Shift")</f>
        <v/>
      </c>
      <c r="F135" s="6">
        <f>INT(B135)</f>
        <v/>
      </c>
      <c r="G135" s="6">
        <f>INT(C135)</f>
        <v/>
      </c>
    </row>
    <row r="136">
      <c r="A136" s="7" t="inlineStr">
        <is>
          <t>LDW265</t>
        </is>
      </c>
      <c r="B136" s="8" t="n">
        <v>46053.75</v>
      </c>
      <c r="C136" s="8" t="n">
        <v>46053.85807870371</v>
      </c>
      <c r="D136" s="9">
        <f>(C136-B136)*24</f>
        <v/>
      </c>
      <c r="E136" s="10">
        <f>IF(AND(HOUR(B136)&gt;=6,HOUR(B136)&lt;18),"Day Shift","Night Shift")</f>
        <v/>
      </c>
      <c r="F136" s="11">
        <f>INT(B136)</f>
        <v/>
      </c>
      <c r="G136" s="11">
        <f>INT(C136)</f>
        <v/>
      </c>
    </row>
    <row r="137">
      <c r="A137" s="2" t="inlineStr">
        <is>
          <t>EXD98</t>
        </is>
      </c>
      <c r="B137" s="3" t="n">
        <v>46053.68790509259</v>
      </c>
      <c r="C137" s="3" t="n">
        <v>46053.75</v>
      </c>
      <c r="D137" s="4">
        <f>(C137-B137)*24</f>
        <v/>
      </c>
      <c r="E137" s="5">
        <f>IF(AND(HOUR(B137)&gt;=6,HOUR(B137)&lt;18),"Day Shift","Night Shift")</f>
        <v/>
      </c>
      <c r="F137" s="6">
        <f>INT(B137)</f>
        <v/>
      </c>
      <c r="G137" s="6">
        <f>INT(C137)</f>
        <v/>
      </c>
    </row>
    <row r="138">
      <c r="A138" s="7" t="inlineStr">
        <is>
          <t>EXD98</t>
        </is>
      </c>
      <c r="B138" s="8" t="n">
        <v>46053.75</v>
      </c>
      <c r="C138" s="8" t="n">
        <v>46054.1452662037</v>
      </c>
      <c r="D138" s="9">
        <f>(C138-B138)*24</f>
        <v/>
      </c>
      <c r="E138" s="10">
        <f>IF(AND(HOUR(B138)&gt;=6,HOUR(B138)&lt;18),"Day Shift","Night Shift")</f>
        <v/>
      </c>
      <c r="F138" s="11">
        <f>INT(B138)</f>
        <v/>
      </c>
      <c r="G138" s="11">
        <f>INT(C138)</f>
        <v/>
      </c>
    </row>
    <row r="139">
      <c r="A139" s="2" t="inlineStr">
        <is>
          <t>EXD61</t>
        </is>
      </c>
      <c r="B139" s="3" t="n">
        <v>46053.69401620371</v>
      </c>
      <c r="C139" s="3" t="n">
        <v>46053.75</v>
      </c>
      <c r="D139" s="4">
        <f>(C139-B139)*24</f>
        <v/>
      </c>
      <c r="E139" s="5">
        <f>IF(AND(HOUR(B139)&gt;=6,HOUR(B139)&lt;18),"Day Shift","Night Shift")</f>
        <v/>
      </c>
      <c r="F139" s="6">
        <f>INT(B139)</f>
        <v/>
      </c>
      <c r="G139" s="6">
        <f>INT(C139)</f>
        <v/>
      </c>
    </row>
    <row r="140">
      <c r="A140" s="7" t="inlineStr">
        <is>
          <t>EXD61</t>
        </is>
      </c>
      <c r="B140" s="8" t="n">
        <v>46053.75</v>
      </c>
      <c r="C140" s="8" t="n">
        <v>46054.25</v>
      </c>
      <c r="D140" s="9">
        <f>(C140-B140)*24</f>
        <v/>
      </c>
      <c r="E140" s="10">
        <f>IF(AND(HOUR(B140)&gt;=6,HOUR(B140)&lt;18),"Day Shift","Night Shift")</f>
        <v/>
      </c>
      <c r="F140" s="11">
        <f>INT(B140)</f>
        <v/>
      </c>
      <c r="G140" s="11">
        <f>INT(C140)</f>
        <v/>
      </c>
    </row>
    <row r="141">
      <c r="A141" s="2" t="inlineStr">
        <is>
          <t>EXD61</t>
        </is>
      </c>
      <c r="B141" s="3" t="n">
        <v>46054.25</v>
      </c>
      <c r="C141" s="3" t="n">
        <v>46054.75</v>
      </c>
      <c r="D141" s="4">
        <f>(C141-B141)*24</f>
        <v/>
      </c>
      <c r="E141" s="5">
        <f>IF(AND(HOUR(B141)&gt;=6,HOUR(B141)&lt;18),"Day Shift","Night Shift")</f>
        <v/>
      </c>
      <c r="F141" s="6">
        <f>INT(B141)</f>
        <v/>
      </c>
      <c r="G141" s="6">
        <f>INT(C141)</f>
        <v/>
      </c>
    </row>
    <row r="142">
      <c r="A142" s="7" t="inlineStr">
        <is>
          <t>EXD61</t>
        </is>
      </c>
      <c r="B142" s="8" t="n">
        <v>46054.75</v>
      </c>
      <c r="C142" s="8" t="n">
        <v>46055.25</v>
      </c>
      <c r="D142" s="9">
        <f>(C142-B142)*24</f>
        <v/>
      </c>
      <c r="E142" s="10">
        <f>IF(AND(HOUR(B142)&gt;=6,HOUR(B142)&lt;18),"Day Shift","Night Shift")</f>
        <v/>
      </c>
      <c r="F142" s="11">
        <f>INT(B142)</f>
        <v/>
      </c>
      <c r="G142" s="11">
        <f>INT(C142)</f>
        <v/>
      </c>
    </row>
    <row r="143">
      <c r="A143" s="2" t="inlineStr">
        <is>
          <t>EXD61</t>
        </is>
      </c>
      <c r="B143" s="3" t="n">
        <v>46055.25</v>
      </c>
      <c r="C143" s="3" t="n">
        <v>46055.75</v>
      </c>
      <c r="D143" s="4">
        <f>(C143-B143)*24</f>
        <v/>
      </c>
      <c r="E143" s="5">
        <f>IF(AND(HOUR(B143)&gt;=6,HOUR(B143)&lt;18),"Day Shift","Night Shift")</f>
        <v/>
      </c>
      <c r="F143" s="6">
        <f>INT(B143)</f>
        <v/>
      </c>
      <c r="G143" s="6">
        <f>INT(C143)</f>
        <v/>
      </c>
    </row>
    <row r="144">
      <c r="A144" s="7" t="inlineStr">
        <is>
          <t>EXD61</t>
        </is>
      </c>
      <c r="B144" s="8" t="n">
        <v>46055.75</v>
      </c>
      <c r="C144" s="8" t="n">
        <v>46056.25</v>
      </c>
      <c r="D144" s="9">
        <f>(C144-B144)*24</f>
        <v/>
      </c>
      <c r="E144" s="10">
        <f>IF(AND(HOUR(B144)&gt;=6,HOUR(B144)&lt;18),"Day Shift","Night Shift")</f>
        <v/>
      </c>
      <c r="F144" s="11">
        <f>INT(B144)</f>
        <v/>
      </c>
      <c r="G144" s="11">
        <f>INT(C144)</f>
        <v/>
      </c>
    </row>
    <row r="145">
      <c r="A145" s="2" t="inlineStr">
        <is>
          <t>EXD61</t>
        </is>
      </c>
      <c r="B145" s="3" t="n">
        <v>46056.25</v>
      </c>
      <c r="C145" s="3" t="n">
        <v>46056.75</v>
      </c>
      <c r="D145" s="4">
        <f>(C145-B145)*24</f>
        <v/>
      </c>
      <c r="E145" s="5">
        <f>IF(AND(HOUR(B145)&gt;=6,HOUR(B145)&lt;18),"Day Shift","Night Shift")</f>
        <v/>
      </c>
      <c r="F145" s="6">
        <f>INT(B145)</f>
        <v/>
      </c>
      <c r="G145" s="6">
        <f>INT(C145)</f>
        <v/>
      </c>
    </row>
    <row r="146">
      <c r="A146" s="7" t="inlineStr">
        <is>
          <t>EXD61</t>
        </is>
      </c>
      <c r="B146" s="8" t="n">
        <v>46056.75</v>
      </c>
      <c r="C146" s="8" t="n">
        <v>46057.25</v>
      </c>
      <c r="D146" s="9">
        <f>(C146-B146)*24</f>
        <v/>
      </c>
      <c r="E146" s="10">
        <f>IF(AND(HOUR(B146)&gt;=6,HOUR(B146)&lt;18),"Day Shift","Night Shift")</f>
        <v/>
      </c>
      <c r="F146" s="11">
        <f>INT(B146)</f>
        <v/>
      </c>
      <c r="G146" s="11">
        <f>INT(C146)</f>
        <v/>
      </c>
    </row>
    <row r="147">
      <c r="A147" s="2" t="inlineStr">
        <is>
          <t>EXD61</t>
        </is>
      </c>
      <c r="B147" s="3" t="n">
        <v>46057.25</v>
      </c>
      <c r="C147" s="3" t="n">
        <v>46057.75</v>
      </c>
      <c r="D147" s="4">
        <f>(C147-B147)*24</f>
        <v/>
      </c>
      <c r="E147" s="5">
        <f>IF(AND(HOUR(B147)&gt;=6,HOUR(B147)&lt;18),"Day Shift","Night Shift")</f>
        <v/>
      </c>
      <c r="F147" s="6">
        <f>INT(B147)</f>
        <v/>
      </c>
      <c r="G147" s="6">
        <f>INT(C147)</f>
        <v/>
      </c>
    </row>
    <row r="148">
      <c r="A148" s="7" t="inlineStr">
        <is>
          <t>EXD61</t>
        </is>
      </c>
      <c r="B148" s="8" t="n">
        <v>46057.75</v>
      </c>
      <c r="C148" s="8" t="n">
        <v>46058.03824074074</v>
      </c>
      <c r="D148" s="9">
        <f>(C148-B148)*24</f>
        <v/>
      </c>
      <c r="E148" s="10">
        <f>IF(AND(HOUR(B148)&gt;=6,HOUR(B148)&lt;18),"Day Shift","Night Shift")</f>
        <v/>
      </c>
      <c r="F148" s="11">
        <f>INT(B148)</f>
        <v/>
      </c>
      <c r="G148" s="11">
        <f>INT(C148)</f>
        <v/>
      </c>
    </row>
    <row r="149">
      <c r="A149" s="7" t="inlineStr">
        <is>
          <t>DRE12</t>
        </is>
      </c>
      <c r="B149" s="8" t="n">
        <v>46053.75</v>
      </c>
      <c r="C149" s="8" t="n">
        <v>46054.25</v>
      </c>
      <c r="D149" s="9">
        <f>(C149-B149)*24</f>
        <v/>
      </c>
      <c r="E149" s="10">
        <f>IF(AND(HOUR(B149)&gt;=6,HOUR(B149)&lt;18),"Day Shift","Night Shift")</f>
        <v/>
      </c>
      <c r="F149" s="11">
        <f>INT(B149)</f>
        <v/>
      </c>
      <c r="G149" s="11">
        <f>INT(C149)</f>
        <v/>
      </c>
    </row>
    <row r="150">
      <c r="A150" s="2" t="inlineStr">
        <is>
          <t>DRE12</t>
        </is>
      </c>
      <c r="B150" s="3" t="n">
        <v>46054.25</v>
      </c>
      <c r="C150" s="3" t="n">
        <v>46054.32517361111</v>
      </c>
      <c r="D150" s="4">
        <f>(C150-B150)*24</f>
        <v/>
      </c>
      <c r="E150" s="5">
        <f>IF(AND(HOUR(B150)&gt;=6,HOUR(B150)&lt;18),"Day Shift","Night Shift")</f>
        <v/>
      </c>
      <c r="F150" s="6">
        <f>INT(B150)</f>
        <v/>
      </c>
      <c r="G150" s="6">
        <f>INT(C150)</f>
        <v/>
      </c>
    </row>
    <row r="151">
      <c r="A151" s="7" t="inlineStr">
        <is>
          <t>DRE09</t>
        </is>
      </c>
      <c r="B151" s="8" t="n">
        <v>46053.75015046296</v>
      </c>
      <c r="C151" s="8" t="n">
        <v>46054.25</v>
      </c>
      <c r="D151" s="9">
        <f>(C151-B151)*24</f>
        <v/>
      </c>
      <c r="E151" s="10">
        <f>IF(AND(HOUR(B151)&gt;=6,HOUR(B151)&lt;18),"Day Shift","Night Shift")</f>
        <v/>
      </c>
      <c r="F151" s="11">
        <f>INT(B151)</f>
        <v/>
      </c>
      <c r="G151" s="11">
        <f>INT(C151)</f>
        <v/>
      </c>
    </row>
    <row r="152">
      <c r="A152" s="2" t="inlineStr">
        <is>
          <t>DRE09</t>
        </is>
      </c>
      <c r="B152" s="3" t="n">
        <v>46054.25</v>
      </c>
      <c r="C152" s="3" t="n">
        <v>46054.75</v>
      </c>
      <c r="D152" s="4">
        <f>(C152-B152)*24</f>
        <v/>
      </c>
      <c r="E152" s="5">
        <f>IF(AND(HOUR(B152)&gt;=6,HOUR(B152)&lt;18),"Day Shift","Night Shift")</f>
        <v/>
      </c>
      <c r="F152" s="6">
        <f>INT(B152)</f>
        <v/>
      </c>
      <c r="G152" s="6">
        <f>INT(C152)</f>
        <v/>
      </c>
    </row>
    <row r="153">
      <c r="A153" s="7" t="inlineStr">
        <is>
          <t>DRE09</t>
        </is>
      </c>
      <c r="B153" s="8" t="n">
        <v>46054.75</v>
      </c>
      <c r="C153" s="8" t="n">
        <v>46055.25</v>
      </c>
      <c r="D153" s="9">
        <f>(C153-B153)*24</f>
        <v/>
      </c>
      <c r="E153" s="10">
        <f>IF(AND(HOUR(B153)&gt;=6,HOUR(B153)&lt;18),"Day Shift","Night Shift")</f>
        <v/>
      </c>
      <c r="F153" s="11">
        <f>INT(B153)</f>
        <v/>
      </c>
      <c r="G153" s="11">
        <f>INT(C153)</f>
        <v/>
      </c>
    </row>
    <row r="154">
      <c r="A154" s="2" t="inlineStr">
        <is>
          <t>DRE09</t>
        </is>
      </c>
      <c r="B154" s="3" t="n">
        <v>46055.25</v>
      </c>
      <c r="C154" s="3" t="n">
        <v>46055.75</v>
      </c>
      <c r="D154" s="4">
        <f>(C154-B154)*24</f>
        <v/>
      </c>
      <c r="E154" s="5">
        <f>IF(AND(HOUR(B154)&gt;=6,HOUR(B154)&lt;18),"Day Shift","Night Shift")</f>
        <v/>
      </c>
      <c r="F154" s="6">
        <f>INT(B154)</f>
        <v/>
      </c>
      <c r="G154" s="6">
        <f>INT(C154)</f>
        <v/>
      </c>
    </row>
    <row r="155">
      <c r="A155" s="7" t="inlineStr">
        <is>
          <t>DRE09</t>
        </is>
      </c>
      <c r="B155" s="8" t="n">
        <v>46055.75</v>
      </c>
      <c r="C155" s="8" t="n">
        <v>46055.8322800926</v>
      </c>
      <c r="D155" s="9">
        <f>(C155-B155)*24</f>
        <v/>
      </c>
      <c r="E155" s="10">
        <f>IF(AND(HOUR(B155)&gt;=6,HOUR(B155)&lt;18),"Day Shift","Night Shift")</f>
        <v/>
      </c>
      <c r="F155" s="11">
        <f>INT(B155)</f>
        <v/>
      </c>
      <c r="G155" s="11">
        <f>INT(C155)</f>
        <v/>
      </c>
    </row>
    <row r="156">
      <c r="A156" s="7" t="inlineStr">
        <is>
          <t>DRE08</t>
        </is>
      </c>
      <c r="B156" s="8" t="n">
        <v>46053.75192129629</v>
      </c>
      <c r="C156" s="8" t="n">
        <v>46054.25</v>
      </c>
      <c r="D156" s="9">
        <f>(C156-B156)*24</f>
        <v/>
      </c>
      <c r="E156" s="10">
        <f>IF(AND(HOUR(B156)&gt;=6,HOUR(B156)&lt;18),"Day Shift","Night Shift")</f>
        <v/>
      </c>
      <c r="F156" s="11">
        <f>INT(B156)</f>
        <v/>
      </c>
      <c r="G156" s="11">
        <f>INT(C156)</f>
        <v/>
      </c>
    </row>
    <row r="157">
      <c r="A157" s="2" t="inlineStr">
        <is>
          <t>DRE08</t>
        </is>
      </c>
      <c r="B157" s="3" t="n">
        <v>46054.25</v>
      </c>
      <c r="C157" s="3" t="n">
        <v>46054.75</v>
      </c>
      <c r="D157" s="4">
        <f>(C157-B157)*24</f>
        <v/>
      </c>
      <c r="E157" s="5">
        <f>IF(AND(HOUR(B157)&gt;=6,HOUR(B157)&lt;18),"Day Shift","Night Shift")</f>
        <v/>
      </c>
      <c r="F157" s="6">
        <f>INT(B157)</f>
        <v/>
      </c>
      <c r="G157" s="6">
        <f>INT(C157)</f>
        <v/>
      </c>
    </row>
    <row r="158">
      <c r="A158" s="7" t="inlineStr">
        <is>
          <t>DRE08</t>
        </is>
      </c>
      <c r="B158" s="8" t="n">
        <v>46054.75</v>
      </c>
      <c r="C158" s="8" t="n">
        <v>46055.25</v>
      </c>
      <c r="D158" s="9">
        <f>(C158-B158)*24</f>
        <v/>
      </c>
      <c r="E158" s="10">
        <f>IF(AND(HOUR(B158)&gt;=6,HOUR(B158)&lt;18),"Day Shift","Night Shift")</f>
        <v/>
      </c>
      <c r="F158" s="11">
        <f>INT(B158)</f>
        <v/>
      </c>
      <c r="G158" s="11">
        <f>INT(C158)</f>
        <v/>
      </c>
    </row>
    <row r="159">
      <c r="A159" s="2" t="inlineStr">
        <is>
          <t>DRE08</t>
        </is>
      </c>
      <c r="B159" s="3" t="n">
        <v>46055.25</v>
      </c>
      <c r="C159" s="3" t="n">
        <v>46055.75</v>
      </c>
      <c r="D159" s="4">
        <f>(C159-B159)*24</f>
        <v/>
      </c>
      <c r="E159" s="5">
        <f>IF(AND(HOUR(B159)&gt;=6,HOUR(B159)&lt;18),"Day Shift","Night Shift")</f>
        <v/>
      </c>
      <c r="F159" s="6">
        <f>INT(B159)</f>
        <v/>
      </c>
      <c r="G159" s="6">
        <f>INT(C159)</f>
        <v/>
      </c>
    </row>
    <row r="160">
      <c r="A160" s="7" t="inlineStr">
        <is>
          <t>DRE08</t>
        </is>
      </c>
      <c r="B160" s="8" t="n">
        <v>46055.75</v>
      </c>
      <c r="C160" s="8" t="n">
        <v>46056.25</v>
      </c>
      <c r="D160" s="9">
        <f>(C160-B160)*24</f>
        <v/>
      </c>
      <c r="E160" s="10">
        <f>IF(AND(HOUR(B160)&gt;=6,HOUR(B160)&lt;18),"Day Shift","Night Shift")</f>
        <v/>
      </c>
      <c r="F160" s="11">
        <f>INT(B160)</f>
        <v/>
      </c>
      <c r="G160" s="11">
        <f>INT(C160)</f>
        <v/>
      </c>
    </row>
    <row r="161">
      <c r="A161" s="2" t="inlineStr">
        <is>
          <t>DRE08</t>
        </is>
      </c>
      <c r="B161" s="3" t="n">
        <v>46056.25</v>
      </c>
      <c r="C161" s="3" t="n">
        <v>46056.75</v>
      </c>
      <c r="D161" s="4">
        <f>(C161-B161)*24</f>
        <v/>
      </c>
      <c r="E161" s="5">
        <f>IF(AND(HOUR(B161)&gt;=6,HOUR(B161)&lt;18),"Day Shift","Night Shift")</f>
        <v/>
      </c>
      <c r="F161" s="6">
        <f>INT(B161)</f>
        <v/>
      </c>
      <c r="G161" s="6">
        <f>INT(C161)</f>
        <v/>
      </c>
    </row>
    <row r="162">
      <c r="A162" s="7" t="inlineStr">
        <is>
          <t>DRE08</t>
        </is>
      </c>
      <c r="B162" s="8" t="n">
        <v>46056.75</v>
      </c>
      <c r="C162" s="8" t="n">
        <v>46057.19516203704</v>
      </c>
      <c r="D162" s="9">
        <f>(C162-B162)*24</f>
        <v/>
      </c>
      <c r="E162" s="10">
        <f>IF(AND(HOUR(B162)&gt;=6,HOUR(B162)&lt;18),"Day Shift","Night Shift")</f>
        <v/>
      </c>
      <c r="F162" s="11">
        <f>INT(B162)</f>
        <v/>
      </c>
      <c r="G162" s="11">
        <f>INT(C162)</f>
        <v/>
      </c>
    </row>
    <row r="163">
      <c r="A163" s="7" t="inlineStr">
        <is>
          <t>EXD408</t>
        </is>
      </c>
      <c r="B163" s="8" t="n">
        <v>46053.75278935185</v>
      </c>
      <c r="C163" s="8" t="n">
        <v>46054.22449074074</v>
      </c>
      <c r="D163" s="9">
        <f>(C163-B163)*24</f>
        <v/>
      </c>
      <c r="E163" s="10">
        <f>IF(AND(HOUR(B163)&gt;=6,HOUR(B163)&lt;18),"Day Shift","Night Shift")</f>
        <v/>
      </c>
      <c r="F163" s="11">
        <f>INT(B163)</f>
        <v/>
      </c>
      <c r="G163" s="11">
        <f>INT(C163)</f>
        <v/>
      </c>
    </row>
    <row r="164">
      <c r="A164" s="7" t="inlineStr">
        <is>
          <t>EXD60</t>
        </is>
      </c>
      <c r="B164" s="8" t="n">
        <v>46053.84204861111</v>
      </c>
      <c r="C164" s="8" t="n">
        <v>46054.14934027778</v>
      </c>
      <c r="D164" s="9">
        <f>(C164-B164)*24</f>
        <v/>
      </c>
      <c r="E164" s="10">
        <f>IF(AND(HOUR(B164)&gt;=6,HOUR(B164)&lt;18),"Day Shift","Night Shift")</f>
        <v/>
      </c>
      <c r="F164" s="11">
        <f>INT(B164)</f>
        <v/>
      </c>
      <c r="G164" s="11">
        <f>INT(C164)</f>
        <v/>
      </c>
    </row>
    <row r="165">
      <c r="A165" s="7" t="inlineStr">
        <is>
          <t>EXD409</t>
        </is>
      </c>
      <c r="B165" s="8" t="n">
        <v>46053.85421296296</v>
      </c>
      <c r="C165" s="8" t="n">
        <v>46054.25</v>
      </c>
      <c r="D165" s="9">
        <f>(C165-B165)*24</f>
        <v/>
      </c>
      <c r="E165" s="10">
        <f>IF(AND(HOUR(B165)&gt;=6,HOUR(B165)&lt;18),"Day Shift","Night Shift")</f>
        <v/>
      </c>
      <c r="F165" s="11">
        <f>INT(B165)</f>
        <v/>
      </c>
      <c r="G165" s="11">
        <f>INT(C165)</f>
        <v/>
      </c>
    </row>
    <row r="166">
      <c r="A166" s="2" t="inlineStr">
        <is>
          <t>EXD409</t>
        </is>
      </c>
      <c r="B166" s="3" t="n">
        <v>46054.25</v>
      </c>
      <c r="C166" s="3" t="n">
        <v>46054.37140046297</v>
      </c>
      <c r="D166" s="4">
        <f>(C166-B166)*24</f>
        <v/>
      </c>
      <c r="E166" s="5">
        <f>IF(AND(HOUR(B166)&gt;=6,HOUR(B166)&lt;18),"Day Shift","Night Shift")</f>
        <v/>
      </c>
      <c r="F166" s="6">
        <f>INT(B166)</f>
        <v/>
      </c>
      <c r="G166" s="6">
        <f>INT(C166)</f>
        <v/>
      </c>
    </row>
    <row r="167">
      <c r="A167" s="7" t="inlineStr">
        <is>
          <t>SHE36</t>
        </is>
      </c>
      <c r="B167" s="8" t="n">
        <v>46053.97693287037</v>
      </c>
      <c r="C167" s="8" t="n">
        <v>46054.25</v>
      </c>
      <c r="D167" s="9">
        <f>(C167-B167)*24</f>
        <v/>
      </c>
      <c r="E167" s="10">
        <f>IF(AND(HOUR(B167)&gt;=6,HOUR(B167)&lt;18),"Day Shift","Night Shift")</f>
        <v/>
      </c>
      <c r="F167" s="11">
        <f>INT(B167)</f>
        <v/>
      </c>
      <c r="G167" s="11">
        <f>INT(C167)</f>
        <v/>
      </c>
    </row>
    <row r="168">
      <c r="A168" s="2" t="inlineStr">
        <is>
          <t>SHE36</t>
        </is>
      </c>
      <c r="B168" s="3" t="n">
        <v>46054.25</v>
      </c>
      <c r="C168" s="3" t="n">
        <v>46054.75</v>
      </c>
      <c r="D168" s="4">
        <f>(C168-B168)*24</f>
        <v/>
      </c>
      <c r="E168" s="5">
        <f>IF(AND(HOUR(B168)&gt;=6,HOUR(B168)&lt;18),"Day Shift","Night Shift")</f>
        <v/>
      </c>
      <c r="F168" s="6">
        <f>INT(B168)</f>
        <v/>
      </c>
      <c r="G168" s="6">
        <f>INT(C168)</f>
        <v/>
      </c>
    </row>
    <row r="169">
      <c r="A169" s="7" t="inlineStr">
        <is>
          <t>SHE36</t>
        </is>
      </c>
      <c r="B169" s="8" t="n">
        <v>46054.75</v>
      </c>
      <c r="C169" s="8" t="n">
        <v>46055.25</v>
      </c>
      <c r="D169" s="9">
        <f>(C169-B169)*24</f>
        <v/>
      </c>
      <c r="E169" s="10">
        <f>IF(AND(HOUR(B169)&gt;=6,HOUR(B169)&lt;18),"Day Shift","Night Shift")</f>
        <v/>
      </c>
      <c r="F169" s="11">
        <f>INT(B169)</f>
        <v/>
      </c>
      <c r="G169" s="11">
        <f>INT(C169)</f>
        <v/>
      </c>
    </row>
    <row r="170">
      <c r="A170" s="2" t="inlineStr">
        <is>
          <t>SHE36</t>
        </is>
      </c>
      <c r="B170" s="3" t="n">
        <v>46055.25</v>
      </c>
      <c r="C170" s="3" t="n">
        <v>46055.26333333334</v>
      </c>
      <c r="D170" s="4">
        <f>(C170-B170)*24</f>
        <v/>
      </c>
      <c r="E170" s="5">
        <f>IF(AND(HOUR(B170)&gt;=6,HOUR(B170)&lt;18),"Day Shift","Night Shift")</f>
        <v/>
      </c>
      <c r="F170" s="6">
        <f>INT(B170)</f>
        <v/>
      </c>
      <c r="G170" s="6">
        <f>INT(C170)</f>
        <v/>
      </c>
    </row>
    <row r="171">
      <c r="A171" s="7" t="inlineStr">
        <is>
          <t>EXD100</t>
        </is>
      </c>
      <c r="B171" s="8" t="n">
        <v>46053.97737268519</v>
      </c>
      <c r="C171" s="8" t="n">
        <v>46054.25</v>
      </c>
      <c r="D171" s="9">
        <f>(C171-B171)*24</f>
        <v/>
      </c>
      <c r="E171" s="10">
        <f>IF(AND(HOUR(B171)&gt;=6,HOUR(B171)&lt;18),"Day Shift","Night Shift")</f>
        <v/>
      </c>
      <c r="F171" s="11">
        <f>INT(B171)</f>
        <v/>
      </c>
      <c r="G171" s="11">
        <f>INT(C171)</f>
        <v/>
      </c>
    </row>
    <row r="172">
      <c r="A172" s="2" t="inlineStr">
        <is>
          <t>EXD100</t>
        </is>
      </c>
      <c r="B172" s="3" t="n">
        <v>46054.25</v>
      </c>
      <c r="C172" s="3" t="n">
        <v>46054.75</v>
      </c>
      <c r="D172" s="4">
        <f>(C172-B172)*24</f>
        <v/>
      </c>
      <c r="E172" s="5">
        <f>IF(AND(HOUR(B172)&gt;=6,HOUR(B172)&lt;18),"Day Shift","Night Shift")</f>
        <v/>
      </c>
      <c r="F172" s="6">
        <f>INT(B172)</f>
        <v/>
      </c>
      <c r="G172" s="6">
        <f>INT(C172)</f>
        <v/>
      </c>
    </row>
    <row r="173">
      <c r="A173" s="7" t="inlineStr">
        <is>
          <t>EXD100</t>
        </is>
      </c>
      <c r="B173" s="8" t="n">
        <v>46054.75</v>
      </c>
      <c r="C173" s="8" t="n">
        <v>46054.77991898148</v>
      </c>
      <c r="D173" s="9">
        <f>(C173-B173)*24</f>
        <v/>
      </c>
      <c r="E173" s="10">
        <f>IF(AND(HOUR(B173)&gt;=6,HOUR(B173)&lt;18),"Day Shift","Night Shift")</f>
        <v/>
      </c>
      <c r="F173" s="11">
        <f>INT(B173)</f>
        <v/>
      </c>
      <c r="G173" s="11">
        <f>INT(C173)</f>
        <v/>
      </c>
    </row>
    <row r="174">
      <c r="A174" s="7" t="inlineStr">
        <is>
          <t>LDW265</t>
        </is>
      </c>
      <c r="B174" s="8" t="n">
        <v>46054.00681712963</v>
      </c>
      <c r="C174" s="8" t="n">
        <v>46054.25</v>
      </c>
      <c r="D174" s="9">
        <f>(C174-B174)*24</f>
        <v/>
      </c>
      <c r="E174" s="10">
        <f>IF(AND(HOUR(B174)&gt;=6,HOUR(B174)&lt;18),"Day Shift","Night Shift")</f>
        <v/>
      </c>
      <c r="F174" s="11">
        <f>INT(B174)</f>
        <v/>
      </c>
      <c r="G174" s="11">
        <f>INT(C174)</f>
        <v/>
      </c>
    </row>
    <row r="175">
      <c r="A175" s="2" t="inlineStr">
        <is>
          <t>LDW265</t>
        </is>
      </c>
      <c r="B175" s="3" t="n">
        <v>46054.25</v>
      </c>
      <c r="C175" s="3" t="n">
        <v>46054.41391203704</v>
      </c>
      <c r="D175" s="4">
        <f>(C175-B175)*24</f>
        <v/>
      </c>
      <c r="E175" s="5">
        <f>IF(AND(HOUR(B175)&gt;=6,HOUR(B175)&lt;18),"Day Shift","Night Shift")</f>
        <v/>
      </c>
      <c r="F175" s="6">
        <f>INT(B175)</f>
        <v/>
      </c>
      <c r="G175" s="6">
        <f>INT(C175)</f>
        <v/>
      </c>
    </row>
    <row r="176">
      <c r="A176" s="7" t="inlineStr">
        <is>
          <t>EXD51</t>
        </is>
      </c>
      <c r="B176" s="8" t="n">
        <v>46054.108125</v>
      </c>
      <c r="C176" s="8" t="n">
        <v>46054.25</v>
      </c>
      <c r="D176" s="9">
        <f>(C176-B176)*24</f>
        <v/>
      </c>
      <c r="E176" s="10">
        <f>IF(AND(HOUR(B176)&gt;=6,HOUR(B176)&lt;18),"Day Shift","Night Shift")</f>
        <v/>
      </c>
      <c r="F176" s="11">
        <f>INT(B176)</f>
        <v/>
      </c>
      <c r="G176" s="11">
        <f>INT(C176)</f>
        <v/>
      </c>
    </row>
    <row r="177">
      <c r="A177" s="2" t="inlineStr">
        <is>
          <t>EXD51</t>
        </is>
      </c>
      <c r="B177" s="3" t="n">
        <v>46054.25</v>
      </c>
      <c r="C177" s="3" t="n">
        <v>46054.35611111111</v>
      </c>
      <c r="D177" s="4">
        <f>(C177-B177)*24</f>
        <v/>
      </c>
      <c r="E177" s="5">
        <f>IF(AND(HOUR(B177)&gt;=6,HOUR(B177)&lt;18),"Day Shift","Night Shift")</f>
        <v/>
      </c>
      <c r="F177" s="6">
        <f>INT(B177)</f>
        <v/>
      </c>
      <c r="G177" s="6">
        <f>INT(C177)</f>
        <v/>
      </c>
    </row>
    <row r="178">
      <c r="A178" s="7" t="inlineStr">
        <is>
          <t>EXD60</t>
        </is>
      </c>
      <c r="B178" s="8" t="n">
        <v>46054.14934027778</v>
      </c>
      <c r="C178" s="8" t="n">
        <v>46054.25</v>
      </c>
      <c r="D178" s="9">
        <f>(C178-B178)*24</f>
        <v/>
      </c>
      <c r="E178" s="10">
        <f>IF(AND(HOUR(B178)&gt;=6,HOUR(B178)&lt;18),"Day Shift","Night Shift")</f>
        <v/>
      </c>
      <c r="F178" s="11">
        <f>INT(B178)</f>
        <v/>
      </c>
      <c r="G178" s="11">
        <f>INT(C178)</f>
        <v/>
      </c>
    </row>
    <row r="179">
      <c r="A179" s="2" t="inlineStr">
        <is>
          <t>EXD60</t>
        </is>
      </c>
      <c r="B179" s="3" t="n">
        <v>46054.25</v>
      </c>
      <c r="C179" s="3" t="n">
        <v>46054.75</v>
      </c>
      <c r="D179" s="4">
        <f>(C179-B179)*24</f>
        <v/>
      </c>
      <c r="E179" s="5">
        <f>IF(AND(HOUR(B179)&gt;=6,HOUR(B179)&lt;18),"Day Shift","Night Shift")</f>
        <v/>
      </c>
      <c r="F179" s="6">
        <f>INT(B179)</f>
        <v/>
      </c>
      <c r="G179" s="6">
        <f>INT(C179)</f>
        <v/>
      </c>
    </row>
    <row r="180">
      <c r="A180" s="7" t="inlineStr">
        <is>
          <t>EXD60</t>
        </is>
      </c>
      <c r="B180" s="8" t="n">
        <v>46054.75</v>
      </c>
      <c r="C180" s="8" t="n">
        <v>46055.25</v>
      </c>
      <c r="D180" s="9">
        <f>(C180-B180)*24</f>
        <v/>
      </c>
      <c r="E180" s="10">
        <f>IF(AND(HOUR(B180)&gt;=6,HOUR(B180)&lt;18),"Day Shift","Night Shift")</f>
        <v/>
      </c>
      <c r="F180" s="11">
        <f>INT(B180)</f>
        <v/>
      </c>
      <c r="G180" s="11">
        <f>INT(C180)</f>
        <v/>
      </c>
    </row>
    <row r="181">
      <c r="A181" s="2" t="inlineStr">
        <is>
          <t>EXD60</t>
        </is>
      </c>
      <c r="B181" s="3" t="n">
        <v>46055.25</v>
      </c>
      <c r="C181" s="3" t="n">
        <v>46055.46391203703</v>
      </c>
      <c r="D181" s="4">
        <f>(C181-B181)*24</f>
        <v/>
      </c>
      <c r="E181" s="5">
        <f>IF(AND(HOUR(B181)&gt;=6,HOUR(B181)&lt;18),"Day Shift","Night Shift")</f>
        <v/>
      </c>
      <c r="F181" s="6">
        <f>INT(B181)</f>
        <v/>
      </c>
      <c r="G181" s="6">
        <f>INT(C181)</f>
        <v/>
      </c>
    </row>
    <row r="182">
      <c r="A182" s="2" t="inlineStr">
        <is>
          <t>EDD175;EDD812</t>
        </is>
      </c>
      <c r="B182" s="3" t="n">
        <v>46054.25</v>
      </c>
      <c r="C182" s="3" t="n">
        <v>46054.46179398148</v>
      </c>
      <c r="D182" s="4">
        <f>(C182-B182)*24</f>
        <v/>
      </c>
      <c r="E182" s="5">
        <f>IF(AND(HOUR(B182)&gt;=6,HOUR(B182)&lt;18),"Day Shift","Night Shift")</f>
        <v/>
      </c>
      <c r="F182" s="6">
        <f>INT(B182)</f>
        <v/>
      </c>
      <c r="G182" s="6">
        <f>INT(C182)</f>
        <v/>
      </c>
    </row>
    <row r="183">
      <c r="A183" s="2" t="inlineStr">
        <is>
          <t>EDD2134</t>
        </is>
      </c>
      <c r="B183" s="3" t="n">
        <v>46054.25</v>
      </c>
      <c r="C183" s="3" t="n">
        <v>46054.75</v>
      </c>
      <c r="D183" s="4">
        <f>(C183-B183)*24</f>
        <v/>
      </c>
      <c r="E183" s="5">
        <f>IF(AND(HOUR(B183)&gt;=6,HOUR(B183)&lt;18),"Day Shift","Night Shift")</f>
        <v/>
      </c>
      <c r="F183" s="6">
        <f>INT(B183)</f>
        <v/>
      </c>
      <c r="G183" s="6">
        <f>INT(C183)</f>
        <v/>
      </c>
    </row>
    <row r="184">
      <c r="A184" s="7" t="inlineStr">
        <is>
          <t>EDD2134</t>
        </is>
      </c>
      <c r="B184" s="8" t="n">
        <v>46054.75</v>
      </c>
      <c r="C184" s="8" t="n">
        <v>46054.76542824074</v>
      </c>
      <c r="D184" s="9">
        <f>(C184-B184)*24</f>
        <v/>
      </c>
      <c r="E184" s="10">
        <f>IF(AND(HOUR(B184)&gt;=6,HOUR(B184)&lt;18),"Day Shift","Night Shift")</f>
        <v/>
      </c>
      <c r="F184" s="11">
        <f>INT(B184)</f>
        <v/>
      </c>
      <c r="G184" s="11">
        <f>INT(C184)</f>
        <v/>
      </c>
    </row>
    <row r="185">
      <c r="A185" s="2" t="inlineStr">
        <is>
          <t>EXD73</t>
        </is>
      </c>
      <c r="B185" s="3" t="n">
        <v>46054.28619212963</v>
      </c>
      <c r="C185" s="3" t="n">
        <v>46054.75</v>
      </c>
      <c r="D185" s="4">
        <f>(C185-B185)*24</f>
        <v/>
      </c>
      <c r="E185" s="5">
        <f>IF(AND(HOUR(B185)&gt;=6,HOUR(B185)&lt;18),"Day Shift","Night Shift")</f>
        <v/>
      </c>
      <c r="F185" s="6">
        <f>INT(B185)</f>
        <v/>
      </c>
      <c r="G185" s="6">
        <f>INT(C185)</f>
        <v/>
      </c>
    </row>
    <row r="186">
      <c r="A186" s="7" t="inlineStr">
        <is>
          <t>EXD73</t>
        </is>
      </c>
      <c r="B186" s="8" t="n">
        <v>46054.75</v>
      </c>
      <c r="C186" s="8" t="n">
        <v>46055.05471064815</v>
      </c>
      <c r="D186" s="9">
        <f>(C186-B186)*24</f>
        <v/>
      </c>
      <c r="E186" s="10">
        <f>IF(AND(HOUR(B186)&gt;=6,HOUR(B186)&lt;18),"Day Shift","Night Shift")</f>
        <v/>
      </c>
      <c r="F186" s="11">
        <f>INT(B186)</f>
        <v/>
      </c>
      <c r="G186" s="11">
        <f>INT(C186)</f>
        <v/>
      </c>
    </row>
    <row r="187">
      <c r="A187" s="2" t="inlineStr">
        <is>
          <t>EDD2541</t>
        </is>
      </c>
      <c r="B187" s="3" t="n">
        <v>46054.31527777778</v>
      </c>
      <c r="C187" s="3" t="n">
        <v>46054.62460648148</v>
      </c>
      <c r="D187" s="4">
        <f>(C187-B187)*24</f>
        <v/>
      </c>
      <c r="E187" s="5">
        <f>IF(AND(HOUR(B187)&gt;=6,HOUR(B187)&lt;18),"Day Shift","Night Shift")</f>
        <v/>
      </c>
      <c r="F187" s="6">
        <f>INT(B187)</f>
        <v/>
      </c>
      <c r="G187" s="6">
        <f>INT(C187)</f>
        <v/>
      </c>
    </row>
    <row r="188">
      <c r="A188" s="2" t="inlineStr">
        <is>
          <t>DRE12</t>
        </is>
      </c>
      <c r="B188" s="3" t="n">
        <v>46054.32517361111</v>
      </c>
      <c r="C188" s="3" t="n">
        <v>46054.75</v>
      </c>
      <c r="D188" s="4">
        <f>(C188-B188)*24</f>
        <v/>
      </c>
      <c r="E188" s="5">
        <f>IF(AND(HOUR(B188)&gt;=6,HOUR(B188)&lt;18),"Day Shift","Night Shift")</f>
        <v/>
      </c>
      <c r="F188" s="6">
        <f>INT(B188)</f>
        <v/>
      </c>
      <c r="G188" s="6">
        <f>INT(C188)</f>
        <v/>
      </c>
    </row>
    <row r="189">
      <c r="A189" s="7" t="inlineStr">
        <is>
          <t>DRE12</t>
        </is>
      </c>
      <c r="B189" s="8" t="n">
        <v>46054.75</v>
      </c>
      <c r="C189" s="8" t="n">
        <v>46055.25</v>
      </c>
      <c r="D189" s="9">
        <f>(C189-B189)*24</f>
        <v/>
      </c>
      <c r="E189" s="10">
        <f>IF(AND(HOUR(B189)&gt;=6,HOUR(B189)&lt;18),"Day Shift","Night Shift")</f>
        <v/>
      </c>
      <c r="F189" s="11">
        <f>INT(B189)</f>
        <v/>
      </c>
      <c r="G189" s="11">
        <f>INT(C189)</f>
        <v/>
      </c>
    </row>
    <row r="190">
      <c r="A190" s="2" t="inlineStr">
        <is>
          <t>DRE12</t>
        </is>
      </c>
      <c r="B190" s="3" t="n">
        <v>46055.25</v>
      </c>
      <c r="C190" s="3" t="n">
        <v>46055.75</v>
      </c>
      <c r="D190" s="4">
        <f>(C190-B190)*24</f>
        <v/>
      </c>
      <c r="E190" s="5">
        <f>IF(AND(HOUR(B190)&gt;=6,HOUR(B190)&lt;18),"Day Shift","Night Shift")</f>
        <v/>
      </c>
      <c r="F190" s="6">
        <f>INT(B190)</f>
        <v/>
      </c>
      <c r="G190" s="6">
        <f>INT(C190)</f>
        <v/>
      </c>
    </row>
    <row r="191">
      <c r="A191" s="7" t="inlineStr">
        <is>
          <t>DRE12</t>
        </is>
      </c>
      <c r="B191" s="8" t="n">
        <v>46055.75</v>
      </c>
      <c r="C191" s="8" t="n">
        <v>46056.25</v>
      </c>
      <c r="D191" s="9">
        <f>(C191-B191)*24</f>
        <v/>
      </c>
      <c r="E191" s="10">
        <f>IF(AND(HOUR(B191)&gt;=6,HOUR(B191)&lt;18),"Day Shift","Night Shift")</f>
        <v/>
      </c>
      <c r="F191" s="11">
        <f>INT(B191)</f>
        <v/>
      </c>
      <c r="G191" s="11">
        <f>INT(C191)</f>
        <v/>
      </c>
    </row>
    <row r="192">
      <c r="A192" s="2" t="inlineStr">
        <is>
          <t>DRE12</t>
        </is>
      </c>
      <c r="B192" s="3" t="n">
        <v>46056.25</v>
      </c>
      <c r="C192" s="3" t="n">
        <v>46056.75</v>
      </c>
      <c r="D192" s="4">
        <f>(C192-B192)*24</f>
        <v/>
      </c>
      <c r="E192" s="5">
        <f>IF(AND(HOUR(B192)&gt;=6,HOUR(B192)&lt;18),"Day Shift","Night Shift")</f>
        <v/>
      </c>
      <c r="F192" s="6">
        <f>INT(B192)</f>
        <v/>
      </c>
      <c r="G192" s="6">
        <f>INT(C192)</f>
        <v/>
      </c>
    </row>
    <row r="193">
      <c r="A193" s="7" t="inlineStr">
        <is>
          <t>DRE12</t>
        </is>
      </c>
      <c r="B193" s="8" t="n">
        <v>46056.75</v>
      </c>
      <c r="C193" s="8" t="n">
        <v>46057.25</v>
      </c>
      <c r="D193" s="9">
        <f>(C193-B193)*24</f>
        <v/>
      </c>
      <c r="E193" s="10">
        <f>IF(AND(HOUR(B193)&gt;=6,HOUR(B193)&lt;18),"Day Shift","Night Shift")</f>
        <v/>
      </c>
      <c r="F193" s="11">
        <f>INT(B193)</f>
        <v/>
      </c>
      <c r="G193" s="11">
        <f>INT(C193)</f>
        <v/>
      </c>
    </row>
    <row r="194">
      <c r="A194" s="2" t="inlineStr">
        <is>
          <t>DRE12</t>
        </is>
      </c>
      <c r="B194" s="3" t="n">
        <v>46057.25</v>
      </c>
      <c r="C194" s="3" t="n">
        <v>46057.75</v>
      </c>
      <c r="D194" s="4">
        <f>(C194-B194)*24</f>
        <v/>
      </c>
      <c r="E194" s="5">
        <f>IF(AND(HOUR(B194)&gt;=6,HOUR(B194)&lt;18),"Day Shift","Night Shift")</f>
        <v/>
      </c>
      <c r="F194" s="6">
        <f>INT(B194)</f>
        <v/>
      </c>
      <c r="G194" s="6">
        <f>INT(C194)</f>
        <v/>
      </c>
    </row>
    <row r="195">
      <c r="A195" s="7" t="inlineStr">
        <is>
          <t>DRE12</t>
        </is>
      </c>
      <c r="B195" s="8" t="n">
        <v>46057.75</v>
      </c>
      <c r="C195" s="8" t="n">
        <v>46058.25</v>
      </c>
      <c r="D195" s="9">
        <f>(C195-B195)*24</f>
        <v/>
      </c>
      <c r="E195" s="10">
        <f>IF(AND(HOUR(B195)&gt;=6,HOUR(B195)&lt;18),"Day Shift","Night Shift")</f>
        <v/>
      </c>
      <c r="F195" s="11">
        <f>INT(B195)</f>
        <v/>
      </c>
      <c r="G195" s="11">
        <f>INT(C195)</f>
        <v/>
      </c>
    </row>
    <row r="196">
      <c r="A196" s="2" t="inlineStr">
        <is>
          <t>DRE12</t>
        </is>
      </c>
      <c r="B196" s="3" t="n">
        <v>46058.25</v>
      </c>
      <c r="C196" s="3" t="n">
        <v>46058.75</v>
      </c>
      <c r="D196" s="4">
        <f>(C196-B196)*24</f>
        <v/>
      </c>
      <c r="E196" s="5">
        <f>IF(AND(HOUR(B196)&gt;=6,HOUR(B196)&lt;18),"Day Shift","Night Shift")</f>
        <v/>
      </c>
      <c r="F196" s="6">
        <f>INT(B196)</f>
        <v/>
      </c>
      <c r="G196" s="6">
        <f>INT(C196)</f>
        <v/>
      </c>
    </row>
    <row r="197">
      <c r="A197" s="7" t="inlineStr">
        <is>
          <t>DRE12</t>
        </is>
      </c>
      <c r="B197" s="8" t="n">
        <v>46058.75</v>
      </c>
      <c r="C197" s="8" t="n">
        <v>46059.03628472222</v>
      </c>
      <c r="D197" s="9">
        <f>(C197-B197)*24</f>
        <v/>
      </c>
      <c r="E197" s="10">
        <f>IF(AND(HOUR(B197)&gt;=6,HOUR(B197)&lt;18),"Day Shift","Night Shift")</f>
        <v/>
      </c>
      <c r="F197" s="11">
        <f>INT(B197)</f>
        <v/>
      </c>
      <c r="G197" s="11">
        <f>INT(C197)</f>
        <v/>
      </c>
    </row>
    <row r="198">
      <c r="A198" s="2" t="inlineStr">
        <is>
          <t>EXD409</t>
        </is>
      </c>
      <c r="B198" s="3" t="n">
        <v>46054.37140046297</v>
      </c>
      <c r="C198" s="3" t="n">
        <v>46054.75</v>
      </c>
      <c r="D198" s="4">
        <f>(C198-B198)*24</f>
        <v/>
      </c>
      <c r="E198" s="5">
        <f>IF(AND(HOUR(B198)&gt;=6,HOUR(B198)&lt;18),"Day Shift","Night Shift")</f>
        <v/>
      </c>
      <c r="F198" s="6">
        <f>INT(B198)</f>
        <v/>
      </c>
      <c r="G198" s="6">
        <f>INT(C198)</f>
        <v/>
      </c>
    </row>
    <row r="199">
      <c r="A199" s="7" t="inlineStr">
        <is>
          <t>EXD409</t>
        </is>
      </c>
      <c r="B199" s="8" t="n">
        <v>46054.75</v>
      </c>
      <c r="C199" s="8" t="n">
        <v>46055.05584490741</v>
      </c>
      <c r="D199" s="9">
        <f>(C199-B199)*24</f>
        <v/>
      </c>
      <c r="E199" s="10">
        <f>IF(AND(HOUR(B199)&gt;=6,HOUR(B199)&lt;18),"Day Shift","Night Shift")</f>
        <v/>
      </c>
      <c r="F199" s="11">
        <f>INT(B199)</f>
        <v/>
      </c>
      <c r="G199" s="11">
        <f>INT(C199)</f>
        <v/>
      </c>
    </row>
    <row r="200">
      <c r="A200" s="2" t="inlineStr">
        <is>
          <t>LDW265</t>
        </is>
      </c>
      <c r="B200" s="3" t="n">
        <v>46054.41391203704</v>
      </c>
      <c r="C200" s="3" t="n">
        <v>46054.75</v>
      </c>
      <c r="D200" s="4">
        <f>(C200-B200)*24</f>
        <v/>
      </c>
      <c r="E200" s="5">
        <f>IF(AND(HOUR(B200)&gt;=6,HOUR(B200)&lt;18),"Day Shift","Night Shift")</f>
        <v/>
      </c>
      <c r="F200" s="6">
        <f>INT(B200)</f>
        <v/>
      </c>
      <c r="G200" s="6">
        <f>INT(C200)</f>
        <v/>
      </c>
    </row>
    <row r="201">
      <c r="A201" s="7" t="inlineStr">
        <is>
          <t>LDW265</t>
        </is>
      </c>
      <c r="B201" s="8" t="n">
        <v>46054.75</v>
      </c>
      <c r="C201" s="8" t="n">
        <v>46055.25</v>
      </c>
      <c r="D201" s="9">
        <f>(C201-B201)*24</f>
        <v/>
      </c>
      <c r="E201" s="10">
        <f>IF(AND(HOUR(B201)&gt;=6,HOUR(B201)&lt;18),"Day Shift","Night Shift")</f>
        <v/>
      </c>
      <c r="F201" s="11">
        <f>INT(B201)</f>
        <v/>
      </c>
      <c r="G201" s="11">
        <f>INT(C201)</f>
        <v/>
      </c>
    </row>
    <row r="202">
      <c r="A202" s="2" t="inlineStr">
        <is>
          <t>LDW265</t>
        </is>
      </c>
      <c r="B202" s="3" t="n">
        <v>46055.25</v>
      </c>
      <c r="C202" s="3" t="n">
        <v>46055.35554398148</v>
      </c>
      <c r="D202" s="4">
        <f>(C202-B202)*24</f>
        <v/>
      </c>
      <c r="E202" s="5">
        <f>IF(AND(HOUR(B202)&gt;=6,HOUR(B202)&lt;18),"Day Shift","Night Shift")</f>
        <v/>
      </c>
      <c r="F202" s="6">
        <f>INT(B202)</f>
        <v/>
      </c>
      <c r="G202" s="6">
        <f>INT(C202)</f>
        <v/>
      </c>
    </row>
    <row r="203">
      <c r="A203" s="2" t="inlineStr">
        <is>
          <t>EXD407</t>
        </is>
      </c>
      <c r="B203" s="3" t="n">
        <v>46054.45561342593</v>
      </c>
      <c r="C203" s="3" t="n">
        <v>46054.75</v>
      </c>
      <c r="D203" s="4">
        <f>(C203-B203)*24</f>
        <v/>
      </c>
      <c r="E203" s="5">
        <f>IF(AND(HOUR(B203)&gt;=6,HOUR(B203)&lt;18),"Day Shift","Night Shift")</f>
        <v/>
      </c>
      <c r="F203" s="6">
        <f>INT(B203)</f>
        <v/>
      </c>
      <c r="G203" s="6">
        <f>INT(C203)</f>
        <v/>
      </c>
    </row>
    <row r="204">
      <c r="A204" s="7" t="inlineStr">
        <is>
          <t>EXD407</t>
        </is>
      </c>
      <c r="B204" s="8" t="n">
        <v>46054.75</v>
      </c>
      <c r="C204" s="8" t="n">
        <v>46055.25</v>
      </c>
      <c r="D204" s="9">
        <f>(C204-B204)*24</f>
        <v/>
      </c>
      <c r="E204" s="10">
        <f>IF(AND(HOUR(B204)&gt;=6,HOUR(B204)&lt;18),"Day Shift","Night Shift")</f>
        <v/>
      </c>
      <c r="F204" s="11">
        <f>INT(B204)</f>
        <v/>
      </c>
      <c r="G204" s="11">
        <f>INT(C204)</f>
        <v/>
      </c>
    </row>
    <row r="205">
      <c r="A205" s="2" t="inlineStr">
        <is>
          <t>EXD407</t>
        </is>
      </c>
      <c r="B205" s="3" t="n">
        <v>46055.25</v>
      </c>
      <c r="C205" s="3" t="n">
        <v>46055.4267824074</v>
      </c>
      <c r="D205" s="4">
        <f>(C205-B205)*24</f>
        <v/>
      </c>
      <c r="E205" s="5">
        <f>IF(AND(HOUR(B205)&gt;=6,HOUR(B205)&lt;18),"Day Shift","Night Shift")</f>
        <v/>
      </c>
      <c r="F205" s="6">
        <f>INT(B205)</f>
        <v/>
      </c>
      <c r="G205" s="6">
        <f>INT(C205)</f>
        <v/>
      </c>
    </row>
    <row r="206">
      <c r="A206" s="2" t="inlineStr">
        <is>
          <t>EDD175;EDD2134</t>
        </is>
      </c>
      <c r="B206" s="3" t="n">
        <v>46054.46179398148</v>
      </c>
      <c r="C206" s="3" t="n">
        <v>46054.75</v>
      </c>
      <c r="D206" s="4">
        <f>(C206-B206)*24</f>
        <v/>
      </c>
      <c r="E206" s="5">
        <f>IF(AND(HOUR(B206)&gt;=6,HOUR(B206)&lt;18),"Day Shift","Night Shift")</f>
        <v/>
      </c>
      <c r="F206" s="6">
        <f>INT(B206)</f>
        <v/>
      </c>
      <c r="G206" s="6">
        <f>INT(C206)</f>
        <v/>
      </c>
    </row>
    <row r="207">
      <c r="A207" s="7" t="inlineStr">
        <is>
          <t>EDD175;EDD2134</t>
        </is>
      </c>
      <c r="B207" s="8" t="n">
        <v>46054.75</v>
      </c>
      <c r="C207" s="8" t="n">
        <v>46054.91145833334</v>
      </c>
      <c r="D207" s="9">
        <f>(C207-B207)*24</f>
        <v/>
      </c>
      <c r="E207" s="10">
        <f>IF(AND(HOUR(B207)&gt;=6,HOUR(B207)&lt;18),"Day Shift","Night Shift")</f>
        <v/>
      </c>
      <c r="F207" s="11">
        <f>INT(B207)</f>
        <v/>
      </c>
      <c r="G207" s="11">
        <f>INT(C207)</f>
        <v/>
      </c>
    </row>
    <row r="208">
      <c r="A208" s="2" t="inlineStr">
        <is>
          <t>EDD812</t>
        </is>
      </c>
      <c r="B208" s="3" t="n">
        <v>46054.46179398148</v>
      </c>
      <c r="C208" s="3" t="n">
        <v>46054.75</v>
      </c>
      <c r="D208" s="4">
        <f>(C208-B208)*24</f>
        <v/>
      </c>
      <c r="E208" s="5">
        <f>IF(AND(HOUR(B208)&gt;=6,HOUR(B208)&lt;18),"Day Shift","Night Shift")</f>
        <v/>
      </c>
      <c r="F208" s="6">
        <f>INT(B208)</f>
        <v/>
      </c>
      <c r="G208" s="6">
        <f>INT(C208)</f>
        <v/>
      </c>
    </row>
    <row r="209">
      <c r="A209" s="7" t="inlineStr">
        <is>
          <t>EDD812</t>
        </is>
      </c>
      <c r="B209" s="8" t="n">
        <v>46054.75</v>
      </c>
      <c r="C209" s="8" t="n">
        <v>46054.848125</v>
      </c>
      <c r="D209" s="9">
        <f>(C209-B209)*24</f>
        <v/>
      </c>
      <c r="E209" s="10">
        <f>IF(AND(HOUR(B209)&gt;=6,HOUR(B209)&lt;18),"Day Shift","Night Shift")</f>
        <v/>
      </c>
      <c r="F209" s="11">
        <f>INT(B209)</f>
        <v/>
      </c>
      <c r="G209" s="11">
        <f>INT(C209)</f>
        <v/>
      </c>
    </row>
    <row r="210">
      <c r="A210" s="2" t="inlineStr">
        <is>
          <t>EXD98</t>
        </is>
      </c>
      <c r="B210" s="3" t="n">
        <v>46054.49436342593</v>
      </c>
      <c r="C210" s="3" t="n">
        <v>46054.75</v>
      </c>
      <c r="D210" s="4">
        <f>(C210-B210)*24</f>
        <v/>
      </c>
      <c r="E210" s="5">
        <f>IF(AND(HOUR(B210)&gt;=6,HOUR(B210)&lt;18),"Day Shift","Night Shift")</f>
        <v/>
      </c>
      <c r="F210" s="6">
        <f>INT(B210)</f>
        <v/>
      </c>
      <c r="G210" s="6">
        <f>INT(C210)</f>
        <v/>
      </c>
    </row>
    <row r="211">
      <c r="A211" s="7" t="inlineStr">
        <is>
          <t>EXD98</t>
        </is>
      </c>
      <c r="B211" s="8" t="n">
        <v>46054.75</v>
      </c>
      <c r="C211" s="8" t="n">
        <v>46055.04045138889</v>
      </c>
      <c r="D211" s="9">
        <f>(C211-B211)*24</f>
        <v/>
      </c>
      <c r="E211" s="10">
        <f>IF(AND(HOUR(B211)&gt;=6,HOUR(B211)&lt;18),"Day Shift","Night Shift")</f>
        <v/>
      </c>
      <c r="F211" s="11">
        <f>INT(B211)</f>
        <v/>
      </c>
      <c r="G211" s="11">
        <f>INT(C211)</f>
        <v/>
      </c>
    </row>
    <row r="212">
      <c r="A212" s="2" t="inlineStr">
        <is>
          <t>EXD51</t>
        </is>
      </c>
      <c r="B212" s="3" t="n">
        <v>46054.61927083333</v>
      </c>
      <c r="C212" s="3" t="n">
        <v>46054.75</v>
      </c>
      <c r="D212" s="4">
        <f>(C212-B212)*24</f>
        <v/>
      </c>
      <c r="E212" s="5">
        <f>IF(AND(HOUR(B212)&gt;=6,HOUR(B212)&lt;18),"Day Shift","Night Shift")</f>
        <v/>
      </c>
      <c r="F212" s="6">
        <f>INT(B212)</f>
        <v/>
      </c>
      <c r="G212" s="6">
        <f>INT(C212)</f>
        <v/>
      </c>
    </row>
    <row r="213">
      <c r="A213" s="7" t="inlineStr">
        <is>
          <t>EXD51</t>
        </is>
      </c>
      <c r="B213" s="8" t="n">
        <v>46054.75</v>
      </c>
      <c r="C213" s="8" t="n">
        <v>46054.97428240741</v>
      </c>
      <c r="D213" s="9">
        <f>(C213-B213)*24</f>
        <v/>
      </c>
      <c r="E213" s="10">
        <f>IF(AND(HOUR(B213)&gt;=6,HOUR(B213)&lt;18),"Day Shift","Night Shift")</f>
        <v/>
      </c>
      <c r="F213" s="11">
        <f>INT(B213)</f>
        <v/>
      </c>
      <c r="G213" s="11">
        <f>INT(C213)</f>
        <v/>
      </c>
    </row>
    <row r="214">
      <c r="A214" s="2" t="inlineStr">
        <is>
          <t>EDD2541;EDD1932</t>
        </is>
      </c>
      <c r="B214" s="3" t="n">
        <v>46054.62460648148</v>
      </c>
      <c r="C214" s="3" t="n">
        <v>46054.75</v>
      </c>
      <c r="D214" s="4">
        <f>(C214-B214)*24</f>
        <v/>
      </c>
      <c r="E214" s="5">
        <f>IF(AND(HOUR(B214)&gt;=6,HOUR(B214)&lt;18),"Day Shift","Night Shift")</f>
        <v/>
      </c>
      <c r="F214" s="6">
        <f>INT(B214)</f>
        <v/>
      </c>
      <c r="G214" s="6">
        <f>INT(C214)</f>
        <v/>
      </c>
    </row>
    <row r="215">
      <c r="A215" s="7" t="inlineStr">
        <is>
          <t>EDD2541;EDD1932</t>
        </is>
      </c>
      <c r="B215" s="8" t="n">
        <v>46054.75</v>
      </c>
      <c r="C215" s="8" t="n">
        <v>46054.87758101852</v>
      </c>
      <c r="D215" s="9">
        <f>(C215-B215)*24</f>
        <v/>
      </c>
      <c r="E215" s="10">
        <f>IF(AND(HOUR(B215)&gt;=6,HOUR(B215)&lt;18),"Day Shift","Night Shift")</f>
        <v/>
      </c>
      <c r="F215" s="11">
        <f>INT(B215)</f>
        <v/>
      </c>
      <c r="G215" s="11">
        <f>INT(C215)</f>
        <v/>
      </c>
    </row>
    <row r="216">
      <c r="A216" s="7" t="inlineStr">
        <is>
          <t>EXD100</t>
        </is>
      </c>
      <c r="B216" s="8" t="n">
        <v>46054.77991898148</v>
      </c>
      <c r="C216" s="8" t="n">
        <v>46055.25</v>
      </c>
      <c r="D216" s="9">
        <f>(C216-B216)*24</f>
        <v/>
      </c>
      <c r="E216" s="10">
        <f>IF(AND(HOUR(B216)&gt;=6,HOUR(B216)&lt;18),"Day Shift","Night Shift")</f>
        <v/>
      </c>
      <c r="F216" s="11">
        <f>INT(B216)</f>
        <v/>
      </c>
      <c r="G216" s="11">
        <f>INT(C216)</f>
        <v/>
      </c>
    </row>
    <row r="217">
      <c r="A217" s="2" t="inlineStr">
        <is>
          <t>EXD100</t>
        </is>
      </c>
      <c r="B217" s="3" t="n">
        <v>46055.25</v>
      </c>
      <c r="C217" s="3" t="n">
        <v>46055.6531712963</v>
      </c>
      <c r="D217" s="4">
        <f>(C217-B217)*24</f>
        <v/>
      </c>
      <c r="E217" s="5">
        <f>IF(AND(HOUR(B217)&gt;=6,HOUR(B217)&lt;18),"Day Shift","Night Shift")</f>
        <v/>
      </c>
      <c r="F217" s="6">
        <f>INT(B217)</f>
        <v/>
      </c>
      <c r="G217" s="6">
        <f>INT(C217)</f>
        <v/>
      </c>
    </row>
    <row r="218">
      <c r="A218" s="7" t="inlineStr">
        <is>
          <t>EDD812</t>
        </is>
      </c>
      <c r="B218" s="8" t="n">
        <v>46054.848125</v>
      </c>
      <c r="C218" s="8" t="n">
        <v>46055.03128472222</v>
      </c>
      <c r="D218" s="9">
        <f>(C218-B218)*24</f>
        <v/>
      </c>
      <c r="E218" s="10">
        <f>IF(AND(HOUR(B218)&gt;=6,HOUR(B218)&lt;18),"Day Shift","Night Shift")</f>
        <v/>
      </c>
      <c r="F218" s="11">
        <f>INT(B218)</f>
        <v/>
      </c>
      <c r="G218" s="11">
        <f>INT(C218)</f>
        <v/>
      </c>
    </row>
    <row r="219">
      <c r="A219" s="7" t="inlineStr">
        <is>
          <t>EXD408</t>
        </is>
      </c>
      <c r="B219" s="8" t="n">
        <v>46054.8521875</v>
      </c>
      <c r="C219" s="8" t="n">
        <v>46055.25</v>
      </c>
      <c r="D219" s="9">
        <f>(C219-B219)*24</f>
        <v/>
      </c>
      <c r="E219" s="10">
        <f>IF(AND(HOUR(B219)&gt;=6,HOUR(B219)&lt;18),"Day Shift","Night Shift")</f>
        <v/>
      </c>
      <c r="F219" s="11">
        <f>INT(B219)</f>
        <v/>
      </c>
      <c r="G219" s="11">
        <f>INT(C219)</f>
        <v/>
      </c>
    </row>
    <row r="220">
      <c r="A220" s="2" t="inlineStr">
        <is>
          <t>EXD408</t>
        </is>
      </c>
      <c r="B220" s="3" t="n">
        <v>46055.25</v>
      </c>
      <c r="C220" s="3" t="n">
        <v>46055.46539351852</v>
      </c>
      <c r="D220" s="4">
        <f>(C220-B220)*24</f>
        <v/>
      </c>
      <c r="E220" s="5">
        <f>IF(AND(HOUR(B220)&gt;=6,HOUR(B220)&lt;18),"Day Shift","Night Shift")</f>
        <v/>
      </c>
      <c r="F220" s="6">
        <f>INT(B220)</f>
        <v/>
      </c>
      <c r="G220" s="6">
        <f>INT(C220)</f>
        <v/>
      </c>
    </row>
    <row r="221">
      <c r="A221" s="7" t="inlineStr">
        <is>
          <t>EXD56</t>
        </is>
      </c>
      <c r="B221" s="8" t="n">
        <v>46054.87053240741</v>
      </c>
      <c r="C221" s="8" t="n">
        <v>46055.25</v>
      </c>
      <c r="D221" s="9">
        <f>(C221-B221)*24</f>
        <v/>
      </c>
      <c r="E221" s="10">
        <f>IF(AND(HOUR(B221)&gt;=6,HOUR(B221)&lt;18),"Day Shift","Night Shift")</f>
        <v/>
      </c>
      <c r="F221" s="11">
        <f>INT(B221)</f>
        <v/>
      </c>
      <c r="G221" s="11">
        <f>INT(C221)</f>
        <v/>
      </c>
    </row>
    <row r="222">
      <c r="A222" s="2" t="inlineStr">
        <is>
          <t>EXD56</t>
        </is>
      </c>
      <c r="B222" s="3" t="n">
        <v>46055.25</v>
      </c>
      <c r="C222" s="3" t="n">
        <v>46055.75</v>
      </c>
      <c r="D222" s="4">
        <f>(C222-B222)*24</f>
        <v/>
      </c>
      <c r="E222" s="5">
        <f>IF(AND(HOUR(B222)&gt;=6,HOUR(B222)&lt;18),"Day Shift","Night Shift")</f>
        <v/>
      </c>
      <c r="F222" s="6">
        <f>INT(B222)</f>
        <v/>
      </c>
      <c r="G222" s="6">
        <f>INT(C222)</f>
        <v/>
      </c>
    </row>
    <row r="223">
      <c r="A223" s="7" t="inlineStr">
        <is>
          <t>EXD56</t>
        </is>
      </c>
      <c r="B223" s="8" t="n">
        <v>46055.75</v>
      </c>
      <c r="C223" s="8" t="n">
        <v>46056.25</v>
      </c>
      <c r="D223" s="9">
        <f>(C223-B223)*24</f>
        <v/>
      </c>
      <c r="E223" s="10">
        <f>IF(AND(HOUR(B223)&gt;=6,HOUR(B223)&lt;18),"Day Shift","Night Shift")</f>
        <v/>
      </c>
      <c r="F223" s="11">
        <f>INT(B223)</f>
        <v/>
      </c>
      <c r="G223" s="11">
        <f>INT(C223)</f>
        <v/>
      </c>
    </row>
    <row r="224">
      <c r="A224" s="2" t="inlineStr">
        <is>
          <t>EXD56</t>
        </is>
      </c>
      <c r="B224" s="3" t="n">
        <v>46056.25</v>
      </c>
      <c r="C224" s="3" t="n">
        <v>46056.75</v>
      </c>
      <c r="D224" s="4">
        <f>(C224-B224)*24</f>
        <v/>
      </c>
      <c r="E224" s="5">
        <f>IF(AND(HOUR(B224)&gt;=6,HOUR(B224)&lt;18),"Day Shift","Night Shift")</f>
        <v/>
      </c>
      <c r="F224" s="6">
        <f>INT(B224)</f>
        <v/>
      </c>
      <c r="G224" s="6">
        <f>INT(C224)</f>
        <v/>
      </c>
    </row>
    <row r="225">
      <c r="A225" s="7" t="inlineStr">
        <is>
          <t>EXD56</t>
        </is>
      </c>
      <c r="B225" s="8" t="n">
        <v>46056.75</v>
      </c>
      <c r="C225" s="8" t="n">
        <v>46057.25</v>
      </c>
      <c r="D225" s="9">
        <f>(C225-B225)*24</f>
        <v/>
      </c>
      <c r="E225" s="10">
        <f>IF(AND(HOUR(B225)&gt;=6,HOUR(B225)&lt;18),"Day Shift","Night Shift")</f>
        <v/>
      </c>
      <c r="F225" s="11">
        <f>INT(B225)</f>
        <v/>
      </c>
      <c r="G225" s="11">
        <f>INT(C225)</f>
        <v/>
      </c>
    </row>
    <row r="226">
      <c r="A226" s="2" t="inlineStr">
        <is>
          <t>EXD56</t>
        </is>
      </c>
      <c r="B226" s="3" t="n">
        <v>46057.25</v>
      </c>
      <c r="C226" s="3" t="n">
        <v>46057.73393518518</v>
      </c>
      <c r="D226" s="4">
        <f>(C226-B226)*24</f>
        <v/>
      </c>
      <c r="E226" s="5">
        <f>IF(AND(HOUR(B226)&gt;=6,HOUR(B226)&lt;18),"Day Shift","Night Shift")</f>
        <v/>
      </c>
      <c r="F226" s="6">
        <f>INT(B226)</f>
        <v/>
      </c>
      <c r="G226" s="6">
        <f>INT(C226)</f>
        <v/>
      </c>
    </row>
    <row r="227">
      <c r="A227" s="7" t="inlineStr">
        <is>
          <t>EDD1932;EDD2541</t>
        </is>
      </c>
      <c r="B227" s="8" t="n">
        <v>46054.87758101852</v>
      </c>
      <c r="C227" s="8" t="n">
        <v>46055.07787037037</v>
      </c>
      <c r="D227" s="9">
        <f>(C227-B227)*24</f>
        <v/>
      </c>
      <c r="E227" s="10">
        <f>IF(AND(HOUR(B227)&gt;=6,HOUR(B227)&lt;18),"Day Shift","Night Shift")</f>
        <v/>
      </c>
      <c r="F227" s="11">
        <f>INT(B227)</f>
        <v/>
      </c>
      <c r="G227" s="11">
        <f>INT(C227)</f>
        <v/>
      </c>
    </row>
    <row r="228">
      <c r="A228" s="7" t="inlineStr">
        <is>
          <t>EDD175;EDD2134</t>
        </is>
      </c>
      <c r="B228" s="8" t="n">
        <v>46054.91145833334</v>
      </c>
      <c r="C228" s="8" t="n">
        <v>46055.21792824074</v>
      </c>
      <c r="D228" s="9">
        <f>(C228-B228)*24</f>
        <v/>
      </c>
      <c r="E228" s="10">
        <f>IF(AND(HOUR(B228)&gt;=6,HOUR(B228)&lt;18),"Day Shift","Night Shift")</f>
        <v/>
      </c>
      <c r="F228" s="11">
        <f>INT(B228)</f>
        <v/>
      </c>
      <c r="G228" s="11">
        <f>INT(C228)</f>
        <v/>
      </c>
    </row>
    <row r="229">
      <c r="A229" s="7" t="inlineStr">
        <is>
          <t>EXD51</t>
        </is>
      </c>
      <c r="B229" s="8" t="n">
        <v>46054.97428240741</v>
      </c>
      <c r="C229" s="8" t="n">
        <v>46055.25</v>
      </c>
      <c r="D229" s="9">
        <f>(C229-B229)*24</f>
        <v/>
      </c>
      <c r="E229" s="10">
        <f>IF(AND(HOUR(B229)&gt;=6,HOUR(B229)&lt;18),"Day Shift","Night Shift")</f>
        <v/>
      </c>
      <c r="F229" s="11">
        <f>INT(B229)</f>
        <v/>
      </c>
      <c r="G229" s="11">
        <f>INT(C229)</f>
        <v/>
      </c>
    </row>
    <row r="230">
      <c r="A230" s="2" t="inlineStr">
        <is>
          <t>EXD51</t>
        </is>
      </c>
      <c r="B230" s="3" t="n">
        <v>46055.25</v>
      </c>
      <c r="C230" s="3" t="n">
        <v>46055.60836805555</v>
      </c>
      <c r="D230" s="4">
        <f>(C230-B230)*24</f>
        <v/>
      </c>
      <c r="E230" s="5">
        <f>IF(AND(HOUR(B230)&gt;=6,HOUR(B230)&lt;18),"Day Shift","Night Shift")</f>
        <v/>
      </c>
      <c r="F230" s="6">
        <f>INT(B230)</f>
        <v/>
      </c>
      <c r="G230" s="6">
        <f>INT(C230)</f>
        <v/>
      </c>
    </row>
    <row r="231">
      <c r="A231" s="7" t="inlineStr">
        <is>
          <t>EXD408</t>
        </is>
      </c>
      <c r="B231" s="8" t="n">
        <v>46055.00942129629</v>
      </c>
      <c r="C231" s="8" t="n">
        <v>46055.25</v>
      </c>
      <c r="D231" s="9">
        <f>(C231-B231)*24</f>
        <v/>
      </c>
      <c r="E231" s="10">
        <f>IF(AND(HOUR(B231)&gt;=6,HOUR(B231)&lt;18),"Day Shift","Night Shift")</f>
        <v/>
      </c>
      <c r="F231" s="11">
        <f>INT(B231)</f>
        <v/>
      </c>
      <c r="G231" s="11">
        <f>INT(C231)</f>
        <v/>
      </c>
    </row>
    <row r="232">
      <c r="A232" s="2" t="inlineStr">
        <is>
          <t>EXD408</t>
        </is>
      </c>
      <c r="B232" s="3" t="n">
        <v>46055.25</v>
      </c>
      <c r="C232" s="3" t="n">
        <v>46055.75</v>
      </c>
      <c r="D232" s="4">
        <f>(C232-B232)*24</f>
        <v/>
      </c>
      <c r="E232" s="5">
        <f>IF(AND(HOUR(B232)&gt;=6,HOUR(B232)&lt;18),"Day Shift","Night Shift")</f>
        <v/>
      </c>
      <c r="F232" s="6">
        <f>INT(B232)</f>
        <v/>
      </c>
      <c r="G232" s="6">
        <f>INT(C232)</f>
        <v/>
      </c>
    </row>
    <row r="233">
      <c r="A233" s="7" t="inlineStr">
        <is>
          <t>EXD408</t>
        </is>
      </c>
      <c r="B233" s="8" t="n">
        <v>46055.75</v>
      </c>
      <c r="C233" s="8" t="n">
        <v>46055.78333333333</v>
      </c>
      <c r="D233" s="9">
        <f>(C233-B233)*24</f>
        <v/>
      </c>
      <c r="E233" s="10">
        <f>IF(AND(HOUR(B233)&gt;=6,HOUR(B233)&lt;18),"Day Shift","Night Shift")</f>
        <v/>
      </c>
      <c r="F233" s="11">
        <f>INT(B233)</f>
        <v/>
      </c>
      <c r="G233" s="11">
        <f>INT(C233)</f>
        <v/>
      </c>
    </row>
    <row r="234">
      <c r="A234" s="7" t="inlineStr">
        <is>
          <t>EXD101</t>
        </is>
      </c>
      <c r="B234" s="8" t="n">
        <v>46055.01474537037</v>
      </c>
      <c r="C234" s="8" t="n">
        <v>46055.25</v>
      </c>
      <c r="D234" s="9">
        <f>(C234-B234)*24</f>
        <v/>
      </c>
      <c r="E234" s="10">
        <f>IF(AND(HOUR(B234)&gt;=6,HOUR(B234)&lt;18),"Day Shift","Night Shift")</f>
        <v/>
      </c>
      <c r="F234" s="11">
        <f>INT(B234)</f>
        <v/>
      </c>
      <c r="G234" s="11">
        <f>INT(C234)</f>
        <v/>
      </c>
    </row>
    <row r="235">
      <c r="A235" s="2" t="inlineStr">
        <is>
          <t>EXD101</t>
        </is>
      </c>
      <c r="B235" s="3" t="n">
        <v>46055.25</v>
      </c>
      <c r="C235" s="3" t="n">
        <v>46055.75</v>
      </c>
      <c r="D235" s="4">
        <f>(C235-B235)*24</f>
        <v/>
      </c>
      <c r="E235" s="5">
        <f>IF(AND(HOUR(B235)&gt;=6,HOUR(B235)&lt;18),"Day Shift","Night Shift")</f>
        <v/>
      </c>
      <c r="F235" s="6">
        <f>INT(B235)</f>
        <v/>
      </c>
      <c r="G235" s="6">
        <f>INT(C235)</f>
        <v/>
      </c>
    </row>
    <row r="236">
      <c r="A236" s="7" t="inlineStr">
        <is>
          <t>EXD101</t>
        </is>
      </c>
      <c r="B236" s="8" t="n">
        <v>46055.75</v>
      </c>
      <c r="C236" s="8" t="n">
        <v>46055.92693287037</v>
      </c>
      <c r="D236" s="9">
        <f>(C236-B236)*24</f>
        <v/>
      </c>
      <c r="E236" s="10">
        <f>IF(AND(HOUR(B236)&gt;=6,HOUR(B236)&lt;18),"Day Shift","Night Shift")</f>
        <v/>
      </c>
      <c r="F236" s="11">
        <f>INT(B236)</f>
        <v/>
      </c>
      <c r="G236" s="11">
        <f>INT(C236)</f>
        <v/>
      </c>
    </row>
    <row r="237">
      <c r="A237" s="7" t="inlineStr">
        <is>
          <t>DRE42</t>
        </is>
      </c>
      <c r="B237" s="8" t="n">
        <v>46055.03648148148</v>
      </c>
      <c r="C237" s="8" t="n">
        <v>46055.25</v>
      </c>
      <c r="D237" s="9">
        <f>(C237-B237)*24</f>
        <v/>
      </c>
      <c r="E237" s="10">
        <f>IF(AND(HOUR(B237)&gt;=6,HOUR(B237)&lt;18),"Day Shift","Night Shift")</f>
        <v/>
      </c>
      <c r="F237" s="11">
        <f>INT(B237)</f>
        <v/>
      </c>
      <c r="G237" s="11">
        <f>INT(C237)</f>
        <v/>
      </c>
    </row>
    <row r="238">
      <c r="A238" s="2" t="inlineStr">
        <is>
          <t>DRE42</t>
        </is>
      </c>
      <c r="B238" s="3" t="n">
        <v>46055.25</v>
      </c>
      <c r="C238" s="3" t="n">
        <v>46055.75</v>
      </c>
      <c r="D238" s="4">
        <f>(C238-B238)*24</f>
        <v/>
      </c>
      <c r="E238" s="5">
        <f>IF(AND(HOUR(B238)&gt;=6,HOUR(B238)&lt;18),"Day Shift","Night Shift")</f>
        <v/>
      </c>
      <c r="F238" s="6">
        <f>INT(B238)</f>
        <v/>
      </c>
      <c r="G238" s="6">
        <f>INT(C238)</f>
        <v/>
      </c>
    </row>
    <row r="239">
      <c r="A239" s="7" t="inlineStr">
        <is>
          <t>DRE42</t>
        </is>
      </c>
      <c r="B239" s="8" t="n">
        <v>46055.75</v>
      </c>
      <c r="C239" s="8" t="n">
        <v>46056.25</v>
      </c>
      <c r="D239" s="9">
        <f>(C239-B239)*24</f>
        <v/>
      </c>
      <c r="E239" s="10">
        <f>IF(AND(HOUR(B239)&gt;=6,HOUR(B239)&lt;18),"Day Shift","Night Shift")</f>
        <v/>
      </c>
      <c r="F239" s="11">
        <f>INT(B239)</f>
        <v/>
      </c>
      <c r="G239" s="11">
        <f>INT(C239)</f>
        <v/>
      </c>
    </row>
    <row r="240">
      <c r="A240" s="2" t="inlineStr">
        <is>
          <t>DRE42</t>
        </is>
      </c>
      <c r="B240" s="3" t="n">
        <v>46056.25</v>
      </c>
      <c r="C240" s="3" t="n">
        <v>46056.62034722222</v>
      </c>
      <c r="D240" s="4">
        <f>(C240-B240)*24</f>
        <v/>
      </c>
      <c r="E240" s="5">
        <f>IF(AND(HOUR(B240)&gt;=6,HOUR(B240)&lt;18),"Day Shift","Night Shift")</f>
        <v/>
      </c>
      <c r="F240" s="6">
        <f>INT(B240)</f>
        <v/>
      </c>
      <c r="G240" s="6">
        <f>INT(C240)</f>
        <v/>
      </c>
    </row>
    <row r="241">
      <c r="A241" s="7" t="inlineStr">
        <is>
          <t>EXD98</t>
        </is>
      </c>
      <c r="B241" s="8" t="n">
        <v>46055.04045138889</v>
      </c>
      <c r="C241" s="8" t="n">
        <v>46055.25</v>
      </c>
      <c r="D241" s="9">
        <f>(C241-B241)*24</f>
        <v/>
      </c>
      <c r="E241" s="10">
        <f>IF(AND(HOUR(B241)&gt;=6,HOUR(B241)&lt;18),"Day Shift","Night Shift")</f>
        <v/>
      </c>
      <c r="F241" s="11">
        <f>INT(B241)</f>
        <v/>
      </c>
      <c r="G241" s="11">
        <f>INT(C241)</f>
        <v/>
      </c>
    </row>
    <row r="242">
      <c r="A242" s="2" t="inlineStr">
        <is>
          <t>EXD98</t>
        </is>
      </c>
      <c r="B242" s="3" t="n">
        <v>46055.25</v>
      </c>
      <c r="C242" s="3" t="n">
        <v>46055.54755787037</v>
      </c>
      <c r="D242" s="4">
        <f>(C242-B242)*24</f>
        <v/>
      </c>
      <c r="E242" s="5">
        <f>IF(AND(HOUR(B242)&gt;=6,HOUR(B242)&lt;18),"Day Shift","Night Shift")</f>
        <v/>
      </c>
      <c r="F242" s="6">
        <f>INT(B242)</f>
        <v/>
      </c>
      <c r="G242" s="6">
        <f>INT(C242)</f>
        <v/>
      </c>
    </row>
    <row r="243">
      <c r="A243" s="7" t="inlineStr">
        <is>
          <t>EXD73</t>
        </is>
      </c>
      <c r="B243" s="8" t="n">
        <v>46055.05471064815</v>
      </c>
      <c r="C243" s="8" t="n">
        <v>46055.25</v>
      </c>
      <c r="D243" s="9">
        <f>(C243-B243)*24</f>
        <v/>
      </c>
      <c r="E243" s="10">
        <f>IF(AND(HOUR(B243)&gt;=6,HOUR(B243)&lt;18),"Day Shift","Night Shift")</f>
        <v/>
      </c>
      <c r="F243" s="11">
        <f>INT(B243)</f>
        <v/>
      </c>
      <c r="G243" s="11">
        <f>INT(C243)</f>
        <v/>
      </c>
    </row>
    <row r="244">
      <c r="A244" s="2" t="inlineStr">
        <is>
          <t>EXD73</t>
        </is>
      </c>
      <c r="B244" s="3" t="n">
        <v>46055.25</v>
      </c>
      <c r="C244" s="3" t="n">
        <v>46055.75</v>
      </c>
      <c r="D244" s="4">
        <f>(C244-B244)*24</f>
        <v/>
      </c>
      <c r="E244" s="5">
        <f>IF(AND(HOUR(B244)&gt;=6,HOUR(B244)&lt;18),"Day Shift","Night Shift")</f>
        <v/>
      </c>
      <c r="F244" s="6">
        <f>INT(B244)</f>
        <v/>
      </c>
      <c r="G244" s="6">
        <f>INT(C244)</f>
        <v/>
      </c>
    </row>
    <row r="245">
      <c r="A245" s="7" t="inlineStr">
        <is>
          <t>EXD73</t>
        </is>
      </c>
      <c r="B245" s="8" t="n">
        <v>46055.75</v>
      </c>
      <c r="C245" s="8" t="n">
        <v>46056.25</v>
      </c>
      <c r="D245" s="9">
        <f>(C245-B245)*24</f>
        <v/>
      </c>
      <c r="E245" s="10">
        <f>IF(AND(HOUR(B245)&gt;=6,HOUR(B245)&lt;18),"Day Shift","Night Shift")</f>
        <v/>
      </c>
      <c r="F245" s="11">
        <f>INT(B245)</f>
        <v/>
      </c>
      <c r="G245" s="11">
        <f>INT(C245)</f>
        <v/>
      </c>
    </row>
    <row r="246">
      <c r="A246" s="2" t="inlineStr">
        <is>
          <t>EXD73</t>
        </is>
      </c>
      <c r="B246" s="3" t="n">
        <v>46056.25</v>
      </c>
      <c r="C246" s="3" t="n">
        <v>46056.29766203704</v>
      </c>
      <c r="D246" s="4">
        <f>(C246-B246)*24</f>
        <v/>
      </c>
      <c r="E246" s="5">
        <f>IF(AND(HOUR(B246)&gt;=6,HOUR(B246)&lt;18),"Day Shift","Night Shift")</f>
        <v/>
      </c>
      <c r="F246" s="6">
        <f>INT(B246)</f>
        <v/>
      </c>
      <c r="G246" s="6">
        <f>INT(C246)</f>
        <v/>
      </c>
    </row>
    <row r="247">
      <c r="A247" s="7" t="inlineStr">
        <is>
          <t>EXD409</t>
        </is>
      </c>
      <c r="B247" s="8" t="n">
        <v>46055.05584490741</v>
      </c>
      <c r="C247" s="8" t="n">
        <v>46055.25</v>
      </c>
      <c r="D247" s="9">
        <f>(C247-B247)*24</f>
        <v/>
      </c>
      <c r="E247" s="10">
        <f>IF(AND(HOUR(B247)&gt;=6,HOUR(B247)&lt;18),"Day Shift","Night Shift")</f>
        <v/>
      </c>
      <c r="F247" s="11">
        <f>INT(B247)</f>
        <v/>
      </c>
      <c r="G247" s="11">
        <f>INT(C247)</f>
        <v/>
      </c>
    </row>
    <row r="248">
      <c r="A248" s="2" t="inlineStr">
        <is>
          <t>EXD409</t>
        </is>
      </c>
      <c r="B248" s="3" t="n">
        <v>46055.25</v>
      </c>
      <c r="C248" s="3" t="n">
        <v>46055.67141203704</v>
      </c>
      <c r="D248" s="4">
        <f>(C248-B248)*24</f>
        <v/>
      </c>
      <c r="E248" s="5">
        <f>IF(AND(HOUR(B248)&gt;=6,HOUR(B248)&lt;18),"Day Shift","Night Shift")</f>
        <v/>
      </c>
      <c r="F248" s="6">
        <f>INT(B248)</f>
        <v/>
      </c>
      <c r="G248" s="6">
        <f>INT(C248)</f>
        <v/>
      </c>
    </row>
    <row r="249">
      <c r="A249" s="7" t="inlineStr">
        <is>
          <t>EDD1932;EDD2541</t>
        </is>
      </c>
      <c r="B249" s="8" t="n">
        <v>46055.07787037037</v>
      </c>
      <c r="C249" s="8" t="n">
        <v>46055.25</v>
      </c>
      <c r="D249" s="9">
        <f>(C249-B249)*24</f>
        <v/>
      </c>
      <c r="E249" s="10">
        <f>IF(AND(HOUR(B249)&gt;=6,HOUR(B249)&lt;18),"Day Shift","Night Shift")</f>
        <v/>
      </c>
      <c r="F249" s="11">
        <f>INT(B249)</f>
        <v/>
      </c>
      <c r="G249" s="11">
        <f>INT(C249)</f>
        <v/>
      </c>
    </row>
    <row r="250">
      <c r="A250" s="2" t="inlineStr">
        <is>
          <t>EDD1932;EDD2541</t>
        </is>
      </c>
      <c r="B250" s="3" t="n">
        <v>46055.25</v>
      </c>
      <c r="C250" s="3" t="n">
        <v>46055.28560185185</v>
      </c>
      <c r="D250" s="4">
        <f>(C250-B250)*24</f>
        <v/>
      </c>
      <c r="E250" s="5">
        <f>IF(AND(HOUR(B250)&gt;=6,HOUR(B250)&lt;18),"Day Shift","Night Shift")</f>
        <v/>
      </c>
      <c r="F250" s="6">
        <f>INT(B250)</f>
        <v/>
      </c>
      <c r="G250" s="6">
        <f>INT(C250)</f>
        <v/>
      </c>
    </row>
    <row r="251">
      <c r="A251" s="7" t="inlineStr">
        <is>
          <t>EDD175;EDD2134</t>
        </is>
      </c>
      <c r="B251" s="8" t="n">
        <v>46055.21792824074</v>
      </c>
      <c r="C251" s="8" t="n">
        <v>46055.25</v>
      </c>
      <c r="D251" s="9">
        <f>(C251-B251)*24</f>
        <v/>
      </c>
      <c r="E251" s="10">
        <f>IF(AND(HOUR(B251)&gt;=6,HOUR(B251)&lt;18),"Day Shift","Night Shift")</f>
        <v/>
      </c>
      <c r="F251" s="11">
        <f>INT(B251)</f>
        <v/>
      </c>
      <c r="G251" s="11">
        <f>INT(C251)</f>
        <v/>
      </c>
    </row>
    <row r="252">
      <c r="A252" s="2" t="inlineStr">
        <is>
          <t>EDD175;EDD2134</t>
        </is>
      </c>
      <c r="B252" s="3" t="n">
        <v>46055.25</v>
      </c>
      <c r="C252" s="3" t="n">
        <v>46055.5197800926</v>
      </c>
      <c r="D252" s="4">
        <f>(C252-B252)*24</f>
        <v/>
      </c>
      <c r="E252" s="5">
        <f>IF(AND(HOUR(B252)&gt;=6,HOUR(B252)&lt;18),"Day Shift","Night Shift")</f>
        <v/>
      </c>
      <c r="F252" s="6">
        <f>INT(B252)</f>
        <v/>
      </c>
      <c r="G252" s="6">
        <f>INT(C252)</f>
        <v/>
      </c>
    </row>
    <row r="253">
      <c r="A253" s="7" t="inlineStr">
        <is>
          <t>EXD52</t>
        </is>
      </c>
      <c r="B253" s="8" t="n">
        <v>46055.23556712963</v>
      </c>
      <c r="C253" s="8" t="n">
        <v>46055.25</v>
      </c>
      <c r="D253" s="9">
        <f>(C253-B253)*24</f>
        <v/>
      </c>
      <c r="E253" s="10">
        <f>IF(AND(HOUR(B253)&gt;=6,HOUR(B253)&lt;18),"Day Shift","Night Shift")</f>
        <v/>
      </c>
      <c r="F253" s="11">
        <f>INT(B253)</f>
        <v/>
      </c>
      <c r="G253" s="11">
        <f>INT(C253)</f>
        <v/>
      </c>
    </row>
    <row r="254">
      <c r="A254" s="2" t="inlineStr">
        <is>
          <t>EXD52</t>
        </is>
      </c>
      <c r="B254" s="3" t="n">
        <v>46055.25</v>
      </c>
      <c r="C254" s="3" t="n">
        <v>46055.75</v>
      </c>
      <c r="D254" s="4">
        <f>(C254-B254)*24</f>
        <v/>
      </c>
      <c r="E254" s="5">
        <f>IF(AND(HOUR(B254)&gt;=6,HOUR(B254)&lt;18),"Day Shift","Night Shift")</f>
        <v/>
      </c>
      <c r="F254" s="6">
        <f>INT(B254)</f>
        <v/>
      </c>
      <c r="G254" s="6">
        <f>INT(C254)</f>
        <v/>
      </c>
    </row>
    <row r="255">
      <c r="A255" s="7" t="inlineStr">
        <is>
          <t>EXD52</t>
        </is>
      </c>
      <c r="B255" s="8" t="n">
        <v>46055.75</v>
      </c>
      <c r="C255" s="8" t="n">
        <v>46056.15104166666</v>
      </c>
      <c r="D255" s="9">
        <f>(C255-B255)*24</f>
        <v/>
      </c>
      <c r="E255" s="10">
        <f>IF(AND(HOUR(B255)&gt;=6,HOUR(B255)&lt;18),"Day Shift","Night Shift")</f>
        <v/>
      </c>
      <c r="F255" s="11">
        <f>INT(B255)</f>
        <v/>
      </c>
      <c r="G255" s="11">
        <f>INT(C255)</f>
        <v/>
      </c>
    </row>
    <row r="256">
      <c r="A256" s="2" t="inlineStr">
        <is>
          <t>EXD55</t>
        </is>
      </c>
      <c r="B256" s="3" t="n">
        <v>46055.25013888889</v>
      </c>
      <c r="C256" s="3" t="n">
        <v>46055.73616898148</v>
      </c>
      <c r="D256" s="4">
        <f>(C256-B256)*24</f>
        <v/>
      </c>
      <c r="E256" s="5">
        <f>IF(AND(HOUR(B256)&gt;=6,HOUR(B256)&lt;18),"Day Shift","Night Shift")</f>
        <v/>
      </c>
      <c r="F256" s="6">
        <f>INT(B256)</f>
        <v/>
      </c>
      <c r="G256" s="6">
        <f>INT(C256)</f>
        <v/>
      </c>
    </row>
    <row r="257">
      <c r="A257" s="2" t="inlineStr">
        <is>
          <t>SHE36</t>
        </is>
      </c>
      <c r="B257" s="3" t="n">
        <v>46055.26333333334</v>
      </c>
      <c r="C257" s="3" t="n">
        <v>46055.75</v>
      </c>
      <c r="D257" s="4">
        <f>(C257-B257)*24</f>
        <v/>
      </c>
      <c r="E257" s="5">
        <f>IF(AND(HOUR(B257)&gt;=6,HOUR(B257)&lt;18),"Day Shift","Night Shift")</f>
        <v/>
      </c>
      <c r="F257" s="6">
        <f>INT(B257)</f>
        <v/>
      </c>
      <c r="G257" s="6">
        <f>INT(C257)</f>
        <v/>
      </c>
    </row>
    <row r="258">
      <c r="A258" s="7" t="inlineStr">
        <is>
          <t>SHE36</t>
        </is>
      </c>
      <c r="B258" s="8" t="n">
        <v>46055.75</v>
      </c>
      <c r="C258" s="8" t="n">
        <v>46056.25</v>
      </c>
      <c r="D258" s="9">
        <f>(C258-B258)*24</f>
        <v/>
      </c>
      <c r="E258" s="10">
        <f>IF(AND(HOUR(B258)&gt;=6,HOUR(B258)&lt;18),"Day Shift","Night Shift")</f>
        <v/>
      </c>
      <c r="F258" s="11">
        <f>INT(B258)</f>
        <v/>
      </c>
      <c r="G258" s="11">
        <f>INT(C258)</f>
        <v/>
      </c>
    </row>
    <row r="259">
      <c r="A259" s="2" t="inlineStr">
        <is>
          <t>SHE36</t>
        </is>
      </c>
      <c r="B259" s="3" t="n">
        <v>46056.25</v>
      </c>
      <c r="C259" s="3" t="n">
        <v>46056.75</v>
      </c>
      <c r="D259" s="4">
        <f>(C259-B259)*24</f>
        <v/>
      </c>
      <c r="E259" s="5">
        <f>IF(AND(HOUR(B259)&gt;=6,HOUR(B259)&lt;18),"Day Shift","Night Shift")</f>
        <v/>
      </c>
      <c r="F259" s="6">
        <f>INT(B259)</f>
        <v/>
      </c>
      <c r="G259" s="6">
        <f>INT(C259)</f>
        <v/>
      </c>
    </row>
    <row r="260">
      <c r="A260" s="7" t="inlineStr">
        <is>
          <t>SHE36</t>
        </is>
      </c>
      <c r="B260" s="8" t="n">
        <v>46056.75</v>
      </c>
      <c r="C260" s="8" t="n">
        <v>46056.94287037037</v>
      </c>
      <c r="D260" s="9">
        <f>(C260-B260)*24</f>
        <v/>
      </c>
      <c r="E260" s="10">
        <f>IF(AND(HOUR(B260)&gt;=6,HOUR(B260)&lt;18),"Day Shift","Night Shift")</f>
        <v/>
      </c>
      <c r="F260" s="11">
        <f>INT(B260)</f>
        <v/>
      </c>
      <c r="G260" s="11">
        <f>INT(C260)</f>
        <v/>
      </c>
    </row>
    <row r="261">
      <c r="A261" s="2" t="inlineStr">
        <is>
          <t>EDD1932;EDD2541</t>
        </is>
      </c>
      <c r="B261" s="3" t="n">
        <v>46055.28560185185</v>
      </c>
      <c r="C261" s="3" t="n">
        <v>46055.57511574074</v>
      </c>
      <c r="D261" s="4">
        <f>(C261-B261)*24</f>
        <v/>
      </c>
      <c r="E261" s="5">
        <f>IF(AND(HOUR(B261)&gt;=6,HOUR(B261)&lt;18),"Day Shift","Night Shift")</f>
        <v/>
      </c>
      <c r="F261" s="6">
        <f>INT(B261)</f>
        <v/>
      </c>
      <c r="G261" s="6">
        <f>INT(C261)</f>
        <v/>
      </c>
    </row>
    <row r="262">
      <c r="A262" s="2" t="inlineStr">
        <is>
          <t>EDD812;EDD175;EDD2134</t>
        </is>
      </c>
      <c r="B262" s="3" t="n">
        <v>46055.40177083333</v>
      </c>
      <c r="C262" s="3" t="n">
        <v>46055.75</v>
      </c>
      <c r="D262" s="4">
        <f>(C262-B262)*24</f>
        <v/>
      </c>
      <c r="E262" s="5">
        <f>IF(AND(HOUR(B262)&gt;=6,HOUR(B262)&lt;18),"Day Shift","Night Shift")</f>
        <v/>
      </c>
      <c r="F262" s="6">
        <f>INT(B262)</f>
        <v/>
      </c>
      <c r="G262" s="6">
        <f>INT(C262)</f>
        <v/>
      </c>
    </row>
    <row r="263">
      <c r="A263" s="7" t="inlineStr">
        <is>
          <t>EDD812;EDD175;EDD2134</t>
        </is>
      </c>
      <c r="B263" s="8" t="n">
        <v>46055.75</v>
      </c>
      <c r="C263" s="8" t="n">
        <v>46055.89974537037</v>
      </c>
      <c r="D263" s="9">
        <f>(C263-B263)*24</f>
        <v/>
      </c>
      <c r="E263" s="10">
        <f>IF(AND(HOUR(B263)&gt;=6,HOUR(B263)&lt;18),"Day Shift","Night Shift")</f>
        <v/>
      </c>
      <c r="F263" s="11">
        <f>INT(B263)</f>
        <v/>
      </c>
      <c r="G263" s="11">
        <f>INT(C263)</f>
        <v/>
      </c>
    </row>
    <row r="264">
      <c r="A264" s="2" t="inlineStr">
        <is>
          <t>EXD407</t>
        </is>
      </c>
      <c r="B264" s="3" t="n">
        <v>46055.4267824074</v>
      </c>
      <c r="C264" s="3" t="n">
        <v>46055.68373842593</v>
      </c>
      <c r="D264" s="4">
        <f>(C264-B264)*24</f>
        <v/>
      </c>
      <c r="E264" s="5">
        <f>IF(AND(HOUR(B264)&gt;=6,HOUR(B264)&lt;18),"Day Shift","Night Shift")</f>
        <v/>
      </c>
      <c r="F264" s="6">
        <f>INT(B264)</f>
        <v/>
      </c>
      <c r="G264" s="6">
        <f>INT(C264)</f>
        <v/>
      </c>
    </row>
    <row r="265">
      <c r="A265" s="2" t="inlineStr">
        <is>
          <t>LDW265</t>
        </is>
      </c>
      <c r="B265" s="3" t="n">
        <v>46055.4658912037</v>
      </c>
      <c r="C265" s="3" t="n">
        <v>46055.74607638889</v>
      </c>
      <c r="D265" s="4">
        <f>(C265-B265)*24</f>
        <v/>
      </c>
      <c r="E265" s="5">
        <f>IF(AND(HOUR(B265)&gt;=6,HOUR(B265)&lt;18),"Day Shift","Night Shift")</f>
        <v/>
      </c>
      <c r="F265" s="6">
        <f>INT(B265)</f>
        <v/>
      </c>
      <c r="G265" s="6">
        <f>INT(C265)</f>
        <v/>
      </c>
    </row>
    <row r="266">
      <c r="A266" s="2" t="inlineStr">
        <is>
          <t>EDD175;EDD2134</t>
        </is>
      </c>
      <c r="B266" s="3" t="n">
        <v>46055.5197800926</v>
      </c>
      <c r="C266" s="3" t="n">
        <v>46055.75</v>
      </c>
      <c r="D266" s="4">
        <f>(C266-B266)*24</f>
        <v/>
      </c>
      <c r="E266" s="5">
        <f>IF(AND(HOUR(B266)&gt;=6,HOUR(B266)&lt;18),"Day Shift","Night Shift")</f>
        <v/>
      </c>
      <c r="F266" s="6">
        <f>INT(B266)</f>
        <v/>
      </c>
      <c r="G266" s="6">
        <f>INT(C266)</f>
        <v/>
      </c>
    </row>
    <row r="267">
      <c r="A267" s="7" t="inlineStr">
        <is>
          <t>EDD175;EDD2134</t>
        </is>
      </c>
      <c r="B267" s="8" t="n">
        <v>46055.75</v>
      </c>
      <c r="C267" s="8" t="n">
        <v>46055.82846064815</v>
      </c>
      <c r="D267" s="9">
        <f>(C267-B267)*24</f>
        <v/>
      </c>
      <c r="E267" s="10">
        <f>IF(AND(HOUR(B267)&gt;=6,HOUR(B267)&lt;18),"Day Shift","Night Shift")</f>
        <v/>
      </c>
      <c r="F267" s="11">
        <f>INT(B267)</f>
        <v/>
      </c>
      <c r="G267" s="11">
        <f>INT(C267)</f>
        <v/>
      </c>
    </row>
    <row r="268">
      <c r="A268" s="2" t="inlineStr">
        <is>
          <t>EXD98</t>
        </is>
      </c>
      <c r="B268" s="3" t="n">
        <v>46055.54755787037</v>
      </c>
      <c r="C268" s="3" t="n">
        <v>46055.75</v>
      </c>
      <c r="D268" s="4">
        <f>(C268-B268)*24</f>
        <v/>
      </c>
      <c r="E268" s="5">
        <f>IF(AND(HOUR(B268)&gt;=6,HOUR(B268)&lt;18),"Day Shift","Night Shift")</f>
        <v/>
      </c>
      <c r="F268" s="6">
        <f>INT(B268)</f>
        <v/>
      </c>
      <c r="G268" s="6">
        <f>INT(C268)</f>
        <v/>
      </c>
    </row>
    <row r="269">
      <c r="A269" s="7" t="inlineStr">
        <is>
          <t>EXD98</t>
        </is>
      </c>
      <c r="B269" s="8" t="n">
        <v>46055.75</v>
      </c>
      <c r="C269" s="8" t="n">
        <v>46056.03206018519</v>
      </c>
      <c r="D269" s="9">
        <f>(C269-B269)*24</f>
        <v/>
      </c>
      <c r="E269" s="10">
        <f>IF(AND(HOUR(B269)&gt;=6,HOUR(B269)&lt;18),"Day Shift","Night Shift")</f>
        <v/>
      </c>
      <c r="F269" s="11">
        <f>INT(B269)</f>
        <v/>
      </c>
      <c r="G269" s="11">
        <f>INT(C269)</f>
        <v/>
      </c>
    </row>
    <row r="270">
      <c r="A270" s="2" t="inlineStr">
        <is>
          <t>EXD60</t>
        </is>
      </c>
      <c r="B270" s="3" t="n">
        <v>46055.55532407408</v>
      </c>
      <c r="C270" s="3" t="n">
        <v>46055.75</v>
      </c>
      <c r="D270" s="4">
        <f>(C270-B270)*24</f>
        <v/>
      </c>
      <c r="E270" s="5">
        <f>IF(AND(HOUR(B270)&gt;=6,HOUR(B270)&lt;18),"Day Shift","Night Shift")</f>
        <v/>
      </c>
      <c r="F270" s="6">
        <f>INT(B270)</f>
        <v/>
      </c>
      <c r="G270" s="6">
        <f>INT(C270)</f>
        <v/>
      </c>
    </row>
    <row r="271">
      <c r="A271" s="7" t="inlineStr">
        <is>
          <t>EXD60</t>
        </is>
      </c>
      <c r="B271" s="8" t="n">
        <v>46055.75</v>
      </c>
      <c r="C271" s="8" t="n">
        <v>46056.25</v>
      </c>
      <c r="D271" s="9">
        <f>(C271-B271)*24</f>
        <v/>
      </c>
      <c r="E271" s="10">
        <f>IF(AND(HOUR(B271)&gt;=6,HOUR(B271)&lt;18),"Day Shift","Night Shift")</f>
        <v/>
      </c>
      <c r="F271" s="11">
        <f>INT(B271)</f>
        <v/>
      </c>
      <c r="G271" s="11">
        <f>INT(C271)</f>
        <v/>
      </c>
    </row>
    <row r="272">
      <c r="A272" s="2" t="inlineStr">
        <is>
          <t>EXD60</t>
        </is>
      </c>
      <c r="B272" s="3" t="n">
        <v>46056.25</v>
      </c>
      <c r="C272" s="3" t="n">
        <v>46056.75</v>
      </c>
      <c r="D272" s="4">
        <f>(C272-B272)*24</f>
        <v/>
      </c>
      <c r="E272" s="5">
        <f>IF(AND(HOUR(B272)&gt;=6,HOUR(B272)&lt;18),"Day Shift","Night Shift")</f>
        <v/>
      </c>
      <c r="F272" s="6">
        <f>INT(B272)</f>
        <v/>
      </c>
      <c r="G272" s="6">
        <f>INT(C272)</f>
        <v/>
      </c>
    </row>
    <row r="273">
      <c r="A273" s="7" t="inlineStr">
        <is>
          <t>EXD60</t>
        </is>
      </c>
      <c r="B273" s="8" t="n">
        <v>46056.75</v>
      </c>
      <c r="C273" s="8" t="n">
        <v>46056.78237268519</v>
      </c>
      <c r="D273" s="9">
        <f>(C273-B273)*24</f>
        <v/>
      </c>
      <c r="E273" s="10">
        <f>IF(AND(HOUR(B273)&gt;=6,HOUR(B273)&lt;18),"Day Shift","Night Shift")</f>
        <v/>
      </c>
      <c r="F273" s="11">
        <f>INT(B273)</f>
        <v/>
      </c>
      <c r="G273" s="11">
        <f>INT(C273)</f>
        <v/>
      </c>
    </row>
    <row r="274">
      <c r="A274" s="2" t="inlineStr">
        <is>
          <t>EDD1932;EDD2541</t>
        </is>
      </c>
      <c r="B274" s="3" t="n">
        <v>46055.57511574074</v>
      </c>
      <c r="C274" s="3" t="n">
        <v>46055.75</v>
      </c>
      <c r="D274" s="4">
        <f>(C274-B274)*24</f>
        <v/>
      </c>
      <c r="E274" s="5">
        <f>IF(AND(HOUR(B274)&gt;=6,HOUR(B274)&lt;18),"Day Shift","Night Shift")</f>
        <v/>
      </c>
      <c r="F274" s="6">
        <f>INT(B274)</f>
        <v/>
      </c>
      <c r="G274" s="6">
        <f>INT(C274)</f>
        <v/>
      </c>
    </row>
    <row r="275">
      <c r="A275" s="7" t="inlineStr">
        <is>
          <t>EDD1932;EDD2541</t>
        </is>
      </c>
      <c r="B275" s="8" t="n">
        <v>46055.75</v>
      </c>
      <c r="C275" s="8" t="n">
        <v>46055.93243055556</v>
      </c>
      <c r="D275" s="9">
        <f>(C275-B275)*24</f>
        <v/>
      </c>
      <c r="E275" s="10">
        <f>IF(AND(HOUR(B275)&gt;=6,HOUR(B275)&lt;18),"Day Shift","Night Shift")</f>
        <v/>
      </c>
      <c r="F275" s="11">
        <f>INT(B275)</f>
        <v/>
      </c>
      <c r="G275" s="11">
        <f>INT(C275)</f>
        <v/>
      </c>
    </row>
    <row r="276">
      <c r="A276" s="2" t="inlineStr">
        <is>
          <t>EXD51</t>
        </is>
      </c>
      <c r="B276" s="3" t="n">
        <v>46055.60836805555</v>
      </c>
      <c r="C276" s="3" t="n">
        <v>46055.75</v>
      </c>
      <c r="D276" s="4">
        <f>(C276-B276)*24</f>
        <v/>
      </c>
      <c r="E276" s="5">
        <f>IF(AND(HOUR(B276)&gt;=6,HOUR(B276)&lt;18),"Day Shift","Night Shift")</f>
        <v/>
      </c>
      <c r="F276" s="6">
        <f>INT(B276)</f>
        <v/>
      </c>
      <c r="G276" s="6">
        <f>INT(C276)</f>
        <v/>
      </c>
    </row>
    <row r="277">
      <c r="A277" s="7" t="inlineStr">
        <is>
          <t>EXD51</t>
        </is>
      </c>
      <c r="B277" s="8" t="n">
        <v>46055.75</v>
      </c>
      <c r="C277" s="8" t="n">
        <v>46055.88391203704</v>
      </c>
      <c r="D277" s="9">
        <f>(C277-B277)*24</f>
        <v/>
      </c>
      <c r="E277" s="10">
        <f>IF(AND(HOUR(B277)&gt;=6,HOUR(B277)&lt;18),"Day Shift","Night Shift")</f>
        <v/>
      </c>
      <c r="F277" s="11">
        <f>INT(B277)</f>
        <v/>
      </c>
      <c r="G277" s="11">
        <f>INT(C277)</f>
        <v/>
      </c>
    </row>
    <row r="278">
      <c r="A278" s="2" t="inlineStr">
        <is>
          <t>EXD409</t>
        </is>
      </c>
      <c r="B278" s="3" t="n">
        <v>46055.67141203704</v>
      </c>
      <c r="C278" s="3" t="n">
        <v>46055.75</v>
      </c>
      <c r="D278" s="4">
        <f>(C278-B278)*24</f>
        <v/>
      </c>
      <c r="E278" s="5">
        <f>IF(AND(HOUR(B278)&gt;=6,HOUR(B278)&lt;18),"Day Shift","Night Shift")</f>
        <v/>
      </c>
      <c r="F278" s="6">
        <f>INT(B278)</f>
        <v/>
      </c>
      <c r="G278" s="6">
        <f>INT(C278)</f>
        <v/>
      </c>
    </row>
    <row r="279">
      <c r="A279" s="7" t="inlineStr">
        <is>
          <t>EXD409</t>
        </is>
      </c>
      <c r="B279" s="8" t="n">
        <v>46055.75</v>
      </c>
      <c r="C279" s="8" t="n">
        <v>46056.25</v>
      </c>
      <c r="D279" s="9">
        <f>(C279-B279)*24</f>
        <v/>
      </c>
      <c r="E279" s="10">
        <f>IF(AND(HOUR(B279)&gt;=6,HOUR(B279)&lt;18),"Day Shift","Night Shift")</f>
        <v/>
      </c>
      <c r="F279" s="11">
        <f>INT(B279)</f>
        <v/>
      </c>
      <c r="G279" s="11">
        <f>INT(C279)</f>
        <v/>
      </c>
    </row>
    <row r="280">
      <c r="A280" s="2" t="inlineStr">
        <is>
          <t>EXD409</t>
        </is>
      </c>
      <c r="B280" s="3" t="n">
        <v>46056.25</v>
      </c>
      <c r="C280" s="3" t="n">
        <v>46056.61731481482</v>
      </c>
      <c r="D280" s="4">
        <f>(C280-B280)*24</f>
        <v/>
      </c>
      <c r="E280" s="5">
        <f>IF(AND(HOUR(B280)&gt;=6,HOUR(B280)&lt;18),"Day Shift","Night Shift")</f>
        <v/>
      </c>
      <c r="F280" s="6">
        <f>INT(B280)</f>
        <v/>
      </c>
      <c r="G280" s="6">
        <f>INT(C280)</f>
        <v/>
      </c>
    </row>
    <row r="281">
      <c r="A281" s="2" t="inlineStr">
        <is>
          <t>EXD55</t>
        </is>
      </c>
      <c r="B281" s="3" t="n">
        <v>46055.73623842592</v>
      </c>
      <c r="C281" s="3" t="n">
        <v>46055.75</v>
      </c>
      <c r="D281" s="4">
        <f>(C281-B281)*24</f>
        <v/>
      </c>
      <c r="E281" s="5">
        <f>IF(AND(HOUR(B281)&gt;=6,HOUR(B281)&lt;18),"Day Shift","Night Shift")</f>
        <v/>
      </c>
      <c r="F281" s="6">
        <f>INT(B281)</f>
        <v/>
      </c>
      <c r="G281" s="6">
        <f>INT(C281)</f>
        <v/>
      </c>
    </row>
    <row r="282">
      <c r="A282" s="7" t="inlineStr">
        <is>
          <t>EXD55</t>
        </is>
      </c>
      <c r="B282" s="8" t="n">
        <v>46055.75</v>
      </c>
      <c r="C282" s="8" t="n">
        <v>46055.96157407408</v>
      </c>
      <c r="D282" s="9">
        <f>(C282-B282)*24</f>
        <v/>
      </c>
      <c r="E282" s="10">
        <f>IF(AND(HOUR(B282)&gt;=6,HOUR(B282)&lt;18),"Day Shift","Night Shift")</f>
        <v/>
      </c>
      <c r="F282" s="11">
        <f>INT(B282)</f>
        <v/>
      </c>
      <c r="G282" s="11">
        <f>INT(C282)</f>
        <v/>
      </c>
    </row>
    <row r="283">
      <c r="A283" s="2" t="inlineStr">
        <is>
          <t>LDW265</t>
        </is>
      </c>
      <c r="B283" s="3" t="n">
        <v>46055.74607638889</v>
      </c>
      <c r="C283" s="3" t="n">
        <v>46055.75</v>
      </c>
      <c r="D283" s="4">
        <f>(C283-B283)*24</f>
        <v/>
      </c>
      <c r="E283" s="5">
        <f>IF(AND(HOUR(B283)&gt;=6,HOUR(B283)&lt;18),"Day Shift","Night Shift")</f>
        <v/>
      </c>
      <c r="F283" s="6">
        <f>INT(B283)</f>
        <v/>
      </c>
      <c r="G283" s="6">
        <f>INT(C283)</f>
        <v/>
      </c>
    </row>
    <row r="284">
      <c r="A284" s="7" t="inlineStr">
        <is>
          <t>LDW265</t>
        </is>
      </c>
      <c r="B284" s="8" t="n">
        <v>46055.75</v>
      </c>
      <c r="C284" s="8" t="n">
        <v>46056.15756944445</v>
      </c>
      <c r="D284" s="9">
        <f>(C284-B284)*24</f>
        <v/>
      </c>
      <c r="E284" s="10">
        <f>IF(AND(HOUR(B284)&gt;=6,HOUR(B284)&lt;18),"Day Shift","Night Shift")</f>
        <v/>
      </c>
      <c r="F284" s="11">
        <f>INT(B284)</f>
        <v/>
      </c>
      <c r="G284" s="11">
        <f>INT(C284)</f>
        <v/>
      </c>
    </row>
    <row r="285">
      <c r="A285" s="7" t="inlineStr">
        <is>
          <t>EXD100</t>
        </is>
      </c>
      <c r="B285" s="8" t="n">
        <v>46055.77600694444</v>
      </c>
      <c r="C285" s="8" t="n">
        <v>46056.25</v>
      </c>
      <c r="D285" s="9">
        <f>(C285-B285)*24</f>
        <v/>
      </c>
      <c r="E285" s="10">
        <f>IF(AND(HOUR(B285)&gt;=6,HOUR(B285)&lt;18),"Day Shift","Night Shift")</f>
        <v/>
      </c>
      <c r="F285" s="11">
        <f>INT(B285)</f>
        <v/>
      </c>
      <c r="G285" s="11">
        <f>INT(C285)</f>
        <v/>
      </c>
    </row>
    <row r="286">
      <c r="A286" s="2" t="inlineStr">
        <is>
          <t>EXD100</t>
        </is>
      </c>
      <c r="B286" s="3" t="n">
        <v>46056.25</v>
      </c>
      <c r="C286" s="3" t="n">
        <v>46056.30400462963</v>
      </c>
      <c r="D286" s="4">
        <f>(C286-B286)*24</f>
        <v/>
      </c>
      <c r="E286" s="5">
        <f>IF(AND(HOUR(B286)&gt;=6,HOUR(B286)&lt;18),"Day Shift","Night Shift")</f>
        <v/>
      </c>
      <c r="F286" s="6">
        <f>INT(B286)</f>
        <v/>
      </c>
      <c r="G286" s="6">
        <f>INT(C286)</f>
        <v/>
      </c>
    </row>
    <row r="287">
      <c r="A287" s="7" t="inlineStr">
        <is>
          <t>DRE09</t>
        </is>
      </c>
      <c r="B287" s="8" t="n">
        <v>46055.8322800926</v>
      </c>
      <c r="C287" s="8" t="n">
        <v>46056.25</v>
      </c>
      <c r="D287" s="9">
        <f>(C287-B287)*24</f>
        <v/>
      </c>
      <c r="E287" s="10">
        <f>IF(AND(HOUR(B287)&gt;=6,HOUR(B287)&lt;18),"Day Shift","Night Shift")</f>
        <v/>
      </c>
      <c r="F287" s="11">
        <f>INT(B287)</f>
        <v/>
      </c>
      <c r="G287" s="11">
        <f>INT(C287)</f>
        <v/>
      </c>
    </row>
    <row r="288">
      <c r="A288" s="2" t="inlineStr">
        <is>
          <t>DRE09</t>
        </is>
      </c>
      <c r="B288" s="3" t="n">
        <v>46056.25</v>
      </c>
      <c r="C288" s="3" t="n">
        <v>46056.75</v>
      </c>
      <c r="D288" s="4">
        <f>(C288-B288)*24</f>
        <v/>
      </c>
      <c r="E288" s="5">
        <f>IF(AND(HOUR(B288)&gt;=6,HOUR(B288)&lt;18),"Day Shift","Night Shift")</f>
        <v/>
      </c>
      <c r="F288" s="6">
        <f>INT(B288)</f>
        <v/>
      </c>
      <c r="G288" s="6">
        <f>INT(C288)</f>
        <v/>
      </c>
    </row>
    <row r="289">
      <c r="A289" s="7" t="inlineStr">
        <is>
          <t>DRE09</t>
        </is>
      </c>
      <c r="B289" s="8" t="n">
        <v>46056.75</v>
      </c>
      <c r="C289" s="8" t="n">
        <v>46056.80603009259</v>
      </c>
      <c r="D289" s="9">
        <f>(C289-B289)*24</f>
        <v/>
      </c>
      <c r="E289" s="10">
        <f>IF(AND(HOUR(B289)&gt;=6,HOUR(B289)&lt;18),"Day Shift","Night Shift")</f>
        <v/>
      </c>
      <c r="F289" s="11">
        <f>INT(B289)</f>
        <v/>
      </c>
      <c r="G289" s="11">
        <f>INT(C289)</f>
        <v/>
      </c>
    </row>
    <row r="290">
      <c r="A290" s="7" t="inlineStr">
        <is>
          <t>EXD407</t>
        </is>
      </c>
      <c r="B290" s="8" t="n">
        <v>46055.85282407407</v>
      </c>
      <c r="C290" s="8" t="n">
        <v>46056.25</v>
      </c>
      <c r="D290" s="9">
        <f>(C290-B290)*24</f>
        <v/>
      </c>
      <c r="E290" s="10">
        <f>IF(AND(HOUR(B290)&gt;=6,HOUR(B290)&lt;18),"Day Shift","Night Shift")</f>
        <v/>
      </c>
      <c r="F290" s="11">
        <f>INT(B290)</f>
        <v/>
      </c>
      <c r="G290" s="11">
        <f>INT(C290)</f>
        <v/>
      </c>
    </row>
    <row r="291">
      <c r="A291" s="2" t="inlineStr">
        <is>
          <t>EXD407</t>
        </is>
      </c>
      <c r="B291" s="3" t="n">
        <v>46056.25</v>
      </c>
      <c r="C291" s="3" t="n">
        <v>46056.75</v>
      </c>
      <c r="D291" s="4">
        <f>(C291-B291)*24</f>
        <v/>
      </c>
      <c r="E291" s="5">
        <f>IF(AND(HOUR(B291)&gt;=6,HOUR(B291)&lt;18),"Day Shift","Night Shift")</f>
        <v/>
      </c>
      <c r="F291" s="6">
        <f>INT(B291)</f>
        <v/>
      </c>
      <c r="G291" s="6">
        <f>INT(C291)</f>
        <v/>
      </c>
    </row>
    <row r="292">
      <c r="A292" s="7" t="inlineStr">
        <is>
          <t>EXD407</t>
        </is>
      </c>
      <c r="B292" s="8" t="n">
        <v>46056.75</v>
      </c>
      <c r="C292" s="8" t="n">
        <v>46057.10622685185</v>
      </c>
      <c r="D292" s="9">
        <f>(C292-B292)*24</f>
        <v/>
      </c>
      <c r="E292" s="10">
        <f>IF(AND(HOUR(B292)&gt;=6,HOUR(B292)&lt;18),"Day Shift","Night Shift")</f>
        <v/>
      </c>
      <c r="F292" s="11">
        <f>INT(B292)</f>
        <v/>
      </c>
      <c r="G292" s="11">
        <f>INT(C292)</f>
        <v/>
      </c>
    </row>
    <row r="293">
      <c r="A293" s="7" t="inlineStr">
        <is>
          <t>EXD408</t>
        </is>
      </c>
      <c r="B293" s="8" t="n">
        <v>46055.88216435185</v>
      </c>
      <c r="C293" s="8" t="n">
        <v>46056.25</v>
      </c>
      <c r="D293" s="9">
        <f>(C293-B293)*24</f>
        <v/>
      </c>
      <c r="E293" s="10">
        <f>IF(AND(HOUR(B293)&gt;=6,HOUR(B293)&lt;18),"Day Shift","Night Shift")</f>
        <v/>
      </c>
      <c r="F293" s="11">
        <f>INT(B293)</f>
        <v/>
      </c>
      <c r="G293" s="11">
        <f>INT(C293)</f>
        <v/>
      </c>
    </row>
    <row r="294">
      <c r="A294" s="2" t="inlineStr">
        <is>
          <t>EXD408</t>
        </is>
      </c>
      <c r="B294" s="3" t="n">
        <v>46056.25</v>
      </c>
      <c r="C294" s="3" t="n">
        <v>46056.30466435185</v>
      </c>
      <c r="D294" s="4">
        <f>(C294-B294)*24</f>
        <v/>
      </c>
      <c r="E294" s="5">
        <f>IF(AND(HOUR(B294)&gt;=6,HOUR(B294)&lt;18),"Day Shift","Night Shift")</f>
        <v/>
      </c>
      <c r="F294" s="6">
        <f>INT(B294)</f>
        <v/>
      </c>
      <c r="G294" s="6">
        <f>INT(C294)</f>
        <v/>
      </c>
    </row>
    <row r="295">
      <c r="A295" s="7" t="inlineStr">
        <is>
          <t>EDD175;EDD2134</t>
        </is>
      </c>
      <c r="B295" s="8" t="n">
        <v>46055.89974537037</v>
      </c>
      <c r="C295" s="8" t="n">
        <v>46056.21</v>
      </c>
      <c r="D295" s="9">
        <f>(C295-B295)*24</f>
        <v/>
      </c>
      <c r="E295" s="10">
        <f>IF(AND(HOUR(B295)&gt;=6,HOUR(B295)&lt;18),"Day Shift","Night Shift")</f>
        <v/>
      </c>
      <c r="F295" s="11">
        <f>INT(B295)</f>
        <v/>
      </c>
      <c r="G295" s="11">
        <f>INT(C295)</f>
        <v/>
      </c>
    </row>
    <row r="296">
      <c r="A296" s="7" t="inlineStr">
        <is>
          <t>EDD812</t>
        </is>
      </c>
      <c r="B296" s="8" t="n">
        <v>46055.89974537037</v>
      </c>
      <c r="C296" s="8" t="n">
        <v>46056.25</v>
      </c>
      <c r="D296" s="9">
        <f>(C296-B296)*24</f>
        <v/>
      </c>
      <c r="E296" s="10">
        <f>IF(AND(HOUR(B296)&gt;=6,HOUR(B296)&lt;18),"Day Shift","Night Shift")</f>
        <v/>
      </c>
      <c r="F296" s="11">
        <f>INT(B296)</f>
        <v/>
      </c>
      <c r="G296" s="11">
        <f>INT(C296)</f>
        <v/>
      </c>
    </row>
    <row r="297">
      <c r="A297" s="2" t="inlineStr">
        <is>
          <t>EDD812</t>
        </is>
      </c>
      <c r="B297" s="3" t="n">
        <v>46056.25</v>
      </c>
      <c r="C297" s="3" t="n">
        <v>46056.55138888889</v>
      </c>
      <c r="D297" s="4">
        <f>(C297-B297)*24</f>
        <v/>
      </c>
      <c r="E297" s="5">
        <f>IF(AND(HOUR(B297)&gt;=6,HOUR(B297)&lt;18),"Day Shift","Night Shift")</f>
        <v/>
      </c>
      <c r="F297" s="6">
        <f>INT(B297)</f>
        <v/>
      </c>
      <c r="G297" s="6">
        <f>INT(C297)</f>
        <v/>
      </c>
    </row>
    <row r="298">
      <c r="A298" s="7" t="inlineStr">
        <is>
          <t>EXD51</t>
        </is>
      </c>
      <c r="B298" s="8" t="n">
        <v>46055.91811342593</v>
      </c>
      <c r="C298" s="8" t="n">
        <v>46056.25</v>
      </c>
      <c r="D298" s="9">
        <f>(C298-B298)*24</f>
        <v/>
      </c>
      <c r="E298" s="10">
        <f>IF(AND(HOUR(B298)&gt;=6,HOUR(B298)&lt;18),"Day Shift","Night Shift")</f>
        <v/>
      </c>
      <c r="F298" s="11">
        <f>INT(B298)</f>
        <v/>
      </c>
      <c r="G298" s="11">
        <f>INT(C298)</f>
        <v/>
      </c>
    </row>
    <row r="299">
      <c r="A299" s="2" t="inlineStr">
        <is>
          <t>EXD51</t>
        </is>
      </c>
      <c r="B299" s="3" t="n">
        <v>46056.25</v>
      </c>
      <c r="C299" s="3" t="n">
        <v>46056.26699074074</v>
      </c>
      <c r="D299" s="4">
        <f>(C299-B299)*24</f>
        <v/>
      </c>
      <c r="E299" s="5">
        <f>IF(AND(HOUR(B299)&gt;=6,HOUR(B299)&lt;18),"Day Shift","Night Shift")</f>
        <v/>
      </c>
      <c r="F299" s="6">
        <f>INT(B299)</f>
        <v/>
      </c>
      <c r="G299" s="6">
        <f>INT(C299)</f>
        <v/>
      </c>
    </row>
    <row r="300">
      <c r="A300" s="7" t="inlineStr">
        <is>
          <t>EXD101</t>
        </is>
      </c>
      <c r="B300" s="8" t="n">
        <v>46055.92693287037</v>
      </c>
      <c r="C300" s="8" t="n">
        <v>46056.25</v>
      </c>
      <c r="D300" s="9">
        <f>(C300-B300)*24</f>
        <v/>
      </c>
      <c r="E300" s="10">
        <f>IF(AND(HOUR(B300)&gt;=6,HOUR(B300)&lt;18),"Day Shift","Night Shift")</f>
        <v/>
      </c>
      <c r="F300" s="11">
        <f>INT(B300)</f>
        <v/>
      </c>
      <c r="G300" s="11">
        <f>INT(C300)</f>
        <v/>
      </c>
    </row>
    <row r="301">
      <c r="A301" s="2" t="inlineStr">
        <is>
          <t>EXD101</t>
        </is>
      </c>
      <c r="B301" s="3" t="n">
        <v>46056.25</v>
      </c>
      <c r="C301" s="3" t="n">
        <v>46056.39289351852</v>
      </c>
      <c r="D301" s="4">
        <f>(C301-B301)*24</f>
        <v/>
      </c>
      <c r="E301" s="5">
        <f>IF(AND(HOUR(B301)&gt;=6,HOUR(B301)&lt;18),"Day Shift","Night Shift")</f>
        <v/>
      </c>
      <c r="F301" s="6">
        <f>INT(B301)</f>
        <v/>
      </c>
      <c r="G301" s="6">
        <f>INT(C301)</f>
        <v/>
      </c>
    </row>
    <row r="302">
      <c r="A302" s="7" t="inlineStr">
        <is>
          <t>EDD1932;EDD2541</t>
        </is>
      </c>
      <c r="B302" s="8" t="n">
        <v>46055.93243055556</v>
      </c>
      <c r="C302" s="8" t="n">
        <v>46056.25</v>
      </c>
      <c r="D302" s="9">
        <f>(C302-B302)*24</f>
        <v/>
      </c>
      <c r="E302" s="10">
        <f>IF(AND(HOUR(B302)&gt;=6,HOUR(B302)&lt;18),"Day Shift","Night Shift")</f>
        <v/>
      </c>
      <c r="F302" s="11">
        <f>INT(B302)</f>
        <v/>
      </c>
      <c r="G302" s="11">
        <f>INT(C302)</f>
        <v/>
      </c>
    </row>
    <row r="303">
      <c r="A303" s="2" t="inlineStr">
        <is>
          <t>EDD1932;EDD2541</t>
        </is>
      </c>
      <c r="B303" s="3" t="n">
        <v>46056.25</v>
      </c>
      <c r="C303" s="3" t="n">
        <v>46056.31425925926</v>
      </c>
      <c r="D303" s="4">
        <f>(C303-B303)*24</f>
        <v/>
      </c>
      <c r="E303" s="5">
        <f>IF(AND(HOUR(B303)&gt;=6,HOUR(B303)&lt;18),"Day Shift","Night Shift")</f>
        <v/>
      </c>
      <c r="F303" s="6">
        <f>INT(B303)</f>
        <v/>
      </c>
      <c r="G303" s="6">
        <f>INT(C303)</f>
        <v/>
      </c>
    </row>
    <row r="304">
      <c r="A304" s="7" t="inlineStr">
        <is>
          <t>EXD55</t>
        </is>
      </c>
      <c r="B304" s="8" t="n">
        <v>46055.96170138889</v>
      </c>
      <c r="C304" s="8" t="n">
        <v>46056.25</v>
      </c>
      <c r="D304" s="9">
        <f>(C304-B304)*24</f>
        <v/>
      </c>
      <c r="E304" s="10">
        <f>IF(AND(HOUR(B304)&gt;=6,HOUR(B304)&lt;18),"Day Shift","Night Shift")</f>
        <v/>
      </c>
      <c r="F304" s="11">
        <f>INT(B304)</f>
        <v/>
      </c>
      <c r="G304" s="11">
        <f>INT(C304)</f>
        <v/>
      </c>
    </row>
    <row r="305">
      <c r="A305" s="2" t="inlineStr">
        <is>
          <t>EXD55</t>
        </is>
      </c>
      <c r="B305" s="3" t="n">
        <v>46056.25</v>
      </c>
      <c r="C305" s="3" t="n">
        <v>46056.39789351852</v>
      </c>
      <c r="D305" s="4">
        <f>(C305-B305)*24</f>
        <v/>
      </c>
      <c r="E305" s="5">
        <f>IF(AND(HOUR(B305)&gt;=6,HOUR(B305)&lt;18),"Day Shift","Night Shift")</f>
        <v/>
      </c>
      <c r="F305" s="6">
        <f>INT(B305)</f>
        <v/>
      </c>
      <c r="G305" s="6">
        <f>INT(C305)</f>
        <v/>
      </c>
    </row>
    <row r="306">
      <c r="A306" s="7" t="inlineStr">
        <is>
          <t>EXD98</t>
        </is>
      </c>
      <c r="B306" s="8" t="n">
        <v>46056.03206018519</v>
      </c>
      <c r="C306" s="8" t="n">
        <v>46056.25</v>
      </c>
      <c r="D306" s="9">
        <f>(C306-B306)*24</f>
        <v/>
      </c>
      <c r="E306" s="10">
        <f>IF(AND(HOUR(B306)&gt;=6,HOUR(B306)&lt;18),"Day Shift","Night Shift")</f>
        <v/>
      </c>
      <c r="F306" s="11">
        <f>INT(B306)</f>
        <v/>
      </c>
      <c r="G306" s="11">
        <f>INT(C306)</f>
        <v/>
      </c>
    </row>
    <row r="307">
      <c r="A307" s="2" t="inlineStr">
        <is>
          <t>EXD98</t>
        </is>
      </c>
      <c r="B307" s="3" t="n">
        <v>46056.25</v>
      </c>
      <c r="C307" s="3" t="n">
        <v>46056.75</v>
      </c>
      <c r="D307" s="4">
        <f>(C307-B307)*24</f>
        <v/>
      </c>
      <c r="E307" s="5">
        <f>IF(AND(HOUR(B307)&gt;=6,HOUR(B307)&lt;18),"Day Shift","Night Shift")</f>
        <v/>
      </c>
      <c r="F307" s="6">
        <f>INT(B307)</f>
        <v/>
      </c>
      <c r="G307" s="6">
        <f>INT(C307)</f>
        <v/>
      </c>
    </row>
    <row r="308">
      <c r="A308" s="7" t="inlineStr">
        <is>
          <t>EXD98</t>
        </is>
      </c>
      <c r="B308" s="8" t="n">
        <v>46056.75</v>
      </c>
      <c r="C308" s="8" t="n">
        <v>46057.25</v>
      </c>
      <c r="D308" s="9">
        <f>(C308-B308)*24</f>
        <v/>
      </c>
      <c r="E308" s="10">
        <f>IF(AND(HOUR(B308)&gt;=6,HOUR(B308)&lt;18),"Day Shift","Night Shift")</f>
        <v/>
      </c>
      <c r="F308" s="11">
        <f>INT(B308)</f>
        <v/>
      </c>
      <c r="G308" s="11">
        <f>INT(C308)</f>
        <v/>
      </c>
    </row>
    <row r="309">
      <c r="A309" s="2" t="inlineStr">
        <is>
          <t>EXD98</t>
        </is>
      </c>
      <c r="B309" s="3" t="n">
        <v>46057.25</v>
      </c>
      <c r="C309" s="3" t="n">
        <v>46057.45043981481</v>
      </c>
      <c r="D309" s="4">
        <f>(C309-B309)*24</f>
        <v/>
      </c>
      <c r="E309" s="5">
        <f>IF(AND(HOUR(B309)&gt;=6,HOUR(B309)&lt;18),"Day Shift","Night Shift")</f>
        <v/>
      </c>
      <c r="F309" s="6">
        <f>INT(B309)</f>
        <v/>
      </c>
      <c r="G309" s="6">
        <f>INT(C309)</f>
        <v/>
      </c>
    </row>
    <row r="310">
      <c r="A310" s="7" t="inlineStr">
        <is>
          <t>EXD52</t>
        </is>
      </c>
      <c r="B310" s="8" t="n">
        <v>46056.15104166666</v>
      </c>
      <c r="C310" s="8" t="n">
        <v>46056.25</v>
      </c>
      <c r="D310" s="9">
        <f>(C310-B310)*24</f>
        <v/>
      </c>
      <c r="E310" s="10">
        <f>IF(AND(HOUR(B310)&gt;=6,HOUR(B310)&lt;18),"Day Shift","Night Shift")</f>
        <v/>
      </c>
      <c r="F310" s="11">
        <f>INT(B310)</f>
        <v/>
      </c>
      <c r="G310" s="11">
        <f>INT(C310)</f>
        <v/>
      </c>
    </row>
    <row r="311">
      <c r="A311" s="2" t="inlineStr">
        <is>
          <t>EXD52</t>
        </is>
      </c>
      <c r="B311" s="3" t="n">
        <v>46056.25</v>
      </c>
      <c r="C311" s="3" t="n">
        <v>46056.43462962963</v>
      </c>
      <c r="D311" s="4">
        <f>(C311-B311)*24</f>
        <v/>
      </c>
      <c r="E311" s="5">
        <f>IF(AND(HOUR(B311)&gt;=6,HOUR(B311)&lt;18),"Day Shift","Night Shift")</f>
        <v/>
      </c>
      <c r="F311" s="6">
        <f>INT(B311)</f>
        <v/>
      </c>
      <c r="G311" s="6">
        <f>INT(C311)</f>
        <v/>
      </c>
    </row>
    <row r="312">
      <c r="A312" s="7" t="inlineStr">
        <is>
          <t>LDW265</t>
        </is>
      </c>
      <c r="B312" s="8" t="n">
        <v>46056.15756944445</v>
      </c>
      <c r="C312" s="8" t="n">
        <v>46056.25</v>
      </c>
      <c r="D312" s="9">
        <f>(C312-B312)*24</f>
        <v/>
      </c>
      <c r="E312" s="10">
        <f>IF(AND(HOUR(B312)&gt;=6,HOUR(B312)&lt;18),"Day Shift","Night Shift")</f>
        <v/>
      </c>
      <c r="F312" s="11">
        <f>INT(B312)</f>
        <v/>
      </c>
      <c r="G312" s="11">
        <f>INT(C312)</f>
        <v/>
      </c>
    </row>
    <row r="313">
      <c r="A313" s="2" t="inlineStr">
        <is>
          <t>LDW265</t>
        </is>
      </c>
      <c r="B313" s="3" t="n">
        <v>46056.25</v>
      </c>
      <c r="C313" s="3" t="n">
        <v>46056.75</v>
      </c>
      <c r="D313" s="4">
        <f>(C313-B313)*24</f>
        <v/>
      </c>
      <c r="E313" s="5">
        <f>IF(AND(HOUR(B313)&gt;=6,HOUR(B313)&lt;18),"Day Shift","Night Shift")</f>
        <v/>
      </c>
      <c r="F313" s="6">
        <f>INT(B313)</f>
        <v/>
      </c>
      <c r="G313" s="6">
        <f>INT(C313)</f>
        <v/>
      </c>
    </row>
    <row r="314">
      <c r="A314" s="7" t="inlineStr">
        <is>
          <t>LDW265</t>
        </is>
      </c>
      <c r="B314" s="8" t="n">
        <v>46056.75</v>
      </c>
      <c r="C314" s="8" t="n">
        <v>46057.03636574074</v>
      </c>
      <c r="D314" s="9">
        <f>(C314-B314)*24</f>
        <v/>
      </c>
      <c r="E314" s="10">
        <f>IF(AND(HOUR(B314)&gt;=6,HOUR(B314)&lt;18),"Day Shift","Night Shift")</f>
        <v/>
      </c>
      <c r="F314" s="11">
        <f>INT(B314)</f>
        <v/>
      </c>
      <c r="G314" s="11">
        <f>INT(C314)</f>
        <v/>
      </c>
    </row>
    <row r="315">
      <c r="A315" s="7" t="inlineStr">
        <is>
          <t>EDD175;EDD2134</t>
        </is>
      </c>
      <c r="B315" s="8" t="n">
        <v>46056.21</v>
      </c>
      <c r="C315" s="8" t="n">
        <v>46056.25</v>
      </c>
      <c r="D315" s="9">
        <f>(C315-B315)*24</f>
        <v/>
      </c>
      <c r="E315" s="10">
        <f>IF(AND(HOUR(B315)&gt;=6,HOUR(B315)&lt;18),"Day Shift","Night Shift")</f>
        <v/>
      </c>
      <c r="F315" s="11">
        <f>INT(B315)</f>
        <v/>
      </c>
      <c r="G315" s="11">
        <f>INT(C315)</f>
        <v/>
      </c>
    </row>
    <row r="316">
      <c r="A316" s="2" t="inlineStr">
        <is>
          <t>EDD175;EDD2134</t>
        </is>
      </c>
      <c r="B316" s="3" t="n">
        <v>46056.25</v>
      </c>
      <c r="C316" s="3" t="n">
        <v>46056.51487268518</v>
      </c>
      <c r="D316" s="4">
        <f>(C316-B316)*24</f>
        <v/>
      </c>
      <c r="E316" s="5">
        <f>IF(AND(HOUR(B316)&gt;=6,HOUR(B316)&lt;18),"Day Shift","Night Shift")</f>
        <v/>
      </c>
      <c r="F316" s="6">
        <f>INT(B316)</f>
        <v/>
      </c>
      <c r="G316" s="6">
        <f>INT(C316)</f>
        <v/>
      </c>
    </row>
    <row r="317">
      <c r="A317" s="2" t="inlineStr">
        <is>
          <t>EXD73</t>
        </is>
      </c>
      <c r="B317" s="3" t="n">
        <v>46056.29766203704</v>
      </c>
      <c r="C317" s="3" t="n">
        <v>46056.75</v>
      </c>
      <c r="D317" s="4">
        <f>(C317-B317)*24</f>
        <v/>
      </c>
      <c r="E317" s="5">
        <f>IF(AND(HOUR(B317)&gt;=6,HOUR(B317)&lt;18),"Day Shift","Night Shift")</f>
        <v/>
      </c>
      <c r="F317" s="6">
        <f>INT(B317)</f>
        <v/>
      </c>
      <c r="G317" s="6">
        <f>INT(C317)</f>
        <v/>
      </c>
    </row>
    <row r="318">
      <c r="A318" s="7" t="inlineStr">
        <is>
          <t>EXD73</t>
        </is>
      </c>
      <c r="B318" s="8" t="n">
        <v>46056.75</v>
      </c>
      <c r="C318" s="8" t="n">
        <v>46057.25</v>
      </c>
      <c r="D318" s="9">
        <f>(C318-B318)*24</f>
        <v/>
      </c>
      <c r="E318" s="10">
        <f>IF(AND(HOUR(B318)&gt;=6,HOUR(B318)&lt;18),"Day Shift","Night Shift")</f>
        <v/>
      </c>
      <c r="F318" s="11">
        <f>INT(B318)</f>
        <v/>
      </c>
      <c r="G318" s="11">
        <f>INT(C318)</f>
        <v/>
      </c>
    </row>
    <row r="319">
      <c r="A319" s="2" t="inlineStr">
        <is>
          <t>EXD73</t>
        </is>
      </c>
      <c r="B319" s="3" t="n">
        <v>46057.25</v>
      </c>
      <c r="C319" s="3" t="n">
        <v>46057.42483796296</v>
      </c>
      <c r="D319" s="4">
        <f>(C319-B319)*24</f>
        <v/>
      </c>
      <c r="E319" s="5">
        <f>IF(AND(HOUR(B319)&gt;=6,HOUR(B319)&lt;18),"Day Shift","Night Shift")</f>
        <v/>
      </c>
      <c r="F319" s="6">
        <f>INT(B319)</f>
        <v/>
      </c>
      <c r="G319" s="6">
        <f>INT(C319)</f>
        <v/>
      </c>
    </row>
    <row r="320">
      <c r="A320" s="2" t="inlineStr">
        <is>
          <t>EXD408</t>
        </is>
      </c>
      <c r="B320" s="3" t="n">
        <v>46056.30466435185</v>
      </c>
      <c r="C320" s="3" t="n">
        <v>46056.75</v>
      </c>
      <c r="D320" s="4">
        <f>(C320-B320)*24</f>
        <v/>
      </c>
      <c r="E320" s="5">
        <f>IF(AND(HOUR(B320)&gt;=6,HOUR(B320)&lt;18),"Day Shift","Night Shift")</f>
        <v/>
      </c>
      <c r="F320" s="6">
        <f>INT(B320)</f>
        <v/>
      </c>
      <c r="G320" s="6">
        <f>INT(C320)</f>
        <v/>
      </c>
    </row>
    <row r="321">
      <c r="A321" s="7" t="inlineStr">
        <is>
          <t>EXD408</t>
        </is>
      </c>
      <c r="B321" s="8" t="n">
        <v>46056.75</v>
      </c>
      <c r="C321" s="8" t="n">
        <v>46057.25</v>
      </c>
      <c r="D321" s="9">
        <f>(C321-B321)*24</f>
        <v/>
      </c>
      <c r="E321" s="10">
        <f>IF(AND(HOUR(B321)&gt;=6,HOUR(B321)&lt;18),"Day Shift","Night Shift")</f>
        <v/>
      </c>
      <c r="F321" s="11">
        <f>INT(B321)</f>
        <v/>
      </c>
      <c r="G321" s="11">
        <f>INT(C321)</f>
        <v/>
      </c>
    </row>
    <row r="322">
      <c r="A322" s="2" t="inlineStr">
        <is>
          <t>EXD408</t>
        </is>
      </c>
      <c r="B322" s="3" t="n">
        <v>46057.25</v>
      </c>
      <c r="C322" s="3" t="n">
        <v>46057.75</v>
      </c>
      <c r="D322" s="4">
        <f>(C322-B322)*24</f>
        <v/>
      </c>
      <c r="E322" s="5">
        <f>IF(AND(HOUR(B322)&gt;=6,HOUR(B322)&lt;18),"Day Shift","Night Shift")</f>
        <v/>
      </c>
      <c r="F322" s="6">
        <f>INT(B322)</f>
        <v/>
      </c>
      <c r="G322" s="6">
        <f>INT(C322)</f>
        <v/>
      </c>
    </row>
    <row r="323">
      <c r="A323" s="7" t="inlineStr">
        <is>
          <t>EXD408</t>
        </is>
      </c>
      <c r="B323" s="8" t="n">
        <v>46057.75</v>
      </c>
      <c r="C323" s="8" t="n">
        <v>46057.76104166666</v>
      </c>
      <c r="D323" s="9">
        <f>(C323-B323)*24</f>
        <v/>
      </c>
      <c r="E323" s="10">
        <f>IF(AND(HOUR(B323)&gt;=6,HOUR(B323)&lt;18),"Day Shift","Night Shift")</f>
        <v/>
      </c>
      <c r="F323" s="11">
        <f>INT(B323)</f>
        <v/>
      </c>
      <c r="G323" s="11">
        <f>INT(C323)</f>
        <v/>
      </c>
    </row>
    <row r="324">
      <c r="A324" s="2" t="inlineStr">
        <is>
          <t>EDD1932;EDD2541</t>
        </is>
      </c>
      <c r="B324" s="3" t="n">
        <v>46056.31425925926</v>
      </c>
      <c r="C324" s="3" t="n">
        <v>46056.75</v>
      </c>
      <c r="D324" s="4">
        <f>(C324-B324)*24</f>
        <v/>
      </c>
      <c r="E324" s="5">
        <f>IF(AND(HOUR(B324)&gt;=6,HOUR(B324)&lt;18),"Day Shift","Night Shift")</f>
        <v/>
      </c>
      <c r="F324" s="6">
        <f>INT(B324)</f>
        <v/>
      </c>
      <c r="G324" s="6">
        <f>INT(C324)</f>
        <v/>
      </c>
    </row>
    <row r="325">
      <c r="A325" s="7" t="inlineStr">
        <is>
          <t>EDD1932;EDD2541</t>
        </is>
      </c>
      <c r="B325" s="8" t="n">
        <v>46056.75</v>
      </c>
      <c r="C325" s="8" t="n">
        <v>46056.82621527778</v>
      </c>
      <c r="D325" s="9">
        <f>(C325-B325)*24</f>
        <v/>
      </c>
      <c r="E325" s="10">
        <f>IF(AND(HOUR(B325)&gt;=6,HOUR(B325)&lt;18),"Day Shift","Night Shift")</f>
        <v/>
      </c>
      <c r="F325" s="11">
        <f>INT(B325)</f>
        <v/>
      </c>
      <c r="G325" s="11">
        <f>INT(C325)</f>
        <v/>
      </c>
    </row>
    <row r="326">
      <c r="A326" s="2" t="inlineStr">
        <is>
          <t>EXD101</t>
        </is>
      </c>
      <c r="B326" s="3" t="n">
        <v>46056.39289351852</v>
      </c>
      <c r="C326" s="3" t="n">
        <v>46056.75</v>
      </c>
      <c r="D326" s="4">
        <f>(C326-B326)*24</f>
        <v/>
      </c>
      <c r="E326" s="5">
        <f>IF(AND(HOUR(B326)&gt;=6,HOUR(B326)&lt;18),"Day Shift","Night Shift")</f>
        <v/>
      </c>
      <c r="F326" s="6">
        <f>INT(B326)</f>
        <v/>
      </c>
      <c r="G326" s="6">
        <f>INT(C326)</f>
        <v/>
      </c>
    </row>
    <row r="327">
      <c r="A327" s="7" t="inlineStr">
        <is>
          <t>EXD101</t>
        </is>
      </c>
      <c r="B327" s="8" t="n">
        <v>46056.75</v>
      </c>
      <c r="C327" s="8" t="n">
        <v>46057</v>
      </c>
      <c r="D327" s="9">
        <f>(C327-B327)*24</f>
        <v/>
      </c>
      <c r="E327" s="10">
        <f>IF(AND(HOUR(B327)&gt;=6,HOUR(B327)&lt;18),"Day Shift","Night Shift")</f>
        <v/>
      </c>
      <c r="F327" s="11">
        <f>INT(B327)</f>
        <v/>
      </c>
      <c r="G327" s="11">
        <f>INT(C327)</f>
        <v/>
      </c>
    </row>
    <row r="328">
      <c r="A328" s="2" t="inlineStr">
        <is>
          <t>EXD55</t>
        </is>
      </c>
      <c r="B328" s="3" t="n">
        <v>46056.41665509259</v>
      </c>
      <c r="C328" s="3" t="n">
        <v>46056.58385416667</v>
      </c>
      <c r="D328" s="4">
        <f>(C328-B328)*24</f>
        <v/>
      </c>
      <c r="E328" s="5">
        <f>IF(AND(HOUR(B328)&gt;=6,HOUR(B328)&lt;18),"Day Shift","Night Shift")</f>
        <v/>
      </c>
      <c r="F328" s="6">
        <f>INT(B328)</f>
        <v/>
      </c>
      <c r="G328" s="6">
        <f>INT(C328)</f>
        <v/>
      </c>
    </row>
    <row r="329">
      <c r="A329" s="2" t="inlineStr">
        <is>
          <t>EXD52</t>
        </is>
      </c>
      <c r="B329" s="3" t="n">
        <v>46056.43462962963</v>
      </c>
      <c r="C329" s="3" t="n">
        <v>46056.75</v>
      </c>
      <c r="D329" s="4">
        <f>(C329-B329)*24</f>
        <v/>
      </c>
      <c r="E329" s="5">
        <f>IF(AND(HOUR(B329)&gt;=6,HOUR(B329)&lt;18),"Day Shift","Night Shift")</f>
        <v/>
      </c>
      <c r="F329" s="6">
        <f>INT(B329)</f>
        <v/>
      </c>
      <c r="G329" s="6">
        <f>INT(C329)</f>
        <v/>
      </c>
    </row>
    <row r="330">
      <c r="A330" s="7" t="inlineStr">
        <is>
          <t>EXD52</t>
        </is>
      </c>
      <c r="B330" s="8" t="n">
        <v>46056.75</v>
      </c>
      <c r="C330" s="8" t="n">
        <v>46057.25</v>
      </c>
      <c r="D330" s="9">
        <f>(C330-B330)*24</f>
        <v/>
      </c>
      <c r="E330" s="10">
        <f>IF(AND(HOUR(B330)&gt;=6,HOUR(B330)&lt;18),"Day Shift","Night Shift")</f>
        <v/>
      </c>
      <c r="F330" s="11">
        <f>INT(B330)</f>
        <v/>
      </c>
      <c r="G330" s="11">
        <f>INT(C330)</f>
        <v/>
      </c>
    </row>
    <row r="331">
      <c r="A331" s="2" t="inlineStr">
        <is>
          <t>EXD52</t>
        </is>
      </c>
      <c r="B331" s="3" t="n">
        <v>46057.25</v>
      </c>
      <c r="C331" s="3" t="n">
        <v>46057.28202546296</v>
      </c>
      <c r="D331" s="4">
        <f>(C331-B331)*24</f>
        <v/>
      </c>
      <c r="E331" s="5">
        <f>IF(AND(HOUR(B331)&gt;=6,HOUR(B331)&lt;18),"Day Shift","Night Shift")</f>
        <v/>
      </c>
      <c r="F331" s="6">
        <f>INT(B331)</f>
        <v/>
      </c>
      <c r="G331" s="6">
        <f>INT(C331)</f>
        <v/>
      </c>
    </row>
    <row r="332">
      <c r="A332" s="2" t="inlineStr">
        <is>
          <t>Blast</t>
        </is>
      </c>
      <c r="B332" s="3" t="n">
        <v>46056.45833333334</v>
      </c>
      <c r="C332" s="3" t="n">
        <v>46056.45839120371</v>
      </c>
      <c r="D332" s="4">
        <f>(C332-B332)*24</f>
        <v/>
      </c>
      <c r="E332" s="5">
        <f>IF(AND(HOUR(B332)&gt;=6,HOUR(B332)&lt;18),"Day Shift","Night Shift")</f>
        <v/>
      </c>
      <c r="F332" s="6">
        <f>INT(B332)</f>
        <v/>
      </c>
      <c r="G332" s="6">
        <f>INT(C332)</f>
        <v/>
      </c>
    </row>
    <row r="333">
      <c r="A333" s="2" t="inlineStr">
        <is>
          <t>Blast</t>
        </is>
      </c>
      <c r="B333" s="3" t="n">
        <v>46056.45839120371</v>
      </c>
      <c r="C333" s="3" t="n">
        <v>46056.45844907407</v>
      </c>
      <c r="D333" s="4">
        <f>(C333-B333)*24</f>
        <v/>
      </c>
      <c r="E333" s="5">
        <f>IF(AND(HOUR(B333)&gt;=6,HOUR(B333)&lt;18),"Day Shift","Night Shift")</f>
        <v/>
      </c>
      <c r="F333" s="6">
        <f>INT(B333)</f>
        <v/>
      </c>
      <c r="G333" s="6">
        <f>INT(C333)</f>
        <v/>
      </c>
    </row>
    <row r="334">
      <c r="A334" s="2" t="inlineStr">
        <is>
          <t>Blast</t>
        </is>
      </c>
      <c r="B334" s="3" t="n">
        <v>46056.45844907407</v>
      </c>
      <c r="C334" s="3" t="n">
        <v>46056.45851851852</v>
      </c>
      <c r="D334" s="4">
        <f>(C334-B334)*24</f>
        <v/>
      </c>
      <c r="E334" s="5">
        <f>IF(AND(HOUR(B334)&gt;=6,HOUR(B334)&lt;18),"Day Shift","Night Shift")</f>
        <v/>
      </c>
      <c r="F334" s="6">
        <f>INT(B334)</f>
        <v/>
      </c>
      <c r="G334" s="6">
        <f>INT(C334)</f>
        <v/>
      </c>
    </row>
    <row r="335">
      <c r="A335" s="2" t="inlineStr">
        <is>
          <t>Blast</t>
        </is>
      </c>
      <c r="B335" s="3" t="n">
        <v>46056.45851851852</v>
      </c>
      <c r="C335" s="3" t="n">
        <v>46056.45857638889</v>
      </c>
      <c r="D335" s="4">
        <f>(C335-B335)*24</f>
        <v/>
      </c>
      <c r="E335" s="5">
        <f>IF(AND(HOUR(B335)&gt;=6,HOUR(B335)&lt;18),"Day Shift","Night Shift")</f>
        <v/>
      </c>
      <c r="F335" s="6">
        <f>INT(B335)</f>
        <v/>
      </c>
      <c r="G335" s="6">
        <f>INT(C335)</f>
        <v/>
      </c>
    </row>
    <row r="336">
      <c r="A336" s="2" t="inlineStr">
        <is>
          <t>Blast</t>
        </is>
      </c>
      <c r="B336" s="3" t="n">
        <v>46056.45857638889</v>
      </c>
      <c r="C336" s="3" t="n">
        <v>46056.45863425926</v>
      </c>
      <c r="D336" s="4">
        <f>(C336-B336)*24</f>
        <v/>
      </c>
      <c r="E336" s="5">
        <f>IF(AND(HOUR(B336)&gt;=6,HOUR(B336)&lt;18),"Day Shift","Night Shift")</f>
        <v/>
      </c>
      <c r="F336" s="6">
        <f>INT(B336)</f>
        <v/>
      </c>
      <c r="G336" s="6">
        <f>INT(C336)</f>
        <v/>
      </c>
    </row>
    <row r="337">
      <c r="A337" s="2" t="inlineStr">
        <is>
          <t>Blast</t>
        </is>
      </c>
      <c r="B337" s="3" t="n">
        <v>46056.45863425926</v>
      </c>
      <c r="C337" s="3" t="n">
        <v>46056.45869212963</v>
      </c>
      <c r="D337" s="4">
        <f>(C337-B337)*24</f>
        <v/>
      </c>
      <c r="E337" s="5">
        <f>IF(AND(HOUR(B337)&gt;=6,HOUR(B337)&lt;18),"Day Shift","Night Shift")</f>
        <v/>
      </c>
      <c r="F337" s="6">
        <f>INT(B337)</f>
        <v/>
      </c>
      <c r="G337" s="6">
        <f>INT(C337)</f>
        <v/>
      </c>
    </row>
    <row r="338">
      <c r="A338" s="2" t="inlineStr">
        <is>
          <t>Blast</t>
        </is>
      </c>
      <c r="B338" s="3" t="n">
        <v>46056.45869212963</v>
      </c>
      <c r="C338" s="3" t="n">
        <v>46056.45875</v>
      </c>
      <c r="D338" s="4">
        <f>(C338-B338)*24</f>
        <v/>
      </c>
      <c r="E338" s="5">
        <f>IF(AND(HOUR(B338)&gt;=6,HOUR(B338)&lt;18),"Day Shift","Night Shift")</f>
        <v/>
      </c>
      <c r="F338" s="6">
        <f>INT(B338)</f>
        <v/>
      </c>
      <c r="G338" s="6">
        <f>INT(C338)</f>
        <v/>
      </c>
    </row>
    <row r="339">
      <c r="A339" s="2" t="inlineStr">
        <is>
          <t>Blast</t>
        </is>
      </c>
      <c r="B339" s="3" t="n">
        <v>46056.45875</v>
      </c>
      <c r="C339" s="3" t="n">
        <v>46056.4587962963</v>
      </c>
      <c r="D339" s="4">
        <f>(C339-B339)*24</f>
        <v/>
      </c>
      <c r="E339" s="5">
        <f>IF(AND(HOUR(B339)&gt;=6,HOUR(B339)&lt;18),"Day Shift","Night Shift")</f>
        <v/>
      </c>
      <c r="F339" s="6">
        <f>INT(B339)</f>
        <v/>
      </c>
      <c r="G339" s="6">
        <f>INT(C339)</f>
        <v/>
      </c>
    </row>
    <row r="340">
      <c r="A340" s="2" t="inlineStr">
        <is>
          <t>Blast</t>
        </is>
      </c>
      <c r="B340" s="3" t="n">
        <v>46056.4587962963</v>
      </c>
      <c r="C340" s="3" t="n">
        <v>46056.45880787037</v>
      </c>
      <c r="D340" s="4">
        <f>(C340-B340)*24</f>
        <v/>
      </c>
      <c r="E340" s="5">
        <f>IF(AND(HOUR(B340)&gt;=6,HOUR(B340)&lt;18),"Day Shift","Night Shift")</f>
        <v/>
      </c>
      <c r="F340" s="6">
        <f>INT(B340)</f>
        <v/>
      </c>
      <c r="G340" s="6">
        <f>INT(C340)</f>
        <v/>
      </c>
    </row>
    <row r="341">
      <c r="A341" s="2" t="inlineStr">
        <is>
          <t>Blast</t>
        </is>
      </c>
      <c r="B341" s="3" t="n">
        <v>46056.45880787037</v>
      </c>
      <c r="C341" s="3" t="n">
        <v>46056.45881944444</v>
      </c>
      <c r="D341" s="4">
        <f>(C341-B341)*24</f>
        <v/>
      </c>
      <c r="E341" s="5">
        <f>IF(AND(HOUR(B341)&gt;=6,HOUR(B341)&lt;18),"Day Shift","Night Shift")</f>
        <v/>
      </c>
      <c r="F341" s="6">
        <f>INT(B341)</f>
        <v/>
      </c>
      <c r="G341" s="6">
        <f>INT(C341)</f>
        <v/>
      </c>
    </row>
    <row r="342">
      <c r="A342" s="2" t="inlineStr">
        <is>
          <t>Blast</t>
        </is>
      </c>
      <c r="B342" s="3" t="n">
        <v>46056.45881944444</v>
      </c>
      <c r="C342" s="3" t="n">
        <v>46056.45893518518</v>
      </c>
      <c r="D342" s="4">
        <f>(C342-B342)*24</f>
        <v/>
      </c>
      <c r="E342" s="5">
        <f>IF(AND(HOUR(B342)&gt;=6,HOUR(B342)&lt;18),"Day Shift","Night Shift")</f>
        <v/>
      </c>
      <c r="F342" s="6">
        <f>INT(B342)</f>
        <v/>
      </c>
      <c r="G342" s="6">
        <f>INT(C342)</f>
        <v/>
      </c>
    </row>
    <row r="343">
      <c r="A343" s="2" t="inlineStr">
        <is>
          <t>Blast</t>
        </is>
      </c>
      <c r="B343" s="3" t="n">
        <v>46056.45893518518</v>
      </c>
      <c r="C343" s="3" t="n">
        <v>46056.45903935185</v>
      </c>
      <c r="D343" s="4">
        <f>(C343-B343)*24</f>
        <v/>
      </c>
      <c r="E343" s="5">
        <f>IF(AND(HOUR(B343)&gt;=6,HOUR(B343)&lt;18),"Day Shift","Night Shift")</f>
        <v/>
      </c>
      <c r="F343" s="6">
        <f>INT(B343)</f>
        <v/>
      </c>
      <c r="G343" s="6">
        <f>INT(C343)</f>
        <v/>
      </c>
    </row>
    <row r="344">
      <c r="A344" s="2" t="inlineStr">
        <is>
          <t>Blast</t>
        </is>
      </c>
      <c r="B344" s="3" t="n">
        <v>46056.45903935185</v>
      </c>
      <c r="C344" s="3" t="n">
        <v>46056.45914351852</v>
      </c>
      <c r="D344" s="4">
        <f>(C344-B344)*24</f>
        <v/>
      </c>
      <c r="E344" s="5">
        <f>IF(AND(HOUR(B344)&gt;=6,HOUR(B344)&lt;18),"Day Shift","Night Shift")</f>
        <v/>
      </c>
      <c r="F344" s="6">
        <f>INT(B344)</f>
        <v/>
      </c>
      <c r="G344" s="6">
        <f>INT(C344)</f>
        <v/>
      </c>
    </row>
    <row r="345">
      <c r="A345" s="2" t="inlineStr">
        <is>
          <t>Blast</t>
        </is>
      </c>
      <c r="B345" s="3" t="n">
        <v>46056.45914351852</v>
      </c>
      <c r="C345" s="3" t="n">
        <v>46056.45924768518</v>
      </c>
      <c r="D345" s="4">
        <f>(C345-B345)*24</f>
        <v/>
      </c>
      <c r="E345" s="5">
        <f>IF(AND(HOUR(B345)&gt;=6,HOUR(B345)&lt;18),"Day Shift","Night Shift")</f>
        <v/>
      </c>
      <c r="F345" s="6">
        <f>INT(B345)</f>
        <v/>
      </c>
      <c r="G345" s="6">
        <f>INT(C345)</f>
        <v/>
      </c>
    </row>
    <row r="346">
      <c r="A346" s="2" t="inlineStr">
        <is>
          <t>Blast</t>
        </is>
      </c>
      <c r="B346" s="3" t="n">
        <v>46056.45924768518</v>
      </c>
      <c r="C346" s="3" t="n">
        <v>46056.45935185185</v>
      </c>
      <c r="D346" s="4">
        <f>(C346-B346)*24</f>
        <v/>
      </c>
      <c r="E346" s="5">
        <f>IF(AND(HOUR(B346)&gt;=6,HOUR(B346)&lt;18),"Day Shift","Night Shift")</f>
        <v/>
      </c>
      <c r="F346" s="6">
        <f>INT(B346)</f>
        <v/>
      </c>
      <c r="G346" s="6">
        <f>INT(C346)</f>
        <v/>
      </c>
    </row>
    <row r="347">
      <c r="A347" s="2" t="inlineStr">
        <is>
          <t>Blast</t>
        </is>
      </c>
      <c r="B347" s="3" t="n">
        <v>46056.45935185185</v>
      </c>
      <c r="C347" s="3" t="n">
        <v>46056.45945601852</v>
      </c>
      <c r="D347" s="4">
        <f>(C347-B347)*24</f>
        <v/>
      </c>
      <c r="E347" s="5">
        <f>IF(AND(HOUR(B347)&gt;=6,HOUR(B347)&lt;18),"Day Shift","Night Shift")</f>
        <v/>
      </c>
      <c r="F347" s="6">
        <f>INT(B347)</f>
        <v/>
      </c>
      <c r="G347" s="6">
        <f>INT(C347)</f>
        <v/>
      </c>
    </row>
    <row r="348">
      <c r="A348" s="2" t="inlineStr">
        <is>
          <t>Blast</t>
        </is>
      </c>
      <c r="B348" s="3" t="n">
        <v>46056.45945601852</v>
      </c>
      <c r="C348" s="3" t="n">
        <v>46056.45953703704</v>
      </c>
      <c r="D348" s="4">
        <f>(C348-B348)*24</f>
        <v/>
      </c>
      <c r="E348" s="5">
        <f>IF(AND(HOUR(B348)&gt;=6,HOUR(B348)&lt;18),"Day Shift","Night Shift")</f>
        <v/>
      </c>
      <c r="F348" s="6">
        <f>INT(B348)</f>
        <v/>
      </c>
      <c r="G348" s="6">
        <f>INT(C348)</f>
        <v/>
      </c>
    </row>
    <row r="349">
      <c r="A349" s="2" t="inlineStr">
        <is>
          <t>Blast</t>
        </is>
      </c>
      <c r="B349" s="3" t="n">
        <v>46056.45953703704</v>
      </c>
      <c r="C349" s="3" t="n">
        <v>46056.45958333334</v>
      </c>
      <c r="D349" s="4">
        <f>(C349-B349)*24</f>
        <v/>
      </c>
      <c r="E349" s="5">
        <f>IF(AND(HOUR(B349)&gt;=6,HOUR(B349)&lt;18),"Day Shift","Night Shift")</f>
        <v/>
      </c>
      <c r="F349" s="6">
        <f>INT(B349)</f>
        <v/>
      </c>
      <c r="G349" s="6">
        <f>INT(C349)</f>
        <v/>
      </c>
    </row>
    <row r="350">
      <c r="A350" s="2" t="inlineStr">
        <is>
          <t>Blast</t>
        </is>
      </c>
      <c r="B350" s="3" t="n">
        <v>46056.45958333334</v>
      </c>
      <c r="C350" s="3" t="n">
        <v>46056.45961805555</v>
      </c>
      <c r="D350" s="4">
        <f>(C350-B350)*24</f>
        <v/>
      </c>
      <c r="E350" s="5">
        <f>IF(AND(HOUR(B350)&gt;=6,HOUR(B350)&lt;18),"Day Shift","Night Shift")</f>
        <v/>
      </c>
      <c r="F350" s="6">
        <f>INT(B350)</f>
        <v/>
      </c>
      <c r="G350" s="6">
        <f>INT(C350)</f>
        <v/>
      </c>
    </row>
    <row r="351">
      <c r="A351" s="2" t="inlineStr">
        <is>
          <t>Blast</t>
        </is>
      </c>
      <c r="B351" s="3" t="n">
        <v>46056.45961805555</v>
      </c>
      <c r="C351" s="3" t="n">
        <v>46056.45974537037</v>
      </c>
      <c r="D351" s="4">
        <f>(C351-B351)*24</f>
        <v/>
      </c>
      <c r="E351" s="5">
        <f>IF(AND(HOUR(B351)&gt;=6,HOUR(B351)&lt;18),"Day Shift","Night Shift")</f>
        <v/>
      </c>
      <c r="F351" s="6">
        <f>INT(B351)</f>
        <v/>
      </c>
      <c r="G351" s="6">
        <f>INT(C351)</f>
        <v/>
      </c>
    </row>
    <row r="352">
      <c r="A352" s="2" t="inlineStr">
        <is>
          <t>Blast</t>
        </is>
      </c>
      <c r="B352" s="3" t="n">
        <v>46056.45974537037</v>
      </c>
      <c r="C352" s="3" t="n">
        <v>46056.45987268518</v>
      </c>
      <c r="D352" s="4">
        <f>(C352-B352)*24</f>
        <v/>
      </c>
      <c r="E352" s="5">
        <f>IF(AND(HOUR(B352)&gt;=6,HOUR(B352)&lt;18),"Day Shift","Night Shift")</f>
        <v/>
      </c>
      <c r="F352" s="6">
        <f>INT(B352)</f>
        <v/>
      </c>
      <c r="G352" s="6">
        <f>INT(C352)</f>
        <v/>
      </c>
    </row>
    <row r="353">
      <c r="A353" s="2" t="inlineStr">
        <is>
          <t>Blast</t>
        </is>
      </c>
      <c r="B353" s="3" t="n">
        <v>46056.45987268518</v>
      </c>
      <c r="C353" s="3" t="n">
        <v>46056.45997685185</v>
      </c>
      <c r="D353" s="4">
        <f>(C353-B353)*24</f>
        <v/>
      </c>
      <c r="E353" s="5">
        <f>IF(AND(HOUR(B353)&gt;=6,HOUR(B353)&lt;18),"Day Shift","Night Shift")</f>
        <v/>
      </c>
      <c r="F353" s="6">
        <f>INT(B353)</f>
        <v/>
      </c>
      <c r="G353" s="6">
        <f>INT(C353)</f>
        <v/>
      </c>
    </row>
    <row r="354">
      <c r="A354" s="2" t="inlineStr">
        <is>
          <t>Blast</t>
        </is>
      </c>
      <c r="B354" s="3" t="n">
        <v>46056.45997685185</v>
      </c>
      <c r="C354" s="3" t="n">
        <v>46056.46009259259</v>
      </c>
      <c r="D354" s="4">
        <f>(C354-B354)*24</f>
        <v/>
      </c>
      <c r="E354" s="5">
        <f>IF(AND(HOUR(B354)&gt;=6,HOUR(B354)&lt;18),"Day Shift","Night Shift")</f>
        <v/>
      </c>
      <c r="F354" s="6">
        <f>INT(B354)</f>
        <v/>
      </c>
      <c r="G354" s="6">
        <f>INT(C354)</f>
        <v/>
      </c>
    </row>
    <row r="355">
      <c r="A355" s="2" t="inlineStr">
        <is>
          <t>Blast</t>
        </is>
      </c>
      <c r="B355" s="3" t="n">
        <v>46056.46009259259</v>
      </c>
      <c r="C355" s="3" t="n">
        <v>46056.46020833333</v>
      </c>
      <c r="D355" s="4">
        <f>(C355-B355)*24</f>
        <v/>
      </c>
      <c r="E355" s="5">
        <f>IF(AND(HOUR(B355)&gt;=6,HOUR(B355)&lt;18),"Day Shift","Night Shift")</f>
        <v/>
      </c>
      <c r="F355" s="6">
        <f>INT(B355)</f>
        <v/>
      </c>
      <c r="G355" s="6">
        <f>INT(C355)</f>
        <v/>
      </c>
    </row>
    <row r="356">
      <c r="A356" s="2" t="inlineStr">
        <is>
          <t>Blast</t>
        </is>
      </c>
      <c r="B356" s="3" t="n">
        <v>46056.46020833333</v>
      </c>
      <c r="C356" s="3" t="n">
        <v>46056.46032407408</v>
      </c>
      <c r="D356" s="4">
        <f>(C356-B356)*24</f>
        <v/>
      </c>
      <c r="E356" s="5">
        <f>IF(AND(HOUR(B356)&gt;=6,HOUR(B356)&lt;18),"Day Shift","Night Shift")</f>
        <v/>
      </c>
      <c r="F356" s="6">
        <f>INT(B356)</f>
        <v/>
      </c>
      <c r="G356" s="6">
        <f>INT(C356)</f>
        <v/>
      </c>
    </row>
    <row r="357">
      <c r="A357" s="2" t="inlineStr">
        <is>
          <t>Blast</t>
        </is>
      </c>
      <c r="B357" s="3" t="n">
        <v>46056.46032407408</v>
      </c>
      <c r="C357" s="3" t="n">
        <v>46056.46041666667</v>
      </c>
      <c r="D357" s="4">
        <f>(C357-B357)*24</f>
        <v/>
      </c>
      <c r="E357" s="5">
        <f>IF(AND(HOUR(B357)&gt;=6,HOUR(B357)&lt;18),"Day Shift","Night Shift")</f>
        <v/>
      </c>
      <c r="F357" s="6">
        <f>INT(B357)</f>
        <v/>
      </c>
      <c r="G357" s="6">
        <f>INT(C357)</f>
        <v/>
      </c>
    </row>
    <row r="358">
      <c r="A358" s="2" t="inlineStr">
        <is>
          <t>Blast</t>
        </is>
      </c>
      <c r="B358" s="3" t="n">
        <v>46056.46041666667</v>
      </c>
      <c r="C358" s="3" t="n">
        <v>46056.46042824074</v>
      </c>
      <c r="D358" s="4">
        <f>(C358-B358)*24</f>
        <v/>
      </c>
      <c r="E358" s="5">
        <f>IF(AND(HOUR(B358)&gt;=6,HOUR(B358)&lt;18),"Day Shift","Night Shift")</f>
        <v/>
      </c>
      <c r="F358" s="6">
        <f>INT(B358)</f>
        <v/>
      </c>
      <c r="G358" s="6">
        <f>INT(C358)</f>
        <v/>
      </c>
    </row>
    <row r="359">
      <c r="A359" s="2" t="inlineStr">
        <is>
          <t>Blast</t>
        </is>
      </c>
      <c r="B359" s="3" t="n">
        <v>46056.46042824074</v>
      </c>
      <c r="C359" s="3" t="n">
        <v>46056.46054398148</v>
      </c>
      <c r="D359" s="4">
        <f>(C359-B359)*24</f>
        <v/>
      </c>
      <c r="E359" s="5">
        <f>IF(AND(HOUR(B359)&gt;=6,HOUR(B359)&lt;18),"Day Shift","Night Shift")</f>
        <v/>
      </c>
      <c r="F359" s="6">
        <f>INT(B359)</f>
        <v/>
      </c>
      <c r="G359" s="6">
        <f>INT(C359)</f>
        <v/>
      </c>
    </row>
    <row r="360">
      <c r="A360" s="2" t="inlineStr">
        <is>
          <t>Blast</t>
        </is>
      </c>
      <c r="B360" s="3" t="n">
        <v>46056.46054398148</v>
      </c>
      <c r="C360" s="3" t="n">
        <v>46056.46069444445</v>
      </c>
      <c r="D360" s="4">
        <f>(C360-B360)*24</f>
        <v/>
      </c>
      <c r="E360" s="5">
        <f>IF(AND(HOUR(B360)&gt;=6,HOUR(B360)&lt;18),"Day Shift","Night Shift")</f>
        <v/>
      </c>
      <c r="F360" s="6">
        <f>INT(B360)</f>
        <v/>
      </c>
      <c r="G360" s="6">
        <f>INT(C360)</f>
        <v/>
      </c>
    </row>
    <row r="361">
      <c r="A361" s="2" t="inlineStr">
        <is>
          <t>Blast</t>
        </is>
      </c>
      <c r="B361" s="3" t="n">
        <v>46056.46069444445</v>
      </c>
      <c r="C361" s="3" t="n">
        <v>46056.46084490741</v>
      </c>
      <c r="D361" s="4">
        <f>(C361-B361)*24</f>
        <v/>
      </c>
      <c r="E361" s="5">
        <f>IF(AND(HOUR(B361)&gt;=6,HOUR(B361)&lt;18),"Day Shift","Night Shift")</f>
        <v/>
      </c>
      <c r="F361" s="6">
        <f>INT(B361)</f>
        <v/>
      </c>
      <c r="G361" s="6">
        <f>INT(C361)</f>
        <v/>
      </c>
    </row>
    <row r="362">
      <c r="A362" s="2" t="inlineStr">
        <is>
          <t>Blast</t>
        </is>
      </c>
      <c r="B362" s="3" t="n">
        <v>46056.46084490741</v>
      </c>
      <c r="C362" s="3" t="n">
        <v>46056.4609837963</v>
      </c>
      <c r="D362" s="4">
        <f>(C362-B362)*24</f>
        <v/>
      </c>
      <c r="E362" s="5">
        <f>IF(AND(HOUR(B362)&gt;=6,HOUR(B362)&lt;18),"Day Shift","Night Shift")</f>
        <v/>
      </c>
      <c r="F362" s="6">
        <f>INT(B362)</f>
        <v/>
      </c>
      <c r="G362" s="6">
        <f>INT(C362)</f>
        <v/>
      </c>
    </row>
    <row r="363">
      <c r="A363" s="2" t="inlineStr">
        <is>
          <t>Blast</t>
        </is>
      </c>
      <c r="B363" s="3" t="n">
        <v>46056.4609837963</v>
      </c>
      <c r="C363" s="3" t="n">
        <v>46056.46112268518</v>
      </c>
      <c r="D363" s="4">
        <f>(C363-B363)*24</f>
        <v/>
      </c>
      <c r="E363" s="5">
        <f>IF(AND(HOUR(B363)&gt;=6,HOUR(B363)&lt;18),"Day Shift","Night Shift")</f>
        <v/>
      </c>
      <c r="F363" s="6">
        <f>INT(B363)</f>
        <v/>
      </c>
      <c r="G363" s="6">
        <f>INT(C363)</f>
        <v/>
      </c>
    </row>
    <row r="364">
      <c r="A364" s="2" t="inlineStr">
        <is>
          <t>Blast</t>
        </is>
      </c>
      <c r="B364" s="3" t="n">
        <v>46056.46112268518</v>
      </c>
      <c r="C364" s="3" t="n">
        <v>46056.46127314815</v>
      </c>
      <c r="D364" s="4">
        <f>(C364-B364)*24</f>
        <v/>
      </c>
      <c r="E364" s="5">
        <f>IF(AND(HOUR(B364)&gt;=6,HOUR(B364)&lt;18),"Day Shift","Night Shift")</f>
        <v/>
      </c>
      <c r="F364" s="6">
        <f>INT(B364)</f>
        <v/>
      </c>
      <c r="G364" s="6">
        <f>INT(C364)</f>
        <v/>
      </c>
    </row>
    <row r="365">
      <c r="A365" s="2" t="inlineStr">
        <is>
          <t>Blast</t>
        </is>
      </c>
      <c r="B365" s="3" t="n">
        <v>46056.46127314815</v>
      </c>
      <c r="C365" s="3" t="n">
        <v>46056.46141203704</v>
      </c>
      <c r="D365" s="4">
        <f>(C365-B365)*24</f>
        <v/>
      </c>
      <c r="E365" s="5">
        <f>IF(AND(HOUR(B365)&gt;=6,HOUR(B365)&lt;18),"Day Shift","Night Shift")</f>
        <v/>
      </c>
      <c r="F365" s="6">
        <f>INT(B365)</f>
        <v/>
      </c>
      <c r="G365" s="6">
        <f>INT(C365)</f>
        <v/>
      </c>
    </row>
    <row r="366">
      <c r="A366" s="2" t="inlineStr">
        <is>
          <t>Blast</t>
        </is>
      </c>
      <c r="B366" s="3" t="n">
        <v>46056.46141203704</v>
      </c>
      <c r="C366" s="3" t="n">
        <v>46056.4615162037</v>
      </c>
      <c r="D366" s="4">
        <f>(C366-B366)*24</f>
        <v/>
      </c>
      <c r="E366" s="5">
        <f>IF(AND(HOUR(B366)&gt;=6,HOUR(B366)&lt;18),"Day Shift","Night Shift")</f>
        <v/>
      </c>
      <c r="F366" s="6">
        <f>INT(B366)</f>
        <v/>
      </c>
      <c r="G366" s="6">
        <f>INT(C366)</f>
        <v/>
      </c>
    </row>
    <row r="367">
      <c r="A367" s="2" t="inlineStr">
        <is>
          <t>Blast</t>
        </is>
      </c>
      <c r="B367" s="3" t="n">
        <v>46056.4615162037</v>
      </c>
      <c r="C367" s="3" t="n">
        <v>46056.46153935185</v>
      </c>
      <c r="D367" s="4">
        <f>(C367-B367)*24</f>
        <v/>
      </c>
      <c r="E367" s="5">
        <f>IF(AND(HOUR(B367)&gt;=6,HOUR(B367)&lt;18),"Day Shift","Night Shift")</f>
        <v/>
      </c>
      <c r="F367" s="6">
        <f>INT(B367)</f>
        <v/>
      </c>
      <c r="G367" s="6">
        <f>INT(C367)</f>
        <v/>
      </c>
    </row>
    <row r="368">
      <c r="A368" s="2" t="inlineStr">
        <is>
          <t>Blast</t>
        </is>
      </c>
      <c r="B368" s="3" t="n">
        <v>46056.46153935185</v>
      </c>
      <c r="C368" s="3" t="n">
        <v>46056.46165509259</v>
      </c>
      <c r="D368" s="4">
        <f>(C368-B368)*24</f>
        <v/>
      </c>
      <c r="E368" s="5">
        <f>IF(AND(HOUR(B368)&gt;=6,HOUR(B368)&lt;18),"Day Shift","Night Shift")</f>
        <v/>
      </c>
      <c r="F368" s="6">
        <f>INT(B368)</f>
        <v/>
      </c>
      <c r="G368" s="6">
        <f>INT(C368)</f>
        <v/>
      </c>
    </row>
    <row r="369">
      <c r="A369" s="2" t="inlineStr">
        <is>
          <t>Blast</t>
        </is>
      </c>
      <c r="B369" s="3" t="n">
        <v>46056.46165509259</v>
      </c>
      <c r="C369" s="3" t="n">
        <v>46056.46184027778</v>
      </c>
      <c r="D369" s="4">
        <f>(C369-B369)*24</f>
        <v/>
      </c>
      <c r="E369" s="5">
        <f>IF(AND(HOUR(B369)&gt;=6,HOUR(B369)&lt;18),"Day Shift","Night Shift")</f>
        <v/>
      </c>
      <c r="F369" s="6">
        <f>INT(B369)</f>
        <v/>
      </c>
      <c r="G369" s="6">
        <f>INT(C369)</f>
        <v/>
      </c>
    </row>
    <row r="370">
      <c r="A370" s="2" t="inlineStr">
        <is>
          <t>Blast</t>
        </is>
      </c>
      <c r="B370" s="3" t="n">
        <v>46056.46184027778</v>
      </c>
      <c r="C370" s="3" t="n">
        <v>46056.46201388889</v>
      </c>
      <c r="D370" s="4">
        <f>(C370-B370)*24</f>
        <v/>
      </c>
      <c r="E370" s="5">
        <f>IF(AND(HOUR(B370)&gt;=6,HOUR(B370)&lt;18),"Day Shift","Night Shift")</f>
        <v/>
      </c>
      <c r="F370" s="6">
        <f>INT(B370)</f>
        <v/>
      </c>
      <c r="G370" s="6">
        <f>INT(C370)</f>
        <v/>
      </c>
    </row>
    <row r="371">
      <c r="A371" s="2" t="inlineStr">
        <is>
          <t>Blast</t>
        </is>
      </c>
      <c r="B371" s="3" t="n">
        <v>46056.46201388889</v>
      </c>
      <c r="C371" s="3" t="n">
        <v>46056.4621875</v>
      </c>
      <c r="D371" s="4">
        <f>(C371-B371)*24</f>
        <v/>
      </c>
      <c r="E371" s="5">
        <f>IF(AND(HOUR(B371)&gt;=6,HOUR(B371)&lt;18),"Day Shift","Night Shift")</f>
        <v/>
      </c>
      <c r="F371" s="6">
        <f>INT(B371)</f>
        <v/>
      </c>
      <c r="G371" s="6">
        <f>INT(C371)</f>
        <v/>
      </c>
    </row>
    <row r="372">
      <c r="A372" s="2" t="inlineStr">
        <is>
          <t>Blast</t>
        </is>
      </c>
      <c r="B372" s="3" t="n">
        <v>46056.4621875</v>
      </c>
      <c r="C372" s="3" t="n">
        <v>46056.46234953704</v>
      </c>
      <c r="D372" s="4">
        <f>(C372-B372)*24</f>
        <v/>
      </c>
      <c r="E372" s="5">
        <f>IF(AND(HOUR(B372)&gt;=6,HOUR(B372)&lt;18),"Day Shift","Night Shift")</f>
        <v/>
      </c>
      <c r="F372" s="6">
        <f>INT(B372)</f>
        <v/>
      </c>
      <c r="G372" s="6">
        <f>INT(C372)</f>
        <v/>
      </c>
    </row>
    <row r="373">
      <c r="A373" s="2" t="inlineStr">
        <is>
          <t>Blast</t>
        </is>
      </c>
      <c r="B373" s="3" t="n">
        <v>46056.46234953704</v>
      </c>
      <c r="C373" s="3" t="n">
        <v>46056.46252314815</v>
      </c>
      <c r="D373" s="4">
        <f>(C373-B373)*24</f>
        <v/>
      </c>
      <c r="E373" s="5">
        <f>IF(AND(HOUR(B373)&gt;=6,HOUR(B373)&lt;18),"Day Shift","Night Shift")</f>
        <v/>
      </c>
      <c r="F373" s="6">
        <f>INT(B373)</f>
        <v/>
      </c>
      <c r="G373" s="6">
        <f>INT(C373)</f>
        <v/>
      </c>
    </row>
    <row r="374">
      <c r="A374" s="2" t="inlineStr">
        <is>
          <t>Blast</t>
        </is>
      </c>
      <c r="B374" s="3" t="n">
        <v>46056.46252314815</v>
      </c>
      <c r="C374" s="3" t="n">
        <v>46056.46269675926</v>
      </c>
      <c r="D374" s="4">
        <f>(C374-B374)*24</f>
        <v/>
      </c>
      <c r="E374" s="5">
        <f>IF(AND(HOUR(B374)&gt;=6,HOUR(B374)&lt;18),"Day Shift","Night Shift")</f>
        <v/>
      </c>
      <c r="F374" s="6">
        <f>INT(B374)</f>
        <v/>
      </c>
      <c r="G374" s="6">
        <f>INT(C374)</f>
        <v/>
      </c>
    </row>
    <row r="375">
      <c r="A375" s="2" t="inlineStr">
        <is>
          <t>Blast</t>
        </is>
      </c>
      <c r="B375" s="3" t="n">
        <v>46056.46269675926</v>
      </c>
      <c r="C375" s="3" t="n">
        <v>46056.46282407407</v>
      </c>
      <c r="D375" s="4">
        <f>(C375-B375)*24</f>
        <v/>
      </c>
      <c r="E375" s="5">
        <f>IF(AND(HOUR(B375)&gt;=6,HOUR(B375)&lt;18),"Day Shift","Night Shift")</f>
        <v/>
      </c>
      <c r="F375" s="6">
        <f>INT(B375)</f>
        <v/>
      </c>
      <c r="G375" s="6">
        <f>INT(C375)</f>
        <v/>
      </c>
    </row>
    <row r="376">
      <c r="A376" s="2" t="inlineStr">
        <is>
          <t>Blast</t>
        </is>
      </c>
      <c r="B376" s="3" t="n">
        <v>46056.46282407407</v>
      </c>
      <c r="C376" s="3" t="n">
        <v>46056.46288194445</v>
      </c>
      <c r="D376" s="4">
        <f>(C376-B376)*24</f>
        <v/>
      </c>
      <c r="E376" s="5">
        <f>IF(AND(HOUR(B376)&gt;=6,HOUR(B376)&lt;18),"Day Shift","Night Shift")</f>
        <v/>
      </c>
      <c r="F376" s="6">
        <f>INT(B376)</f>
        <v/>
      </c>
      <c r="G376" s="6">
        <f>INT(C376)</f>
        <v/>
      </c>
    </row>
    <row r="377">
      <c r="A377" s="2" t="inlineStr">
        <is>
          <t>Blast</t>
        </is>
      </c>
      <c r="B377" s="3" t="n">
        <v>46056.46288194445</v>
      </c>
      <c r="C377" s="3" t="n">
        <v>46056.46292824074</v>
      </c>
      <c r="D377" s="4">
        <f>(C377-B377)*24</f>
        <v/>
      </c>
      <c r="E377" s="5">
        <f>IF(AND(HOUR(B377)&gt;=6,HOUR(B377)&lt;18),"Day Shift","Night Shift")</f>
        <v/>
      </c>
      <c r="F377" s="6">
        <f>INT(B377)</f>
        <v/>
      </c>
      <c r="G377" s="6">
        <f>INT(C377)</f>
        <v/>
      </c>
    </row>
    <row r="378">
      <c r="A378" s="2" t="inlineStr">
        <is>
          <t>Blast</t>
        </is>
      </c>
      <c r="B378" s="3" t="n">
        <v>46056.46292824074</v>
      </c>
      <c r="C378" s="3" t="n">
        <v>46056.463125</v>
      </c>
      <c r="D378" s="4">
        <f>(C378-B378)*24</f>
        <v/>
      </c>
      <c r="E378" s="5">
        <f>IF(AND(HOUR(B378)&gt;=6,HOUR(B378)&lt;18),"Day Shift","Night Shift")</f>
        <v/>
      </c>
      <c r="F378" s="6">
        <f>INT(B378)</f>
        <v/>
      </c>
      <c r="G378" s="6">
        <f>INT(C378)</f>
        <v/>
      </c>
    </row>
    <row r="379">
      <c r="A379" s="2" t="inlineStr">
        <is>
          <t>Blast</t>
        </is>
      </c>
      <c r="B379" s="3" t="n">
        <v>46056.463125</v>
      </c>
      <c r="C379" s="3" t="n">
        <v>46056.46335648148</v>
      </c>
      <c r="D379" s="4">
        <f>(C379-B379)*24</f>
        <v/>
      </c>
      <c r="E379" s="5">
        <f>IF(AND(HOUR(B379)&gt;=6,HOUR(B379)&lt;18),"Day Shift","Night Shift")</f>
        <v/>
      </c>
      <c r="F379" s="6">
        <f>INT(B379)</f>
        <v/>
      </c>
      <c r="G379" s="6">
        <f>INT(C379)</f>
        <v/>
      </c>
    </row>
    <row r="380">
      <c r="A380" s="2" t="inlineStr">
        <is>
          <t>Blast</t>
        </is>
      </c>
      <c r="B380" s="3" t="n">
        <v>46056.46335648148</v>
      </c>
      <c r="C380" s="3" t="n">
        <v>46056.46357638889</v>
      </c>
      <c r="D380" s="4">
        <f>(C380-B380)*24</f>
        <v/>
      </c>
      <c r="E380" s="5">
        <f>IF(AND(HOUR(B380)&gt;=6,HOUR(B380)&lt;18),"Day Shift","Night Shift")</f>
        <v/>
      </c>
      <c r="F380" s="6">
        <f>INT(B380)</f>
        <v/>
      </c>
      <c r="G380" s="6">
        <f>INT(C380)</f>
        <v/>
      </c>
    </row>
    <row r="381">
      <c r="A381" s="2" t="inlineStr">
        <is>
          <t>Blast</t>
        </is>
      </c>
      <c r="B381" s="3" t="n">
        <v>46056.46357638889</v>
      </c>
      <c r="C381" s="3" t="n">
        <v>46056.46378472223</v>
      </c>
      <c r="D381" s="4">
        <f>(C381-B381)*24</f>
        <v/>
      </c>
      <c r="E381" s="5">
        <f>IF(AND(HOUR(B381)&gt;=6,HOUR(B381)&lt;18),"Day Shift","Night Shift")</f>
        <v/>
      </c>
      <c r="F381" s="6">
        <f>INT(B381)</f>
        <v/>
      </c>
      <c r="G381" s="6">
        <f>INT(C381)</f>
        <v/>
      </c>
    </row>
    <row r="382">
      <c r="A382" s="2" t="inlineStr">
        <is>
          <t>Blast</t>
        </is>
      </c>
      <c r="B382" s="3" t="n">
        <v>46056.46378472223</v>
      </c>
      <c r="C382" s="3" t="n">
        <v>46056.46399305556</v>
      </c>
      <c r="D382" s="4">
        <f>(C382-B382)*24</f>
        <v/>
      </c>
      <c r="E382" s="5">
        <f>IF(AND(HOUR(B382)&gt;=6,HOUR(B382)&lt;18),"Day Shift","Night Shift")</f>
        <v/>
      </c>
      <c r="F382" s="6">
        <f>INT(B382)</f>
        <v/>
      </c>
      <c r="G382" s="6">
        <f>INT(C382)</f>
        <v/>
      </c>
    </row>
    <row r="383">
      <c r="A383" s="2" t="inlineStr">
        <is>
          <t>Blast</t>
        </is>
      </c>
      <c r="B383" s="3" t="n">
        <v>46056.46399305556</v>
      </c>
      <c r="C383" s="3" t="n">
        <v>46056.46421296296</v>
      </c>
      <c r="D383" s="4">
        <f>(C383-B383)*24</f>
        <v/>
      </c>
      <c r="E383" s="5">
        <f>IF(AND(HOUR(B383)&gt;=6,HOUR(B383)&lt;18),"Day Shift","Night Shift")</f>
        <v/>
      </c>
      <c r="F383" s="6">
        <f>INT(B383)</f>
        <v/>
      </c>
      <c r="G383" s="6">
        <f>INT(C383)</f>
        <v/>
      </c>
    </row>
    <row r="384">
      <c r="A384" s="2" t="inlineStr">
        <is>
          <t>Blast</t>
        </is>
      </c>
      <c r="B384" s="3" t="n">
        <v>46056.46421296296</v>
      </c>
      <c r="C384" s="3" t="n">
        <v>46056.4644212963</v>
      </c>
      <c r="D384" s="4">
        <f>(C384-B384)*24</f>
        <v/>
      </c>
      <c r="E384" s="5">
        <f>IF(AND(HOUR(B384)&gt;=6,HOUR(B384)&lt;18),"Day Shift","Night Shift")</f>
        <v/>
      </c>
      <c r="F384" s="6">
        <f>INT(B384)</f>
        <v/>
      </c>
      <c r="G384" s="6">
        <f>INT(C384)</f>
        <v/>
      </c>
    </row>
    <row r="385">
      <c r="A385" s="2" t="inlineStr">
        <is>
          <t>Blast</t>
        </is>
      </c>
      <c r="B385" s="3" t="n">
        <v>46056.4644212963</v>
      </c>
      <c r="C385" s="3" t="n">
        <v>46056.46461805556</v>
      </c>
      <c r="D385" s="4">
        <f>(C385-B385)*24</f>
        <v/>
      </c>
      <c r="E385" s="5">
        <f>IF(AND(HOUR(B385)&gt;=6,HOUR(B385)&lt;18),"Day Shift","Night Shift")</f>
        <v/>
      </c>
      <c r="F385" s="6">
        <f>INT(B385)</f>
        <v/>
      </c>
      <c r="G385" s="6">
        <f>INT(C385)</f>
        <v/>
      </c>
    </row>
    <row r="386">
      <c r="A386" s="2" t="inlineStr">
        <is>
          <t>Blast</t>
        </is>
      </c>
      <c r="B386" s="3" t="n">
        <v>46056.46461805556</v>
      </c>
      <c r="C386" s="3" t="n">
        <v>46056.46476851852</v>
      </c>
      <c r="D386" s="4">
        <f>(C386-B386)*24</f>
        <v/>
      </c>
      <c r="E386" s="5">
        <f>IF(AND(HOUR(B386)&gt;=6,HOUR(B386)&lt;18),"Day Shift","Night Shift")</f>
        <v/>
      </c>
      <c r="F386" s="6">
        <f>INT(B386)</f>
        <v/>
      </c>
      <c r="G386" s="6">
        <f>INT(C386)</f>
        <v/>
      </c>
    </row>
    <row r="387">
      <c r="A387" s="2" t="inlineStr">
        <is>
          <t>Blast</t>
        </is>
      </c>
      <c r="B387" s="3" t="n">
        <v>46056.46476851852</v>
      </c>
      <c r="C387" s="3" t="n">
        <v>46056.46480324074</v>
      </c>
      <c r="D387" s="4">
        <f>(C387-B387)*24</f>
        <v/>
      </c>
      <c r="E387" s="5">
        <f>IF(AND(HOUR(B387)&gt;=6,HOUR(B387)&lt;18),"Day Shift","Night Shift")</f>
        <v/>
      </c>
      <c r="F387" s="6">
        <f>INT(B387)</f>
        <v/>
      </c>
      <c r="G387" s="6">
        <f>INT(C387)</f>
        <v/>
      </c>
    </row>
    <row r="388">
      <c r="A388" s="2" t="inlineStr">
        <is>
          <t>Blast</t>
        </is>
      </c>
      <c r="B388" s="3" t="n">
        <v>46056.46480324074</v>
      </c>
      <c r="C388" s="3" t="n">
        <v>46056.46491898148</v>
      </c>
      <c r="D388" s="4">
        <f>(C388-B388)*24</f>
        <v/>
      </c>
      <c r="E388" s="5">
        <f>IF(AND(HOUR(B388)&gt;=6,HOUR(B388)&lt;18),"Day Shift","Night Shift")</f>
        <v/>
      </c>
      <c r="F388" s="6">
        <f>INT(B388)</f>
        <v/>
      </c>
      <c r="G388" s="6">
        <f>INT(C388)</f>
        <v/>
      </c>
    </row>
    <row r="389">
      <c r="A389" s="2" t="inlineStr">
        <is>
          <t>Blast</t>
        </is>
      </c>
      <c r="B389" s="3" t="n">
        <v>46056.46491898148</v>
      </c>
      <c r="C389" s="3" t="n">
        <v>46056.46516203704</v>
      </c>
      <c r="D389" s="4">
        <f>(C389-B389)*24</f>
        <v/>
      </c>
      <c r="E389" s="5">
        <f>IF(AND(HOUR(B389)&gt;=6,HOUR(B389)&lt;18),"Day Shift","Night Shift")</f>
        <v/>
      </c>
      <c r="F389" s="6">
        <f>INT(B389)</f>
        <v/>
      </c>
      <c r="G389" s="6">
        <f>INT(C389)</f>
        <v/>
      </c>
    </row>
    <row r="390">
      <c r="A390" s="2" t="inlineStr">
        <is>
          <t>Blast</t>
        </is>
      </c>
      <c r="B390" s="3" t="n">
        <v>46056.46516203704</v>
      </c>
      <c r="C390" s="3" t="n">
        <v>46056.46543981481</v>
      </c>
      <c r="D390" s="4">
        <f>(C390-B390)*24</f>
        <v/>
      </c>
      <c r="E390" s="5">
        <f>IF(AND(HOUR(B390)&gt;=6,HOUR(B390)&lt;18),"Day Shift","Night Shift")</f>
        <v/>
      </c>
      <c r="F390" s="6">
        <f>INT(B390)</f>
        <v/>
      </c>
      <c r="G390" s="6">
        <f>INT(C390)</f>
        <v/>
      </c>
    </row>
    <row r="391">
      <c r="A391" s="2" t="inlineStr">
        <is>
          <t>Blast</t>
        </is>
      </c>
      <c r="B391" s="3" t="n">
        <v>46056.46543981481</v>
      </c>
      <c r="C391" s="3" t="n">
        <v>46056.46570601852</v>
      </c>
      <c r="D391" s="4">
        <f>(C391-B391)*24</f>
        <v/>
      </c>
      <c r="E391" s="5">
        <f>IF(AND(HOUR(B391)&gt;=6,HOUR(B391)&lt;18),"Day Shift","Night Shift")</f>
        <v/>
      </c>
      <c r="F391" s="6">
        <f>INT(B391)</f>
        <v/>
      </c>
      <c r="G391" s="6">
        <f>INT(C391)</f>
        <v/>
      </c>
    </row>
    <row r="392">
      <c r="A392" s="2" t="inlineStr">
        <is>
          <t>Blast</t>
        </is>
      </c>
      <c r="B392" s="3" t="n">
        <v>46056.46570601852</v>
      </c>
      <c r="C392" s="3" t="n">
        <v>46056.46596064815</v>
      </c>
      <c r="D392" s="4">
        <f>(C392-B392)*24</f>
        <v/>
      </c>
      <c r="E392" s="5">
        <f>IF(AND(HOUR(B392)&gt;=6,HOUR(B392)&lt;18),"Day Shift","Night Shift")</f>
        <v/>
      </c>
      <c r="F392" s="6">
        <f>INT(B392)</f>
        <v/>
      </c>
      <c r="G392" s="6">
        <f>INT(C392)</f>
        <v/>
      </c>
    </row>
    <row r="393">
      <c r="A393" s="2" t="inlineStr">
        <is>
          <t>Blast</t>
        </is>
      </c>
      <c r="B393" s="3" t="n">
        <v>46056.46596064815</v>
      </c>
      <c r="C393" s="3" t="n">
        <v>46056.46621527777</v>
      </c>
      <c r="D393" s="4">
        <f>(C393-B393)*24</f>
        <v/>
      </c>
      <c r="E393" s="5">
        <f>IF(AND(HOUR(B393)&gt;=6,HOUR(B393)&lt;18),"Day Shift","Night Shift")</f>
        <v/>
      </c>
      <c r="F393" s="6">
        <f>INT(B393)</f>
        <v/>
      </c>
      <c r="G393" s="6">
        <f>INT(C393)</f>
        <v/>
      </c>
    </row>
    <row r="394">
      <c r="A394" s="2" t="inlineStr">
        <is>
          <t>Blast</t>
        </is>
      </c>
      <c r="B394" s="3" t="n">
        <v>46056.46621527777</v>
      </c>
      <c r="C394" s="3" t="n">
        <v>46056.46648148148</v>
      </c>
      <c r="D394" s="4">
        <f>(C394-B394)*24</f>
        <v/>
      </c>
      <c r="E394" s="5">
        <f>IF(AND(HOUR(B394)&gt;=6,HOUR(B394)&lt;18),"Day Shift","Night Shift")</f>
        <v/>
      </c>
      <c r="F394" s="6">
        <f>INT(B394)</f>
        <v/>
      </c>
      <c r="G394" s="6">
        <f>INT(C394)</f>
        <v/>
      </c>
    </row>
    <row r="395">
      <c r="A395" s="2" t="inlineStr">
        <is>
          <t>Blast</t>
        </is>
      </c>
      <c r="B395" s="3" t="n">
        <v>46056.46648148148</v>
      </c>
      <c r="C395" s="3" t="n">
        <v>46056.46673611111</v>
      </c>
      <c r="D395" s="4">
        <f>(C395-B395)*24</f>
        <v/>
      </c>
      <c r="E395" s="5">
        <f>IF(AND(HOUR(B395)&gt;=6,HOUR(B395)&lt;18),"Day Shift","Night Shift")</f>
        <v/>
      </c>
      <c r="F395" s="6">
        <f>INT(B395)</f>
        <v/>
      </c>
      <c r="G395" s="6">
        <f>INT(C395)</f>
        <v/>
      </c>
    </row>
    <row r="396">
      <c r="A396" s="2" t="inlineStr">
        <is>
          <t>Blast</t>
        </is>
      </c>
      <c r="B396" s="3" t="n">
        <v>46056.46673611111</v>
      </c>
      <c r="C396" s="3" t="n">
        <v>46056.46699074074</v>
      </c>
      <c r="D396" s="4">
        <f>(C396-B396)*24</f>
        <v/>
      </c>
      <c r="E396" s="5">
        <f>IF(AND(HOUR(B396)&gt;=6,HOUR(B396)&lt;18),"Day Shift","Night Shift")</f>
        <v/>
      </c>
      <c r="F396" s="6">
        <f>INT(B396)</f>
        <v/>
      </c>
      <c r="G396" s="6">
        <f>INT(C396)</f>
        <v/>
      </c>
    </row>
    <row r="397">
      <c r="A397" s="2" t="inlineStr">
        <is>
          <t>Blast</t>
        </is>
      </c>
      <c r="B397" s="3" t="n">
        <v>46056.46699074074</v>
      </c>
      <c r="C397" s="3" t="n">
        <v>46056.46722222222</v>
      </c>
      <c r="D397" s="4">
        <f>(C397-B397)*24</f>
        <v/>
      </c>
      <c r="E397" s="5">
        <f>IF(AND(HOUR(B397)&gt;=6,HOUR(B397)&lt;18),"Day Shift","Night Shift")</f>
        <v/>
      </c>
      <c r="F397" s="6">
        <f>INT(B397)</f>
        <v/>
      </c>
      <c r="G397" s="6">
        <f>INT(C397)</f>
        <v/>
      </c>
    </row>
    <row r="398">
      <c r="A398" s="2" t="inlineStr">
        <is>
          <t>Blast</t>
        </is>
      </c>
      <c r="B398" s="3" t="n">
        <v>46056.46722222222</v>
      </c>
      <c r="C398" s="3" t="n">
        <v>46056.46733796296</v>
      </c>
      <c r="D398" s="4">
        <f>(C398-B398)*24</f>
        <v/>
      </c>
      <c r="E398" s="5">
        <f>IF(AND(HOUR(B398)&gt;=6,HOUR(B398)&lt;18),"Day Shift","Night Shift")</f>
        <v/>
      </c>
      <c r="F398" s="6">
        <f>INT(B398)</f>
        <v/>
      </c>
      <c r="G398" s="6">
        <f>INT(C398)</f>
        <v/>
      </c>
    </row>
    <row r="399">
      <c r="A399" s="2" t="inlineStr">
        <is>
          <t>Blast</t>
        </is>
      </c>
      <c r="B399" s="3" t="n">
        <v>46056.46733796296</v>
      </c>
      <c r="C399" s="3" t="n">
        <v>46056.46739583334</v>
      </c>
      <c r="D399" s="4">
        <f>(C399-B399)*24</f>
        <v/>
      </c>
      <c r="E399" s="5">
        <f>IF(AND(HOUR(B399)&gt;=6,HOUR(B399)&lt;18),"Day Shift","Night Shift")</f>
        <v/>
      </c>
      <c r="F399" s="6">
        <f>INT(B399)</f>
        <v/>
      </c>
      <c r="G399" s="6">
        <f>INT(C399)</f>
        <v/>
      </c>
    </row>
    <row r="400">
      <c r="A400" s="2" t="inlineStr">
        <is>
          <t>Blast</t>
        </is>
      </c>
      <c r="B400" s="3" t="n">
        <v>46056.46739583334</v>
      </c>
      <c r="C400" s="3" t="n">
        <v>46056.46756944444</v>
      </c>
      <c r="D400" s="4">
        <f>(C400-B400)*24</f>
        <v/>
      </c>
      <c r="E400" s="5">
        <f>IF(AND(HOUR(B400)&gt;=6,HOUR(B400)&lt;18),"Day Shift","Night Shift")</f>
        <v/>
      </c>
      <c r="F400" s="6">
        <f>INT(B400)</f>
        <v/>
      </c>
      <c r="G400" s="6">
        <f>INT(C400)</f>
        <v/>
      </c>
    </row>
    <row r="401">
      <c r="A401" s="2" t="inlineStr">
        <is>
          <t>Blast</t>
        </is>
      </c>
      <c r="B401" s="3" t="n">
        <v>46056.46756944444</v>
      </c>
      <c r="C401" s="3" t="n">
        <v>46056.46776620371</v>
      </c>
      <c r="D401" s="4">
        <f>(C401-B401)*24</f>
        <v/>
      </c>
      <c r="E401" s="5">
        <f>IF(AND(HOUR(B401)&gt;=6,HOUR(B401)&lt;18),"Day Shift","Night Shift")</f>
        <v/>
      </c>
      <c r="F401" s="6">
        <f>INT(B401)</f>
        <v/>
      </c>
      <c r="G401" s="6">
        <f>INT(C401)</f>
        <v/>
      </c>
    </row>
    <row r="402">
      <c r="A402" s="2" t="inlineStr">
        <is>
          <t>Blast</t>
        </is>
      </c>
      <c r="B402" s="3" t="n">
        <v>46056.46776620371</v>
      </c>
      <c r="C402" s="3" t="n">
        <v>46056.46796296296</v>
      </c>
      <c r="D402" s="4">
        <f>(C402-B402)*24</f>
        <v/>
      </c>
      <c r="E402" s="5">
        <f>IF(AND(HOUR(B402)&gt;=6,HOUR(B402)&lt;18),"Day Shift","Night Shift")</f>
        <v/>
      </c>
      <c r="F402" s="6">
        <f>INT(B402)</f>
        <v/>
      </c>
      <c r="G402" s="6">
        <f>INT(C402)</f>
        <v/>
      </c>
    </row>
    <row r="403">
      <c r="A403" s="2" t="inlineStr">
        <is>
          <t>Blast</t>
        </is>
      </c>
      <c r="B403" s="3" t="n">
        <v>46056.46796296296</v>
      </c>
      <c r="C403" s="3" t="n">
        <v>46056.46813657408</v>
      </c>
      <c r="D403" s="4">
        <f>(C403-B403)*24</f>
        <v/>
      </c>
      <c r="E403" s="5">
        <f>IF(AND(HOUR(B403)&gt;=6,HOUR(B403)&lt;18),"Day Shift","Night Shift")</f>
        <v/>
      </c>
      <c r="F403" s="6">
        <f>INT(B403)</f>
        <v/>
      </c>
      <c r="G403" s="6">
        <f>INT(C403)</f>
        <v/>
      </c>
    </row>
    <row r="404">
      <c r="A404" s="2" t="inlineStr">
        <is>
          <t>Blast</t>
        </is>
      </c>
      <c r="B404" s="3" t="n">
        <v>46056.46813657408</v>
      </c>
      <c r="C404" s="3" t="n">
        <v>46056.46832175926</v>
      </c>
      <c r="D404" s="4">
        <f>(C404-B404)*24</f>
        <v/>
      </c>
      <c r="E404" s="5">
        <f>IF(AND(HOUR(B404)&gt;=6,HOUR(B404)&lt;18),"Day Shift","Night Shift")</f>
        <v/>
      </c>
      <c r="F404" s="6">
        <f>INT(B404)</f>
        <v/>
      </c>
      <c r="G404" s="6">
        <f>INT(C404)</f>
        <v/>
      </c>
    </row>
    <row r="405">
      <c r="A405" s="2" t="inlineStr">
        <is>
          <t>Blast</t>
        </is>
      </c>
      <c r="B405" s="3" t="n">
        <v>46056.46832175926</v>
      </c>
      <c r="C405" s="3" t="n">
        <v>46056.46851851852</v>
      </c>
      <c r="D405" s="4">
        <f>(C405-B405)*24</f>
        <v/>
      </c>
      <c r="E405" s="5">
        <f>IF(AND(HOUR(B405)&gt;=6,HOUR(B405)&lt;18),"Day Shift","Night Shift")</f>
        <v/>
      </c>
      <c r="F405" s="6">
        <f>INT(B405)</f>
        <v/>
      </c>
      <c r="G405" s="6">
        <f>INT(C405)</f>
        <v/>
      </c>
    </row>
    <row r="406">
      <c r="A406" s="2" t="inlineStr">
        <is>
          <t>Blast</t>
        </is>
      </c>
      <c r="B406" s="3" t="n">
        <v>46056.46851851852</v>
      </c>
      <c r="C406" s="3" t="n">
        <v>46056.4687037037</v>
      </c>
      <c r="D406" s="4">
        <f>(C406-B406)*24</f>
        <v/>
      </c>
      <c r="E406" s="5">
        <f>IF(AND(HOUR(B406)&gt;=6,HOUR(B406)&lt;18),"Day Shift","Night Shift")</f>
        <v/>
      </c>
      <c r="F406" s="6">
        <f>INT(B406)</f>
        <v/>
      </c>
      <c r="G406" s="6">
        <f>INT(C406)</f>
        <v/>
      </c>
    </row>
    <row r="407">
      <c r="A407" s="2" t="inlineStr">
        <is>
          <t>Blast</t>
        </is>
      </c>
      <c r="B407" s="3" t="n">
        <v>46056.4687037037</v>
      </c>
      <c r="C407" s="3" t="n">
        <v>46056.46886574074</v>
      </c>
      <c r="D407" s="4">
        <f>(C407-B407)*24</f>
        <v/>
      </c>
      <c r="E407" s="5">
        <f>IF(AND(HOUR(B407)&gt;=6,HOUR(B407)&lt;18),"Day Shift","Night Shift")</f>
        <v/>
      </c>
      <c r="F407" s="6">
        <f>INT(B407)</f>
        <v/>
      </c>
      <c r="G407" s="6">
        <f>INT(C407)</f>
        <v/>
      </c>
    </row>
    <row r="408">
      <c r="A408" s="2" t="inlineStr">
        <is>
          <t>Blast</t>
        </is>
      </c>
      <c r="B408" s="3" t="n">
        <v>46056.46886574074</v>
      </c>
      <c r="C408" s="3" t="n">
        <v>46056.46903935185</v>
      </c>
      <c r="D408" s="4">
        <f>(C408-B408)*24</f>
        <v/>
      </c>
      <c r="E408" s="5">
        <f>IF(AND(HOUR(B408)&gt;=6,HOUR(B408)&lt;18),"Day Shift","Night Shift")</f>
        <v/>
      </c>
      <c r="F408" s="6">
        <f>INT(B408)</f>
        <v/>
      </c>
      <c r="G408" s="6">
        <f>INT(C408)</f>
        <v/>
      </c>
    </row>
    <row r="409">
      <c r="A409" s="2" t="inlineStr">
        <is>
          <t>Blast</t>
        </is>
      </c>
      <c r="B409" s="3" t="n">
        <v>46056.46903935185</v>
      </c>
      <c r="C409" s="3" t="n">
        <v>46056.46918981482</v>
      </c>
      <c r="D409" s="4">
        <f>(C409-B409)*24</f>
        <v/>
      </c>
      <c r="E409" s="5">
        <f>IF(AND(HOUR(B409)&gt;=6,HOUR(B409)&lt;18),"Day Shift","Night Shift")</f>
        <v/>
      </c>
      <c r="F409" s="6">
        <f>INT(B409)</f>
        <v/>
      </c>
      <c r="G409" s="6">
        <f>INT(C409)</f>
        <v/>
      </c>
    </row>
    <row r="410">
      <c r="A410" s="2" t="inlineStr">
        <is>
          <t>Blast</t>
        </is>
      </c>
      <c r="B410" s="3" t="n">
        <v>46056.46918981482</v>
      </c>
      <c r="C410" s="3" t="n">
        <v>46056.46920138889</v>
      </c>
      <c r="D410" s="4">
        <f>(C410-B410)*24</f>
        <v/>
      </c>
      <c r="E410" s="5">
        <f>IF(AND(HOUR(B410)&gt;=6,HOUR(B410)&lt;18),"Day Shift","Night Shift")</f>
        <v/>
      </c>
      <c r="F410" s="6">
        <f>INT(B410)</f>
        <v/>
      </c>
      <c r="G410" s="6">
        <f>INT(C410)</f>
        <v/>
      </c>
    </row>
    <row r="411">
      <c r="A411" s="2" t="inlineStr">
        <is>
          <t>Blast</t>
        </is>
      </c>
      <c r="B411" s="3" t="n">
        <v>46056.46920138889</v>
      </c>
      <c r="C411" s="3" t="n">
        <v>46056.46921296296</v>
      </c>
      <c r="D411" s="4">
        <f>(C411-B411)*24</f>
        <v/>
      </c>
      <c r="E411" s="5">
        <f>IF(AND(HOUR(B411)&gt;=6,HOUR(B411)&lt;18),"Day Shift","Night Shift")</f>
        <v/>
      </c>
      <c r="F411" s="6">
        <f>INT(B411)</f>
        <v/>
      </c>
      <c r="G411" s="6">
        <f>INT(C411)</f>
        <v/>
      </c>
    </row>
    <row r="412">
      <c r="A412" s="2" t="inlineStr">
        <is>
          <t>Blast</t>
        </is>
      </c>
      <c r="B412" s="3" t="n">
        <v>46056.46921296296</v>
      </c>
      <c r="C412" s="3" t="n">
        <v>46056.46928240741</v>
      </c>
      <c r="D412" s="4">
        <f>(C412-B412)*24</f>
        <v/>
      </c>
      <c r="E412" s="5">
        <f>IF(AND(HOUR(B412)&gt;=6,HOUR(B412)&lt;18),"Day Shift","Night Shift")</f>
        <v/>
      </c>
      <c r="F412" s="6">
        <f>INT(B412)</f>
        <v/>
      </c>
      <c r="G412" s="6">
        <f>INT(C412)</f>
        <v/>
      </c>
    </row>
    <row r="413">
      <c r="A413" s="2" t="inlineStr">
        <is>
          <t>Blast</t>
        </is>
      </c>
      <c r="B413" s="3" t="n">
        <v>46056.46928240741</v>
      </c>
      <c r="C413" s="3" t="n">
        <v>46056.46945601852</v>
      </c>
      <c r="D413" s="4">
        <f>(C413-B413)*24</f>
        <v/>
      </c>
      <c r="E413" s="5">
        <f>IF(AND(HOUR(B413)&gt;=6,HOUR(B413)&lt;18),"Day Shift","Night Shift")</f>
        <v/>
      </c>
      <c r="F413" s="6">
        <f>INT(B413)</f>
        <v/>
      </c>
      <c r="G413" s="6">
        <f>INT(C413)</f>
        <v/>
      </c>
    </row>
    <row r="414">
      <c r="A414" s="2" t="inlineStr">
        <is>
          <t>Blast</t>
        </is>
      </c>
      <c r="B414" s="3" t="n">
        <v>46056.46945601852</v>
      </c>
      <c r="C414" s="3" t="n">
        <v>46056.4696875</v>
      </c>
      <c r="D414" s="4">
        <f>(C414-B414)*24</f>
        <v/>
      </c>
      <c r="E414" s="5">
        <f>IF(AND(HOUR(B414)&gt;=6,HOUR(B414)&lt;18),"Day Shift","Night Shift")</f>
        <v/>
      </c>
      <c r="F414" s="6">
        <f>INT(B414)</f>
        <v/>
      </c>
      <c r="G414" s="6">
        <f>INT(C414)</f>
        <v/>
      </c>
    </row>
    <row r="415">
      <c r="A415" s="2" t="inlineStr">
        <is>
          <t>Blast</t>
        </is>
      </c>
      <c r="B415" s="3" t="n">
        <v>46056.4696875</v>
      </c>
      <c r="C415" s="3" t="n">
        <v>46056.46993055556</v>
      </c>
      <c r="D415" s="4">
        <f>(C415-B415)*24</f>
        <v/>
      </c>
      <c r="E415" s="5">
        <f>IF(AND(HOUR(B415)&gt;=6,HOUR(B415)&lt;18),"Day Shift","Night Shift")</f>
        <v/>
      </c>
      <c r="F415" s="6">
        <f>INT(B415)</f>
        <v/>
      </c>
      <c r="G415" s="6">
        <f>INT(C415)</f>
        <v/>
      </c>
    </row>
    <row r="416">
      <c r="A416" s="2" t="inlineStr">
        <is>
          <t>Blast</t>
        </is>
      </c>
      <c r="B416" s="3" t="n">
        <v>46056.46993055556</v>
      </c>
      <c r="C416" s="3" t="n">
        <v>46056.47016203704</v>
      </c>
      <c r="D416" s="4">
        <f>(C416-B416)*24</f>
        <v/>
      </c>
      <c r="E416" s="5">
        <f>IF(AND(HOUR(B416)&gt;=6,HOUR(B416)&lt;18),"Day Shift","Night Shift")</f>
        <v/>
      </c>
      <c r="F416" s="6">
        <f>INT(B416)</f>
        <v/>
      </c>
      <c r="G416" s="6">
        <f>INT(C416)</f>
        <v/>
      </c>
    </row>
    <row r="417">
      <c r="A417" s="2" t="inlineStr">
        <is>
          <t>Blast</t>
        </is>
      </c>
      <c r="B417" s="3" t="n">
        <v>46056.47016203704</v>
      </c>
      <c r="C417" s="3" t="n">
        <v>46056.47038194445</v>
      </c>
      <c r="D417" s="4">
        <f>(C417-B417)*24</f>
        <v/>
      </c>
      <c r="E417" s="5">
        <f>IF(AND(HOUR(B417)&gt;=6,HOUR(B417)&lt;18),"Day Shift","Night Shift")</f>
        <v/>
      </c>
      <c r="F417" s="6">
        <f>INT(B417)</f>
        <v/>
      </c>
      <c r="G417" s="6">
        <f>INT(C417)</f>
        <v/>
      </c>
    </row>
    <row r="418">
      <c r="A418" s="2" t="inlineStr">
        <is>
          <t>Blast</t>
        </is>
      </c>
      <c r="B418" s="3" t="n">
        <v>46056.47038194445</v>
      </c>
      <c r="C418" s="3" t="n">
        <v>46056.47061342592</v>
      </c>
      <c r="D418" s="4">
        <f>(C418-B418)*24</f>
        <v/>
      </c>
      <c r="E418" s="5">
        <f>IF(AND(HOUR(B418)&gt;=6,HOUR(B418)&lt;18),"Day Shift","Night Shift")</f>
        <v/>
      </c>
      <c r="F418" s="6">
        <f>INT(B418)</f>
        <v/>
      </c>
      <c r="G418" s="6">
        <f>INT(C418)</f>
        <v/>
      </c>
    </row>
    <row r="419">
      <c r="A419" s="2" t="inlineStr">
        <is>
          <t>Blast</t>
        </is>
      </c>
      <c r="B419" s="3" t="n">
        <v>46056.47061342592</v>
      </c>
      <c r="C419" s="3" t="n">
        <v>46056.47083333333</v>
      </c>
      <c r="D419" s="4">
        <f>(C419-B419)*24</f>
        <v/>
      </c>
      <c r="E419" s="5">
        <f>IF(AND(HOUR(B419)&gt;=6,HOUR(B419)&lt;18),"Day Shift","Night Shift")</f>
        <v/>
      </c>
      <c r="F419" s="6">
        <f>INT(B419)</f>
        <v/>
      </c>
      <c r="G419" s="6">
        <f>INT(C419)</f>
        <v/>
      </c>
    </row>
    <row r="420">
      <c r="A420" s="2" t="inlineStr">
        <is>
          <t>Blast</t>
        </is>
      </c>
      <c r="B420" s="3" t="n">
        <v>46056.47083333333</v>
      </c>
      <c r="C420" s="3" t="n">
        <v>46056.47104166666</v>
      </c>
      <c r="D420" s="4">
        <f>(C420-B420)*24</f>
        <v/>
      </c>
      <c r="E420" s="5">
        <f>IF(AND(HOUR(B420)&gt;=6,HOUR(B420)&lt;18),"Day Shift","Night Shift")</f>
        <v/>
      </c>
      <c r="F420" s="6">
        <f>INT(B420)</f>
        <v/>
      </c>
      <c r="G420" s="6">
        <f>INT(C420)</f>
        <v/>
      </c>
    </row>
    <row r="421">
      <c r="A421" s="2" t="inlineStr">
        <is>
          <t>Blast</t>
        </is>
      </c>
      <c r="B421" s="3" t="n">
        <v>46056.47104166666</v>
      </c>
      <c r="C421" s="3" t="n">
        <v>46056.47125</v>
      </c>
      <c r="D421" s="4">
        <f>(C421-B421)*24</f>
        <v/>
      </c>
      <c r="E421" s="5">
        <f>IF(AND(HOUR(B421)&gt;=6,HOUR(B421)&lt;18),"Day Shift","Night Shift")</f>
        <v/>
      </c>
      <c r="F421" s="6">
        <f>INT(B421)</f>
        <v/>
      </c>
      <c r="G421" s="6">
        <f>INT(C421)</f>
        <v/>
      </c>
    </row>
    <row r="422">
      <c r="A422" s="2" t="inlineStr">
        <is>
          <t>Blast</t>
        </is>
      </c>
      <c r="B422" s="3" t="n">
        <v>46056.47125</v>
      </c>
      <c r="C422" s="3" t="n">
        <v>46056.47142361111</v>
      </c>
      <c r="D422" s="4">
        <f>(C422-B422)*24</f>
        <v/>
      </c>
      <c r="E422" s="5">
        <f>IF(AND(HOUR(B422)&gt;=6,HOUR(B422)&lt;18),"Day Shift","Night Shift")</f>
        <v/>
      </c>
      <c r="F422" s="6">
        <f>INT(B422)</f>
        <v/>
      </c>
      <c r="G422" s="6">
        <f>INT(C422)</f>
        <v/>
      </c>
    </row>
    <row r="423">
      <c r="A423" s="2" t="inlineStr">
        <is>
          <t>Blast</t>
        </is>
      </c>
      <c r="B423" s="3" t="n">
        <v>46056.47142361111</v>
      </c>
      <c r="C423" s="3" t="n">
        <v>46056.47149305556</v>
      </c>
      <c r="D423" s="4">
        <f>(C423-B423)*24</f>
        <v/>
      </c>
      <c r="E423" s="5">
        <f>IF(AND(HOUR(B423)&gt;=6,HOUR(B423)&lt;18),"Day Shift","Night Shift")</f>
        <v/>
      </c>
      <c r="F423" s="6">
        <f>INT(B423)</f>
        <v/>
      </c>
      <c r="G423" s="6">
        <f>INT(C423)</f>
        <v/>
      </c>
    </row>
    <row r="424">
      <c r="A424" s="2" t="inlineStr">
        <is>
          <t>Blast</t>
        </is>
      </c>
      <c r="B424" s="3" t="n">
        <v>46056.47149305556</v>
      </c>
      <c r="C424" s="3" t="n">
        <v>46056.4715162037</v>
      </c>
      <c r="D424" s="4">
        <f>(C424-B424)*24</f>
        <v/>
      </c>
      <c r="E424" s="5">
        <f>IF(AND(HOUR(B424)&gt;=6,HOUR(B424)&lt;18),"Day Shift","Night Shift")</f>
        <v/>
      </c>
      <c r="F424" s="6">
        <f>INT(B424)</f>
        <v/>
      </c>
      <c r="G424" s="6">
        <f>INT(C424)</f>
        <v/>
      </c>
    </row>
    <row r="425">
      <c r="A425" s="2" t="inlineStr">
        <is>
          <t>Blast</t>
        </is>
      </c>
      <c r="B425" s="3" t="n">
        <v>46056.4715162037</v>
      </c>
      <c r="C425" s="3" t="n">
        <v>46056.4716550926</v>
      </c>
      <c r="D425" s="4">
        <f>(C425-B425)*24</f>
        <v/>
      </c>
      <c r="E425" s="5">
        <f>IF(AND(HOUR(B425)&gt;=6,HOUR(B425)&lt;18),"Day Shift","Night Shift")</f>
        <v/>
      </c>
      <c r="F425" s="6">
        <f>INT(B425)</f>
        <v/>
      </c>
      <c r="G425" s="6">
        <f>INT(C425)</f>
        <v/>
      </c>
    </row>
    <row r="426">
      <c r="A426" s="2" t="inlineStr">
        <is>
          <t>Blast</t>
        </is>
      </c>
      <c r="B426" s="3" t="n">
        <v>46056.4716550926</v>
      </c>
      <c r="C426" s="3" t="n">
        <v>46056.47190972222</v>
      </c>
      <c r="D426" s="4">
        <f>(C426-B426)*24</f>
        <v/>
      </c>
      <c r="E426" s="5">
        <f>IF(AND(HOUR(B426)&gt;=6,HOUR(B426)&lt;18),"Day Shift","Night Shift")</f>
        <v/>
      </c>
      <c r="F426" s="6">
        <f>INT(B426)</f>
        <v/>
      </c>
      <c r="G426" s="6">
        <f>INT(C426)</f>
        <v/>
      </c>
    </row>
    <row r="427">
      <c r="A427" s="2" t="inlineStr">
        <is>
          <t>Blast</t>
        </is>
      </c>
      <c r="B427" s="3" t="n">
        <v>46056.47190972222</v>
      </c>
      <c r="C427" s="3" t="n">
        <v>46056.47217592593</v>
      </c>
      <c r="D427" s="4">
        <f>(C427-B427)*24</f>
        <v/>
      </c>
      <c r="E427" s="5">
        <f>IF(AND(HOUR(B427)&gt;=6,HOUR(B427)&lt;18),"Day Shift","Night Shift")</f>
        <v/>
      </c>
      <c r="F427" s="6">
        <f>INT(B427)</f>
        <v/>
      </c>
      <c r="G427" s="6">
        <f>INT(C427)</f>
        <v/>
      </c>
    </row>
    <row r="428">
      <c r="A428" s="2" t="inlineStr">
        <is>
          <t>Blast</t>
        </is>
      </c>
      <c r="B428" s="3" t="n">
        <v>46056.47217592593</v>
      </c>
      <c r="C428" s="3" t="n">
        <v>46056.4724537037</v>
      </c>
      <c r="D428" s="4">
        <f>(C428-B428)*24</f>
        <v/>
      </c>
      <c r="E428" s="5">
        <f>IF(AND(HOUR(B428)&gt;=6,HOUR(B428)&lt;18),"Day Shift","Night Shift")</f>
        <v/>
      </c>
      <c r="F428" s="6">
        <f>INT(B428)</f>
        <v/>
      </c>
      <c r="G428" s="6">
        <f>INT(C428)</f>
        <v/>
      </c>
    </row>
    <row r="429">
      <c r="A429" s="2" t="inlineStr">
        <is>
          <t>Blast</t>
        </is>
      </c>
      <c r="B429" s="3" t="n">
        <v>46056.4724537037</v>
      </c>
      <c r="C429" s="3" t="n">
        <v>46056.47273148148</v>
      </c>
      <c r="D429" s="4">
        <f>(C429-B429)*24</f>
        <v/>
      </c>
      <c r="E429" s="5">
        <f>IF(AND(HOUR(B429)&gt;=6,HOUR(B429)&lt;18),"Day Shift","Night Shift")</f>
        <v/>
      </c>
      <c r="F429" s="6">
        <f>INT(B429)</f>
        <v/>
      </c>
      <c r="G429" s="6">
        <f>INT(C429)</f>
        <v/>
      </c>
    </row>
    <row r="430">
      <c r="A430" s="2" t="inlineStr">
        <is>
          <t>Blast</t>
        </is>
      </c>
      <c r="B430" s="3" t="n">
        <v>46056.47273148148</v>
      </c>
      <c r="C430" s="3" t="n">
        <v>46056.47300925926</v>
      </c>
      <c r="D430" s="4">
        <f>(C430-B430)*24</f>
        <v/>
      </c>
      <c r="E430" s="5">
        <f>IF(AND(HOUR(B430)&gt;=6,HOUR(B430)&lt;18),"Day Shift","Night Shift")</f>
        <v/>
      </c>
      <c r="F430" s="6">
        <f>INT(B430)</f>
        <v/>
      </c>
      <c r="G430" s="6">
        <f>INT(C430)</f>
        <v/>
      </c>
    </row>
    <row r="431">
      <c r="A431" s="2" t="inlineStr">
        <is>
          <t>Blast</t>
        </is>
      </c>
      <c r="B431" s="3" t="n">
        <v>46056.47300925926</v>
      </c>
      <c r="C431" s="3" t="n">
        <v>46056.47328703704</v>
      </c>
      <c r="D431" s="4">
        <f>(C431-B431)*24</f>
        <v/>
      </c>
      <c r="E431" s="5">
        <f>IF(AND(HOUR(B431)&gt;=6,HOUR(B431)&lt;18),"Day Shift","Night Shift")</f>
        <v/>
      </c>
      <c r="F431" s="6">
        <f>INT(B431)</f>
        <v/>
      </c>
      <c r="G431" s="6">
        <f>INT(C431)</f>
        <v/>
      </c>
    </row>
    <row r="432">
      <c r="A432" s="2" t="inlineStr">
        <is>
          <t>Blast</t>
        </is>
      </c>
      <c r="B432" s="3" t="n">
        <v>46056.47328703704</v>
      </c>
      <c r="C432" s="3" t="n">
        <v>46056.47354166667</v>
      </c>
      <c r="D432" s="4">
        <f>(C432-B432)*24</f>
        <v/>
      </c>
      <c r="E432" s="5">
        <f>IF(AND(HOUR(B432)&gt;=6,HOUR(B432)&lt;18),"Day Shift","Night Shift")</f>
        <v/>
      </c>
      <c r="F432" s="6">
        <f>INT(B432)</f>
        <v/>
      </c>
      <c r="G432" s="6">
        <f>INT(C432)</f>
        <v/>
      </c>
    </row>
    <row r="433">
      <c r="A433" s="2" t="inlineStr">
        <is>
          <t>Blast</t>
        </is>
      </c>
      <c r="B433" s="3" t="n">
        <v>46056.47354166667</v>
      </c>
      <c r="C433" s="3" t="n">
        <v>46056.47380787037</v>
      </c>
      <c r="D433" s="4">
        <f>(C433-B433)*24</f>
        <v/>
      </c>
      <c r="E433" s="5">
        <f>IF(AND(HOUR(B433)&gt;=6,HOUR(B433)&lt;18),"Day Shift","Night Shift")</f>
        <v/>
      </c>
      <c r="F433" s="6">
        <f>INT(B433)</f>
        <v/>
      </c>
      <c r="G433" s="6">
        <f>INT(C433)</f>
        <v/>
      </c>
    </row>
    <row r="434">
      <c r="A434" s="2" t="inlineStr">
        <is>
          <t>Blast</t>
        </is>
      </c>
      <c r="B434" s="3" t="n">
        <v>46056.47380787037</v>
      </c>
      <c r="C434" s="3" t="n">
        <v>46056.47402777777</v>
      </c>
      <c r="D434" s="4">
        <f>(C434-B434)*24</f>
        <v/>
      </c>
      <c r="E434" s="5">
        <f>IF(AND(HOUR(B434)&gt;=6,HOUR(B434)&lt;18),"Day Shift","Night Shift")</f>
        <v/>
      </c>
      <c r="F434" s="6">
        <f>INT(B434)</f>
        <v/>
      </c>
      <c r="G434" s="6">
        <f>INT(C434)</f>
        <v/>
      </c>
    </row>
    <row r="435">
      <c r="A435" s="2" t="inlineStr">
        <is>
          <t>Blast</t>
        </is>
      </c>
      <c r="B435" s="3" t="n">
        <v>46056.47402777777</v>
      </c>
      <c r="C435" s="3" t="n">
        <v>46056.47412037037</v>
      </c>
      <c r="D435" s="4">
        <f>(C435-B435)*24</f>
        <v/>
      </c>
      <c r="E435" s="5">
        <f>IF(AND(HOUR(B435)&gt;=6,HOUR(B435)&lt;18),"Day Shift","Night Shift")</f>
        <v/>
      </c>
      <c r="F435" s="6">
        <f>INT(B435)</f>
        <v/>
      </c>
      <c r="G435" s="6">
        <f>INT(C435)</f>
        <v/>
      </c>
    </row>
    <row r="436">
      <c r="A436" s="2" t="inlineStr">
        <is>
          <t>Blast</t>
        </is>
      </c>
      <c r="B436" s="3" t="n">
        <v>46056.47412037037</v>
      </c>
      <c r="C436" s="3" t="n">
        <v>46056.47413194444</v>
      </c>
      <c r="D436" s="4">
        <f>(C436-B436)*24</f>
        <v/>
      </c>
      <c r="E436" s="5">
        <f>IF(AND(HOUR(B436)&gt;=6,HOUR(B436)&lt;18),"Day Shift","Night Shift")</f>
        <v/>
      </c>
      <c r="F436" s="6">
        <f>INT(B436)</f>
        <v/>
      </c>
      <c r="G436" s="6">
        <f>INT(C436)</f>
        <v/>
      </c>
    </row>
    <row r="437">
      <c r="A437" s="2" t="inlineStr">
        <is>
          <t>Blast</t>
        </is>
      </c>
      <c r="B437" s="3" t="n">
        <v>46056.47413194444</v>
      </c>
      <c r="C437" s="3" t="n">
        <v>46056.47414351852</v>
      </c>
      <c r="D437" s="4">
        <f>(C437-B437)*24</f>
        <v/>
      </c>
      <c r="E437" s="5">
        <f>IF(AND(HOUR(B437)&gt;=6,HOUR(B437)&lt;18),"Day Shift","Night Shift")</f>
        <v/>
      </c>
      <c r="F437" s="6">
        <f>INT(B437)</f>
        <v/>
      </c>
      <c r="G437" s="6">
        <f>INT(C437)</f>
        <v/>
      </c>
    </row>
    <row r="438">
      <c r="A438" s="2" t="inlineStr">
        <is>
          <t>Blast</t>
        </is>
      </c>
      <c r="B438" s="3" t="n">
        <v>46056.47414351852</v>
      </c>
      <c r="C438" s="3" t="n">
        <v>46056.47423611111</v>
      </c>
      <c r="D438" s="4">
        <f>(C438-B438)*24</f>
        <v/>
      </c>
      <c r="E438" s="5">
        <f>IF(AND(HOUR(B438)&gt;=6,HOUR(B438)&lt;18),"Day Shift","Night Shift")</f>
        <v/>
      </c>
      <c r="F438" s="6">
        <f>INT(B438)</f>
        <v/>
      </c>
      <c r="G438" s="6">
        <f>INT(C438)</f>
        <v/>
      </c>
    </row>
    <row r="439">
      <c r="A439" s="2" t="inlineStr">
        <is>
          <t>Blast</t>
        </is>
      </c>
      <c r="B439" s="3" t="n">
        <v>46056.47423611111</v>
      </c>
      <c r="C439" s="3" t="n">
        <v>46056.4744212963</v>
      </c>
      <c r="D439" s="4">
        <f>(C439-B439)*24</f>
        <v/>
      </c>
      <c r="E439" s="5">
        <f>IF(AND(HOUR(B439)&gt;=6,HOUR(B439)&lt;18),"Day Shift","Night Shift")</f>
        <v/>
      </c>
      <c r="F439" s="6">
        <f>INT(B439)</f>
        <v/>
      </c>
      <c r="G439" s="6">
        <f>INT(C439)</f>
        <v/>
      </c>
    </row>
    <row r="440">
      <c r="A440" s="2" t="inlineStr">
        <is>
          <t>Blast</t>
        </is>
      </c>
      <c r="B440" s="3" t="n">
        <v>46056.4744212963</v>
      </c>
      <c r="C440" s="3" t="n">
        <v>46056.47460648148</v>
      </c>
      <c r="D440" s="4">
        <f>(C440-B440)*24</f>
        <v/>
      </c>
      <c r="E440" s="5">
        <f>IF(AND(HOUR(B440)&gt;=6,HOUR(B440)&lt;18),"Day Shift","Night Shift")</f>
        <v/>
      </c>
      <c r="F440" s="6">
        <f>INT(B440)</f>
        <v/>
      </c>
      <c r="G440" s="6">
        <f>INT(C440)</f>
        <v/>
      </c>
    </row>
    <row r="441">
      <c r="A441" s="2" t="inlineStr">
        <is>
          <t>Blast</t>
        </is>
      </c>
      <c r="B441" s="3" t="n">
        <v>46056.47460648148</v>
      </c>
      <c r="C441" s="3" t="n">
        <v>46056.47481481481</v>
      </c>
      <c r="D441" s="4">
        <f>(C441-B441)*24</f>
        <v/>
      </c>
      <c r="E441" s="5">
        <f>IF(AND(HOUR(B441)&gt;=6,HOUR(B441)&lt;18),"Day Shift","Night Shift")</f>
        <v/>
      </c>
      <c r="F441" s="6">
        <f>INT(B441)</f>
        <v/>
      </c>
      <c r="G441" s="6">
        <f>INT(C441)</f>
        <v/>
      </c>
    </row>
    <row r="442">
      <c r="A442" s="2" t="inlineStr">
        <is>
          <t>Blast</t>
        </is>
      </c>
      <c r="B442" s="3" t="n">
        <v>46056.47481481481</v>
      </c>
      <c r="C442" s="3" t="n">
        <v>46056.47502314814</v>
      </c>
      <c r="D442" s="4">
        <f>(C442-B442)*24</f>
        <v/>
      </c>
      <c r="E442" s="5">
        <f>IF(AND(HOUR(B442)&gt;=6,HOUR(B442)&lt;18),"Day Shift","Night Shift")</f>
        <v/>
      </c>
      <c r="F442" s="6">
        <f>INT(B442)</f>
        <v/>
      </c>
      <c r="G442" s="6">
        <f>INT(C442)</f>
        <v/>
      </c>
    </row>
    <row r="443">
      <c r="A443" s="2" t="inlineStr">
        <is>
          <t>Blast</t>
        </is>
      </c>
      <c r="B443" s="3" t="n">
        <v>46056.47502314814</v>
      </c>
      <c r="C443" s="3" t="n">
        <v>46056.47523148148</v>
      </c>
      <c r="D443" s="4">
        <f>(C443-B443)*24</f>
        <v/>
      </c>
      <c r="E443" s="5">
        <f>IF(AND(HOUR(B443)&gt;=6,HOUR(B443)&lt;18),"Day Shift","Night Shift")</f>
        <v/>
      </c>
      <c r="F443" s="6">
        <f>INT(B443)</f>
        <v/>
      </c>
      <c r="G443" s="6">
        <f>INT(C443)</f>
        <v/>
      </c>
    </row>
    <row r="444">
      <c r="A444" s="2" t="inlineStr">
        <is>
          <t>Blast</t>
        </is>
      </c>
      <c r="B444" s="3" t="n">
        <v>46056.47523148148</v>
      </c>
      <c r="C444" s="3" t="n">
        <v>46056.47541666667</v>
      </c>
      <c r="D444" s="4">
        <f>(C444-B444)*24</f>
        <v/>
      </c>
      <c r="E444" s="5">
        <f>IF(AND(HOUR(B444)&gt;=6,HOUR(B444)&lt;18),"Day Shift","Night Shift")</f>
        <v/>
      </c>
      <c r="F444" s="6">
        <f>INT(B444)</f>
        <v/>
      </c>
      <c r="G444" s="6">
        <f>INT(C444)</f>
        <v/>
      </c>
    </row>
    <row r="445">
      <c r="A445" s="2" t="inlineStr">
        <is>
          <t>Blast</t>
        </is>
      </c>
      <c r="B445" s="3" t="n">
        <v>46056.47541666667</v>
      </c>
      <c r="C445" s="3" t="n">
        <v>46056.47556712963</v>
      </c>
      <c r="D445" s="4">
        <f>(C445-B445)*24</f>
        <v/>
      </c>
      <c r="E445" s="5">
        <f>IF(AND(HOUR(B445)&gt;=6,HOUR(B445)&lt;18),"Day Shift","Night Shift")</f>
        <v/>
      </c>
      <c r="F445" s="6">
        <f>INT(B445)</f>
        <v/>
      </c>
      <c r="G445" s="6">
        <f>INT(C445)</f>
        <v/>
      </c>
    </row>
    <row r="446">
      <c r="A446" s="2" t="inlineStr">
        <is>
          <t>Blast</t>
        </is>
      </c>
      <c r="B446" s="3" t="n">
        <v>46056.47556712963</v>
      </c>
      <c r="C446" s="3" t="n">
        <v>46056.47569444445</v>
      </c>
      <c r="D446" s="4">
        <f>(C446-B446)*24</f>
        <v/>
      </c>
      <c r="E446" s="5">
        <f>IF(AND(HOUR(B446)&gt;=6,HOUR(B446)&lt;18),"Day Shift","Night Shift")</f>
        <v/>
      </c>
      <c r="F446" s="6">
        <f>INT(B446)</f>
        <v/>
      </c>
      <c r="G446" s="6">
        <f>INT(C446)</f>
        <v/>
      </c>
    </row>
    <row r="447">
      <c r="A447" s="2" t="inlineStr">
        <is>
          <t>Blast</t>
        </is>
      </c>
      <c r="B447" s="3" t="n">
        <v>46056.47569444445</v>
      </c>
      <c r="C447" s="3" t="n">
        <v>46056.47578703704</v>
      </c>
      <c r="D447" s="4">
        <f>(C447-B447)*24</f>
        <v/>
      </c>
      <c r="E447" s="5">
        <f>IF(AND(HOUR(B447)&gt;=6,HOUR(B447)&lt;18),"Day Shift","Night Shift")</f>
        <v/>
      </c>
      <c r="F447" s="6">
        <f>INT(B447)</f>
        <v/>
      </c>
      <c r="G447" s="6">
        <f>INT(C447)</f>
        <v/>
      </c>
    </row>
    <row r="448">
      <c r="A448" s="2" t="inlineStr">
        <is>
          <t>Blast</t>
        </is>
      </c>
      <c r="B448" s="3" t="n">
        <v>46056.47578703704</v>
      </c>
      <c r="C448" s="3" t="n">
        <v>46056.47583333333</v>
      </c>
      <c r="D448" s="4">
        <f>(C448-B448)*24</f>
        <v/>
      </c>
      <c r="E448" s="5">
        <f>IF(AND(HOUR(B448)&gt;=6,HOUR(B448)&lt;18),"Day Shift","Night Shift")</f>
        <v/>
      </c>
      <c r="F448" s="6">
        <f>INT(B448)</f>
        <v/>
      </c>
      <c r="G448" s="6">
        <f>INT(C448)</f>
        <v/>
      </c>
    </row>
    <row r="449">
      <c r="A449" s="2" t="inlineStr">
        <is>
          <t>EDD175;EDD2134</t>
        </is>
      </c>
      <c r="B449" s="3" t="n">
        <v>46056.51487268518</v>
      </c>
      <c r="C449" s="3" t="n">
        <v>46056.75</v>
      </c>
      <c r="D449" s="4">
        <f>(C449-B449)*24</f>
        <v/>
      </c>
      <c r="E449" s="5">
        <f>IF(AND(HOUR(B449)&gt;=6,HOUR(B449)&lt;18),"Day Shift","Night Shift")</f>
        <v/>
      </c>
      <c r="F449" s="6">
        <f>INT(B449)</f>
        <v/>
      </c>
      <c r="G449" s="6">
        <f>INT(C449)</f>
        <v/>
      </c>
    </row>
    <row r="450">
      <c r="A450" s="7" t="inlineStr">
        <is>
          <t>EDD175;EDD2134</t>
        </is>
      </c>
      <c r="B450" s="8" t="n">
        <v>46056.75</v>
      </c>
      <c r="C450" s="8" t="n">
        <v>46056.82688657408</v>
      </c>
      <c r="D450" s="9">
        <f>(C450-B450)*24</f>
        <v/>
      </c>
      <c r="E450" s="10">
        <f>IF(AND(HOUR(B450)&gt;=6,HOUR(B450)&lt;18),"Day Shift","Night Shift")</f>
        <v/>
      </c>
      <c r="F450" s="11">
        <f>INT(B450)</f>
        <v/>
      </c>
      <c r="G450" s="11">
        <f>INT(C450)</f>
        <v/>
      </c>
    </row>
    <row r="451">
      <c r="A451" s="2" t="inlineStr">
        <is>
          <t>EXD100</t>
        </is>
      </c>
      <c r="B451" s="3" t="n">
        <v>46056.51538194445</v>
      </c>
      <c r="C451" s="3" t="n">
        <v>46056.75</v>
      </c>
      <c r="D451" s="4">
        <f>(C451-B451)*24</f>
        <v/>
      </c>
      <c r="E451" s="5">
        <f>IF(AND(HOUR(B451)&gt;=6,HOUR(B451)&lt;18),"Day Shift","Night Shift")</f>
        <v/>
      </c>
      <c r="F451" s="6">
        <f>INT(B451)</f>
        <v/>
      </c>
      <c r="G451" s="6">
        <f>INT(C451)</f>
        <v/>
      </c>
    </row>
    <row r="452">
      <c r="A452" s="7" t="inlineStr">
        <is>
          <t>EXD100</t>
        </is>
      </c>
      <c r="B452" s="8" t="n">
        <v>46056.75</v>
      </c>
      <c r="C452" s="8" t="n">
        <v>46057.06185185185</v>
      </c>
      <c r="D452" s="9">
        <f>(C452-B452)*24</f>
        <v/>
      </c>
      <c r="E452" s="10">
        <f>IF(AND(HOUR(B452)&gt;=6,HOUR(B452)&lt;18),"Day Shift","Night Shift")</f>
        <v/>
      </c>
      <c r="F452" s="11">
        <f>INT(B452)</f>
        <v/>
      </c>
      <c r="G452" s="11">
        <f>INT(C452)</f>
        <v/>
      </c>
    </row>
    <row r="453">
      <c r="A453" s="2" t="inlineStr">
        <is>
          <t>EDD812;EDD175;EDD2134</t>
        </is>
      </c>
      <c r="B453" s="3" t="n">
        <v>46056.55138888889</v>
      </c>
      <c r="C453" s="3" t="n">
        <v>46056.75</v>
      </c>
      <c r="D453" s="4">
        <f>(C453-B453)*24</f>
        <v/>
      </c>
      <c r="E453" s="5">
        <f>IF(AND(HOUR(B453)&gt;=6,HOUR(B453)&lt;18),"Day Shift","Night Shift")</f>
        <v/>
      </c>
      <c r="F453" s="6">
        <f>INT(B453)</f>
        <v/>
      </c>
      <c r="G453" s="6">
        <f>INT(C453)</f>
        <v/>
      </c>
    </row>
    <row r="454">
      <c r="A454" s="7" t="inlineStr">
        <is>
          <t>EDD812;EDD175;EDD2134</t>
        </is>
      </c>
      <c r="B454" s="8" t="n">
        <v>46056.75</v>
      </c>
      <c r="C454" s="8" t="n">
        <v>46057.25</v>
      </c>
      <c r="D454" s="9">
        <f>(C454-B454)*24</f>
        <v/>
      </c>
      <c r="E454" s="10">
        <f>IF(AND(HOUR(B454)&gt;=6,HOUR(B454)&lt;18),"Day Shift","Night Shift")</f>
        <v/>
      </c>
      <c r="F454" s="11">
        <f>INT(B454)</f>
        <v/>
      </c>
      <c r="G454" s="11">
        <f>INT(C454)</f>
        <v/>
      </c>
    </row>
    <row r="455">
      <c r="A455" s="2" t="inlineStr">
        <is>
          <t>EDD812;EDD175;EDD2134</t>
        </is>
      </c>
      <c r="B455" s="3" t="n">
        <v>46057.25</v>
      </c>
      <c r="C455" s="3" t="n">
        <v>46057.75</v>
      </c>
      <c r="D455" s="4">
        <f>(C455-B455)*24</f>
        <v/>
      </c>
      <c r="E455" s="5">
        <f>IF(AND(HOUR(B455)&gt;=6,HOUR(B455)&lt;18),"Day Shift","Night Shift")</f>
        <v/>
      </c>
      <c r="F455" s="6">
        <f>INT(B455)</f>
        <v/>
      </c>
      <c r="G455" s="6">
        <f>INT(C455)</f>
        <v/>
      </c>
    </row>
    <row r="456">
      <c r="A456" s="7" t="inlineStr">
        <is>
          <t>EDD812;EDD175;EDD2134</t>
        </is>
      </c>
      <c r="B456" s="8" t="n">
        <v>46057.75</v>
      </c>
      <c r="C456" s="8" t="n">
        <v>46057.83702546296</v>
      </c>
      <c r="D456" s="9">
        <f>(C456-B456)*24</f>
        <v/>
      </c>
      <c r="E456" s="10">
        <f>IF(AND(HOUR(B456)&gt;=6,HOUR(B456)&lt;18),"Day Shift","Night Shift")</f>
        <v/>
      </c>
      <c r="F456" s="11">
        <f>INT(B456)</f>
        <v/>
      </c>
      <c r="G456" s="11">
        <f>INT(C456)</f>
        <v/>
      </c>
    </row>
    <row r="457">
      <c r="A457" s="2" t="inlineStr">
        <is>
          <t>EDD2541</t>
        </is>
      </c>
      <c r="B457" s="3" t="n">
        <v>46056.56442129629</v>
      </c>
      <c r="C457" s="3" t="n">
        <v>46056.75</v>
      </c>
      <c r="D457" s="4">
        <f>(C457-B457)*24</f>
        <v/>
      </c>
      <c r="E457" s="5">
        <f>IF(AND(HOUR(B457)&gt;=6,HOUR(B457)&lt;18),"Day Shift","Night Shift")</f>
        <v/>
      </c>
      <c r="F457" s="6">
        <f>INT(B457)</f>
        <v/>
      </c>
      <c r="G457" s="6">
        <f>INT(C457)</f>
        <v/>
      </c>
    </row>
    <row r="458">
      <c r="A458" s="7" t="inlineStr">
        <is>
          <t>EDD2541</t>
        </is>
      </c>
      <c r="B458" s="8" t="n">
        <v>46056.75</v>
      </c>
      <c r="C458" s="8" t="n">
        <v>46056.88581018519</v>
      </c>
      <c r="D458" s="9">
        <f>(C458-B458)*24</f>
        <v/>
      </c>
      <c r="E458" s="10">
        <f>IF(AND(HOUR(B458)&gt;=6,HOUR(B458)&lt;18),"Day Shift","Night Shift")</f>
        <v/>
      </c>
      <c r="F458" s="11">
        <f>INT(B458)</f>
        <v/>
      </c>
      <c r="G458" s="11">
        <f>INT(C458)</f>
        <v/>
      </c>
    </row>
    <row r="459">
      <c r="A459" s="2" t="inlineStr">
        <is>
          <t>EXD409</t>
        </is>
      </c>
      <c r="B459" s="3" t="n">
        <v>46056.61731481482</v>
      </c>
      <c r="C459" s="3" t="n">
        <v>46056.75</v>
      </c>
      <c r="D459" s="4">
        <f>(C459-B459)*24</f>
        <v/>
      </c>
      <c r="E459" s="5">
        <f>IF(AND(HOUR(B459)&gt;=6,HOUR(B459)&lt;18),"Day Shift","Night Shift")</f>
        <v/>
      </c>
      <c r="F459" s="6">
        <f>INT(B459)</f>
        <v/>
      </c>
      <c r="G459" s="6">
        <f>INT(C459)</f>
        <v/>
      </c>
    </row>
    <row r="460">
      <c r="A460" s="7" t="inlineStr">
        <is>
          <t>EXD409</t>
        </is>
      </c>
      <c r="B460" s="8" t="n">
        <v>46056.75</v>
      </c>
      <c r="C460" s="8" t="n">
        <v>46057.25</v>
      </c>
      <c r="D460" s="9">
        <f>(C460-B460)*24</f>
        <v/>
      </c>
      <c r="E460" s="10">
        <f>IF(AND(HOUR(B460)&gt;=6,HOUR(B460)&lt;18),"Day Shift","Night Shift")</f>
        <v/>
      </c>
      <c r="F460" s="11">
        <f>INT(B460)</f>
        <v/>
      </c>
      <c r="G460" s="11">
        <f>INT(C460)</f>
        <v/>
      </c>
    </row>
    <row r="461">
      <c r="A461" s="2" t="inlineStr">
        <is>
          <t>EXD409</t>
        </is>
      </c>
      <c r="B461" s="3" t="n">
        <v>46057.25</v>
      </c>
      <c r="C461" s="3" t="n">
        <v>46057.52403935185</v>
      </c>
      <c r="D461" s="4">
        <f>(C461-B461)*24</f>
        <v/>
      </c>
      <c r="E461" s="5">
        <f>IF(AND(HOUR(B461)&gt;=6,HOUR(B461)&lt;18),"Day Shift","Night Shift")</f>
        <v/>
      </c>
      <c r="F461" s="6">
        <f>INT(B461)</f>
        <v/>
      </c>
      <c r="G461" s="6">
        <f>INT(C461)</f>
        <v/>
      </c>
    </row>
    <row r="462">
      <c r="A462" s="2" t="inlineStr">
        <is>
          <t>DRE42</t>
        </is>
      </c>
      <c r="B462" s="3" t="n">
        <v>46056.62034722222</v>
      </c>
      <c r="C462" s="3" t="n">
        <v>46056.75</v>
      </c>
      <c r="D462" s="4">
        <f>(C462-B462)*24</f>
        <v/>
      </c>
      <c r="E462" s="5">
        <f>IF(AND(HOUR(B462)&gt;=6,HOUR(B462)&lt;18),"Day Shift","Night Shift")</f>
        <v/>
      </c>
      <c r="F462" s="6">
        <f>INT(B462)</f>
        <v/>
      </c>
      <c r="G462" s="6">
        <f>INT(C462)</f>
        <v/>
      </c>
    </row>
    <row r="463">
      <c r="A463" s="7" t="inlineStr">
        <is>
          <t>DRE42</t>
        </is>
      </c>
      <c r="B463" s="8" t="n">
        <v>46056.75</v>
      </c>
      <c r="C463" s="8" t="n">
        <v>46057.25</v>
      </c>
      <c r="D463" s="9">
        <f>(C463-B463)*24</f>
        <v/>
      </c>
      <c r="E463" s="10">
        <f>IF(AND(HOUR(B463)&gt;=6,HOUR(B463)&lt;18),"Day Shift","Night Shift")</f>
        <v/>
      </c>
      <c r="F463" s="11">
        <f>INT(B463)</f>
        <v/>
      </c>
      <c r="G463" s="11">
        <f>INT(C463)</f>
        <v/>
      </c>
    </row>
    <row r="464">
      <c r="A464" s="2" t="inlineStr">
        <is>
          <t>DRE42</t>
        </is>
      </c>
      <c r="B464" s="3" t="n">
        <v>46057.25</v>
      </c>
      <c r="C464" s="3" t="n">
        <v>46057.75</v>
      </c>
      <c r="D464" s="4">
        <f>(C464-B464)*24</f>
        <v/>
      </c>
      <c r="E464" s="5">
        <f>IF(AND(HOUR(B464)&gt;=6,HOUR(B464)&lt;18),"Day Shift","Night Shift")</f>
        <v/>
      </c>
      <c r="F464" s="6">
        <f>INT(B464)</f>
        <v/>
      </c>
      <c r="G464" s="6">
        <f>INT(C464)</f>
        <v/>
      </c>
    </row>
    <row r="465">
      <c r="A465" s="7" t="inlineStr">
        <is>
          <t>DRE42</t>
        </is>
      </c>
      <c r="B465" s="8" t="n">
        <v>46057.75</v>
      </c>
      <c r="C465" s="8" t="n">
        <v>46058.25</v>
      </c>
      <c r="D465" s="9">
        <f>(C465-B465)*24</f>
        <v/>
      </c>
      <c r="E465" s="10">
        <f>IF(AND(HOUR(B465)&gt;=6,HOUR(B465)&lt;18),"Day Shift","Night Shift")</f>
        <v/>
      </c>
      <c r="F465" s="11">
        <f>INT(B465)</f>
        <v/>
      </c>
      <c r="G465" s="11">
        <f>INT(C465)</f>
        <v/>
      </c>
    </row>
    <row r="466">
      <c r="A466" s="2" t="inlineStr">
        <is>
          <t>DRE42</t>
        </is>
      </c>
      <c r="B466" s="3" t="n">
        <v>46058.25</v>
      </c>
      <c r="C466" s="3" t="n">
        <v>46058.52886574074</v>
      </c>
      <c r="D466" s="4">
        <f>(C466-B466)*24</f>
        <v/>
      </c>
      <c r="E466" s="5">
        <f>IF(AND(HOUR(B466)&gt;=6,HOUR(B466)&lt;18),"Day Shift","Night Shift")</f>
        <v/>
      </c>
      <c r="F466" s="6">
        <f>INT(B466)</f>
        <v/>
      </c>
      <c r="G466" s="6">
        <f>INT(C466)</f>
        <v/>
      </c>
    </row>
    <row r="467">
      <c r="A467" s="7" t="inlineStr">
        <is>
          <t>EXD60</t>
        </is>
      </c>
      <c r="B467" s="8" t="n">
        <v>46056.78237268519</v>
      </c>
      <c r="C467" s="8" t="n">
        <v>46057.25</v>
      </c>
      <c r="D467" s="9">
        <f>(C467-B467)*24</f>
        <v/>
      </c>
      <c r="E467" s="10">
        <f>IF(AND(HOUR(B467)&gt;=6,HOUR(B467)&lt;18),"Day Shift","Night Shift")</f>
        <v/>
      </c>
      <c r="F467" s="11">
        <f>INT(B467)</f>
        <v/>
      </c>
      <c r="G467" s="11">
        <f>INT(C467)</f>
        <v/>
      </c>
    </row>
    <row r="468">
      <c r="A468" s="2" t="inlineStr">
        <is>
          <t>EXD60</t>
        </is>
      </c>
      <c r="B468" s="3" t="n">
        <v>46057.25</v>
      </c>
      <c r="C468" s="3" t="n">
        <v>46057.66016203703</v>
      </c>
      <c r="D468" s="4">
        <f>(C468-B468)*24</f>
        <v/>
      </c>
      <c r="E468" s="5">
        <f>IF(AND(HOUR(B468)&gt;=6,HOUR(B468)&lt;18),"Day Shift","Night Shift")</f>
        <v/>
      </c>
      <c r="F468" s="6">
        <f>INT(B468)</f>
        <v/>
      </c>
      <c r="G468" s="6">
        <f>INT(C468)</f>
        <v/>
      </c>
    </row>
    <row r="469">
      <c r="A469" s="7" t="inlineStr">
        <is>
          <t>DRE09</t>
        </is>
      </c>
      <c r="B469" s="8" t="n">
        <v>46056.80603009259</v>
      </c>
      <c r="C469" s="8" t="n">
        <v>46057.25</v>
      </c>
      <c r="D469" s="9">
        <f>(C469-B469)*24</f>
        <v/>
      </c>
      <c r="E469" s="10">
        <f>IF(AND(HOUR(B469)&gt;=6,HOUR(B469)&lt;18),"Day Shift","Night Shift")</f>
        <v/>
      </c>
      <c r="F469" s="11">
        <f>INT(B469)</f>
        <v/>
      </c>
      <c r="G469" s="11">
        <f>INT(C469)</f>
        <v/>
      </c>
    </row>
    <row r="470">
      <c r="A470" s="2" t="inlineStr">
        <is>
          <t>DRE09</t>
        </is>
      </c>
      <c r="B470" s="3" t="n">
        <v>46057.25</v>
      </c>
      <c r="C470" s="3" t="n">
        <v>46057.75</v>
      </c>
      <c r="D470" s="4">
        <f>(C470-B470)*24</f>
        <v/>
      </c>
      <c r="E470" s="5">
        <f>IF(AND(HOUR(B470)&gt;=6,HOUR(B470)&lt;18),"Day Shift","Night Shift")</f>
        <v/>
      </c>
      <c r="F470" s="6">
        <f>INT(B470)</f>
        <v/>
      </c>
      <c r="G470" s="6">
        <f>INT(C470)</f>
        <v/>
      </c>
    </row>
    <row r="471">
      <c r="A471" s="7" t="inlineStr">
        <is>
          <t>DRE09</t>
        </is>
      </c>
      <c r="B471" s="8" t="n">
        <v>46057.75</v>
      </c>
      <c r="C471" s="8" t="n">
        <v>46058.25</v>
      </c>
      <c r="D471" s="9">
        <f>(C471-B471)*24</f>
        <v/>
      </c>
      <c r="E471" s="10">
        <f>IF(AND(HOUR(B471)&gt;=6,HOUR(B471)&lt;18),"Day Shift","Night Shift")</f>
        <v/>
      </c>
      <c r="F471" s="11">
        <f>INT(B471)</f>
        <v/>
      </c>
      <c r="G471" s="11">
        <f>INT(C471)</f>
        <v/>
      </c>
    </row>
    <row r="472">
      <c r="A472" s="2" t="inlineStr">
        <is>
          <t>DRE09</t>
        </is>
      </c>
      <c r="B472" s="3" t="n">
        <v>46058.25</v>
      </c>
      <c r="C472" s="3" t="n">
        <v>46058.54408564815</v>
      </c>
      <c r="D472" s="4">
        <f>(C472-B472)*24</f>
        <v/>
      </c>
      <c r="E472" s="5">
        <f>IF(AND(HOUR(B472)&gt;=6,HOUR(B472)&lt;18),"Day Shift","Night Shift")</f>
        <v/>
      </c>
      <c r="F472" s="6">
        <f>INT(B472)</f>
        <v/>
      </c>
      <c r="G472" s="6">
        <f>INT(C472)</f>
        <v/>
      </c>
    </row>
    <row r="473">
      <c r="A473" s="7" t="inlineStr">
        <is>
          <t>EDD1932</t>
        </is>
      </c>
      <c r="B473" s="8" t="n">
        <v>46056.82621527778</v>
      </c>
      <c r="C473" s="8" t="n">
        <v>46057.25</v>
      </c>
      <c r="D473" s="9">
        <f>(C473-B473)*24</f>
        <v/>
      </c>
      <c r="E473" s="10">
        <f>IF(AND(HOUR(B473)&gt;=6,HOUR(B473)&lt;18),"Day Shift","Night Shift")</f>
        <v/>
      </c>
      <c r="F473" s="11">
        <f>INT(B473)</f>
        <v/>
      </c>
      <c r="G473" s="11">
        <f>INT(C473)</f>
        <v/>
      </c>
    </row>
    <row r="474">
      <c r="A474" s="2" t="inlineStr">
        <is>
          <t>EDD1932</t>
        </is>
      </c>
      <c r="B474" s="3" t="n">
        <v>46057.25</v>
      </c>
      <c r="C474" s="3" t="n">
        <v>46057.69640046296</v>
      </c>
      <c r="D474" s="4">
        <f>(C474-B474)*24</f>
        <v/>
      </c>
      <c r="E474" s="5">
        <f>IF(AND(HOUR(B474)&gt;=6,HOUR(B474)&lt;18),"Day Shift","Night Shift")</f>
        <v/>
      </c>
      <c r="F474" s="6">
        <f>INT(B474)</f>
        <v/>
      </c>
      <c r="G474" s="6">
        <f>INT(C474)</f>
        <v/>
      </c>
    </row>
    <row r="475">
      <c r="A475" s="7" t="inlineStr">
        <is>
          <t>EDD175;EDD2134</t>
        </is>
      </c>
      <c r="B475" s="8" t="n">
        <v>46056.82688657408</v>
      </c>
      <c r="C475" s="8" t="n">
        <v>46057.14130787037</v>
      </c>
      <c r="D475" s="9">
        <f>(C475-B475)*24</f>
        <v/>
      </c>
      <c r="E475" s="10">
        <f>IF(AND(HOUR(B475)&gt;=6,HOUR(B475)&lt;18),"Day Shift","Night Shift")</f>
        <v/>
      </c>
      <c r="F475" s="11">
        <f>INT(B475)</f>
        <v/>
      </c>
      <c r="G475" s="11">
        <f>INT(C475)</f>
        <v/>
      </c>
    </row>
    <row r="476">
      <c r="A476" s="7" t="inlineStr">
        <is>
          <t>EDD2541</t>
        </is>
      </c>
      <c r="B476" s="8" t="n">
        <v>46056.88581018519</v>
      </c>
      <c r="C476" s="8" t="n">
        <v>46057.21144675926</v>
      </c>
      <c r="D476" s="9">
        <f>(C476-B476)*24</f>
        <v/>
      </c>
      <c r="E476" s="10">
        <f>IF(AND(HOUR(B476)&gt;=6,HOUR(B476)&lt;18),"Day Shift","Night Shift")</f>
        <v/>
      </c>
      <c r="F476" s="11">
        <f>INT(B476)</f>
        <v/>
      </c>
      <c r="G476" s="11">
        <f>INT(C476)</f>
        <v/>
      </c>
    </row>
    <row r="477">
      <c r="A477" s="7" t="inlineStr">
        <is>
          <t>SHE36</t>
        </is>
      </c>
      <c r="B477" s="8" t="n">
        <v>46056.94287037037</v>
      </c>
      <c r="C477" s="8" t="n">
        <v>46057.25</v>
      </c>
      <c r="D477" s="9">
        <f>(C477-B477)*24</f>
        <v/>
      </c>
      <c r="E477" s="10">
        <f>IF(AND(HOUR(B477)&gt;=6,HOUR(B477)&lt;18),"Day Shift","Night Shift")</f>
        <v/>
      </c>
      <c r="F477" s="11">
        <f>INT(B477)</f>
        <v/>
      </c>
      <c r="G477" s="11">
        <f>INT(C477)</f>
        <v/>
      </c>
    </row>
    <row r="478">
      <c r="A478" s="2" t="inlineStr">
        <is>
          <t>SHE36</t>
        </is>
      </c>
      <c r="B478" s="3" t="n">
        <v>46057.25</v>
      </c>
      <c r="C478" s="3" t="n">
        <v>46057.75</v>
      </c>
      <c r="D478" s="4">
        <f>(C478-B478)*24</f>
        <v/>
      </c>
      <c r="E478" s="5">
        <f>IF(AND(HOUR(B478)&gt;=6,HOUR(B478)&lt;18),"Day Shift","Night Shift")</f>
        <v/>
      </c>
      <c r="F478" s="6">
        <f>INT(B478)</f>
        <v/>
      </c>
      <c r="G478" s="6">
        <f>INT(C478)</f>
        <v/>
      </c>
    </row>
    <row r="479">
      <c r="A479" s="7" t="inlineStr">
        <is>
          <t>SHE36</t>
        </is>
      </c>
      <c r="B479" s="8" t="n">
        <v>46057.75</v>
      </c>
      <c r="C479" s="8" t="n">
        <v>46058.25</v>
      </c>
      <c r="D479" s="9">
        <f>(C479-B479)*24</f>
        <v/>
      </c>
      <c r="E479" s="10">
        <f>IF(AND(HOUR(B479)&gt;=6,HOUR(B479)&lt;18),"Day Shift","Night Shift")</f>
        <v/>
      </c>
      <c r="F479" s="11">
        <f>INT(B479)</f>
        <v/>
      </c>
      <c r="G479" s="11">
        <f>INT(C479)</f>
        <v/>
      </c>
    </row>
    <row r="480">
      <c r="A480" s="2" t="inlineStr">
        <is>
          <t>SHE36</t>
        </is>
      </c>
      <c r="B480" s="3" t="n">
        <v>46058.25</v>
      </c>
      <c r="C480" s="3" t="n">
        <v>46058.55962962963</v>
      </c>
      <c r="D480" s="4">
        <f>(C480-B480)*24</f>
        <v/>
      </c>
      <c r="E480" s="5">
        <f>IF(AND(HOUR(B480)&gt;=6,HOUR(B480)&lt;18),"Day Shift","Night Shift")</f>
        <v/>
      </c>
      <c r="F480" s="6">
        <f>INT(B480)</f>
        <v/>
      </c>
      <c r="G480" s="6">
        <f>INT(C480)</f>
        <v/>
      </c>
    </row>
    <row r="481">
      <c r="A481" s="7" t="inlineStr">
        <is>
          <t>EDD812</t>
        </is>
      </c>
      <c r="B481" s="8" t="n">
        <v>46057</v>
      </c>
      <c r="C481" s="8" t="n">
        <v>46057.214375</v>
      </c>
      <c r="D481" s="9">
        <f>(C481-B481)*24</f>
        <v/>
      </c>
      <c r="E481" s="10">
        <f>IF(AND(HOUR(B481)&gt;=6,HOUR(B481)&lt;18),"Day Shift","Night Shift")</f>
        <v/>
      </c>
      <c r="F481" s="11">
        <f>INT(B481)</f>
        <v/>
      </c>
      <c r="G481" s="11">
        <f>INT(C481)</f>
        <v/>
      </c>
    </row>
    <row r="482">
      <c r="A482" s="7" t="inlineStr">
        <is>
          <t>LDW265</t>
        </is>
      </c>
      <c r="B482" s="8" t="n">
        <v>46057.03636574074</v>
      </c>
      <c r="C482" s="8" t="n">
        <v>46057.25</v>
      </c>
      <c r="D482" s="9">
        <f>(C482-B482)*24</f>
        <v/>
      </c>
      <c r="E482" s="10">
        <f>IF(AND(HOUR(B482)&gt;=6,HOUR(B482)&lt;18),"Day Shift","Night Shift")</f>
        <v/>
      </c>
      <c r="F482" s="11">
        <f>INT(B482)</f>
        <v/>
      </c>
      <c r="G482" s="11">
        <f>INT(C482)</f>
        <v/>
      </c>
    </row>
    <row r="483">
      <c r="A483" s="2" t="inlineStr">
        <is>
          <t>LDW265</t>
        </is>
      </c>
      <c r="B483" s="3" t="n">
        <v>46057.25</v>
      </c>
      <c r="C483" s="3" t="n">
        <v>46057.75</v>
      </c>
      <c r="D483" s="4">
        <f>(C483-B483)*24</f>
        <v/>
      </c>
      <c r="E483" s="5">
        <f>IF(AND(HOUR(B483)&gt;=6,HOUR(B483)&lt;18),"Day Shift","Night Shift")</f>
        <v/>
      </c>
      <c r="F483" s="6">
        <f>INT(B483)</f>
        <v/>
      </c>
      <c r="G483" s="6">
        <f>INT(C483)</f>
        <v/>
      </c>
    </row>
    <row r="484">
      <c r="A484" s="7" t="inlineStr">
        <is>
          <t>LDW265</t>
        </is>
      </c>
      <c r="B484" s="8" t="n">
        <v>46057.75</v>
      </c>
      <c r="C484" s="8" t="n">
        <v>46058.25</v>
      </c>
      <c r="D484" s="9">
        <f>(C484-B484)*24</f>
        <v/>
      </c>
      <c r="E484" s="10">
        <f>IF(AND(HOUR(B484)&gt;=6,HOUR(B484)&lt;18),"Day Shift","Night Shift")</f>
        <v/>
      </c>
      <c r="F484" s="11">
        <f>INT(B484)</f>
        <v/>
      </c>
      <c r="G484" s="11">
        <f>INT(C484)</f>
        <v/>
      </c>
    </row>
    <row r="485">
      <c r="A485" s="2" t="inlineStr">
        <is>
          <t>LDW265</t>
        </is>
      </c>
      <c r="B485" s="3" t="n">
        <v>46058.25</v>
      </c>
      <c r="C485" s="3" t="n">
        <v>46058.75</v>
      </c>
      <c r="D485" s="4">
        <f>(C485-B485)*24</f>
        <v/>
      </c>
      <c r="E485" s="5">
        <f>IF(AND(HOUR(B485)&gt;=6,HOUR(B485)&lt;18),"Day Shift","Night Shift")</f>
        <v/>
      </c>
      <c r="F485" s="6">
        <f>INT(B485)</f>
        <v/>
      </c>
      <c r="G485" s="6">
        <f>INT(C485)</f>
        <v/>
      </c>
    </row>
    <row r="486">
      <c r="A486" s="7" t="inlineStr">
        <is>
          <t>LDW265</t>
        </is>
      </c>
      <c r="B486" s="8" t="n">
        <v>46058.75</v>
      </c>
      <c r="C486" s="8" t="n">
        <v>46059.04788194445</v>
      </c>
      <c r="D486" s="9">
        <f>(C486-B486)*24</f>
        <v/>
      </c>
      <c r="E486" s="10">
        <f>IF(AND(HOUR(B486)&gt;=6,HOUR(B486)&lt;18),"Day Shift","Night Shift")</f>
        <v/>
      </c>
      <c r="F486" s="11">
        <f>INT(B486)</f>
        <v/>
      </c>
      <c r="G486" s="11">
        <f>INT(C486)</f>
        <v/>
      </c>
    </row>
    <row r="487">
      <c r="A487" s="7" t="inlineStr">
        <is>
          <t>EXD100</t>
        </is>
      </c>
      <c r="B487" s="8" t="n">
        <v>46057.07758101852</v>
      </c>
      <c r="C487" s="8" t="n">
        <v>46057.25</v>
      </c>
      <c r="D487" s="9">
        <f>(C487-B487)*24</f>
        <v/>
      </c>
      <c r="E487" s="10">
        <f>IF(AND(HOUR(B487)&gt;=6,HOUR(B487)&lt;18),"Day Shift","Night Shift")</f>
        <v/>
      </c>
      <c r="F487" s="11">
        <f>INT(B487)</f>
        <v/>
      </c>
      <c r="G487" s="11">
        <f>INT(C487)</f>
        <v/>
      </c>
    </row>
    <row r="488">
      <c r="A488" s="2" t="inlineStr">
        <is>
          <t>EXD100</t>
        </is>
      </c>
      <c r="B488" s="3" t="n">
        <v>46057.25</v>
      </c>
      <c r="C488" s="3" t="n">
        <v>46057.75</v>
      </c>
      <c r="D488" s="4">
        <f>(C488-B488)*24</f>
        <v/>
      </c>
      <c r="E488" s="5">
        <f>IF(AND(HOUR(B488)&gt;=6,HOUR(B488)&lt;18),"Day Shift","Night Shift")</f>
        <v/>
      </c>
      <c r="F488" s="6">
        <f>INT(B488)</f>
        <v/>
      </c>
      <c r="G488" s="6">
        <f>INT(C488)</f>
        <v/>
      </c>
    </row>
    <row r="489">
      <c r="A489" s="7" t="inlineStr">
        <is>
          <t>EXD100</t>
        </is>
      </c>
      <c r="B489" s="8" t="n">
        <v>46057.75</v>
      </c>
      <c r="C489" s="8" t="n">
        <v>46057.82427083333</v>
      </c>
      <c r="D489" s="9">
        <f>(C489-B489)*24</f>
        <v/>
      </c>
      <c r="E489" s="10">
        <f>IF(AND(HOUR(B489)&gt;=6,HOUR(B489)&lt;18),"Day Shift","Night Shift")</f>
        <v/>
      </c>
      <c r="F489" s="11">
        <f>INT(B489)</f>
        <v/>
      </c>
      <c r="G489" s="11">
        <f>INT(C489)</f>
        <v/>
      </c>
    </row>
    <row r="490">
      <c r="A490" s="7" t="inlineStr">
        <is>
          <t>EXD407</t>
        </is>
      </c>
      <c r="B490" s="8" t="n">
        <v>46057.10622685185</v>
      </c>
      <c r="C490" s="8" t="n">
        <v>46057.25</v>
      </c>
      <c r="D490" s="9">
        <f>(C490-B490)*24</f>
        <v/>
      </c>
      <c r="E490" s="10">
        <f>IF(AND(HOUR(B490)&gt;=6,HOUR(B490)&lt;18),"Day Shift","Night Shift")</f>
        <v/>
      </c>
      <c r="F490" s="11">
        <f>INT(B490)</f>
        <v/>
      </c>
      <c r="G490" s="11">
        <f>INT(C490)</f>
        <v/>
      </c>
    </row>
    <row r="491">
      <c r="A491" s="2" t="inlineStr">
        <is>
          <t>EXD407</t>
        </is>
      </c>
      <c r="B491" s="3" t="n">
        <v>46057.25</v>
      </c>
      <c r="C491" s="3" t="n">
        <v>46057.75</v>
      </c>
      <c r="D491" s="4">
        <f>(C491-B491)*24</f>
        <v/>
      </c>
      <c r="E491" s="5">
        <f>IF(AND(HOUR(B491)&gt;=6,HOUR(B491)&lt;18),"Day Shift","Night Shift")</f>
        <v/>
      </c>
      <c r="F491" s="6">
        <f>INT(B491)</f>
        <v/>
      </c>
      <c r="G491" s="6">
        <f>INT(C491)</f>
        <v/>
      </c>
    </row>
    <row r="492">
      <c r="A492" s="7" t="inlineStr">
        <is>
          <t>EXD407</t>
        </is>
      </c>
      <c r="B492" s="8" t="n">
        <v>46057.75</v>
      </c>
      <c r="C492" s="8" t="n">
        <v>46058.25</v>
      </c>
      <c r="D492" s="9">
        <f>(C492-B492)*24</f>
        <v/>
      </c>
      <c r="E492" s="10">
        <f>IF(AND(HOUR(B492)&gt;=6,HOUR(B492)&lt;18),"Day Shift","Night Shift")</f>
        <v/>
      </c>
      <c r="F492" s="11">
        <f>INT(B492)</f>
        <v/>
      </c>
      <c r="G492" s="11">
        <f>INT(C492)</f>
        <v/>
      </c>
    </row>
    <row r="493">
      <c r="A493" s="2" t="inlineStr">
        <is>
          <t>EXD407</t>
        </is>
      </c>
      <c r="B493" s="3" t="n">
        <v>46058.25</v>
      </c>
      <c r="C493" s="3" t="n">
        <v>46058.75</v>
      </c>
      <c r="D493" s="4">
        <f>(C493-B493)*24</f>
        <v/>
      </c>
      <c r="E493" s="5">
        <f>IF(AND(HOUR(B493)&gt;=6,HOUR(B493)&lt;18),"Day Shift","Night Shift")</f>
        <v/>
      </c>
      <c r="F493" s="6">
        <f>INT(B493)</f>
        <v/>
      </c>
      <c r="G493" s="6">
        <f>INT(C493)</f>
        <v/>
      </c>
    </row>
    <row r="494">
      <c r="A494" s="7" t="inlineStr">
        <is>
          <t>EXD407</t>
        </is>
      </c>
      <c r="B494" s="8" t="n">
        <v>46058.75</v>
      </c>
      <c r="C494" s="8" t="n">
        <v>46058.91195601852</v>
      </c>
      <c r="D494" s="9">
        <f>(C494-B494)*24</f>
        <v/>
      </c>
      <c r="E494" s="10">
        <f>IF(AND(HOUR(B494)&gt;=6,HOUR(B494)&lt;18),"Day Shift","Night Shift")</f>
        <v/>
      </c>
      <c r="F494" s="11">
        <f>INT(B494)</f>
        <v/>
      </c>
      <c r="G494" s="11">
        <f>INT(C494)</f>
        <v/>
      </c>
    </row>
    <row r="495">
      <c r="A495" s="7" t="inlineStr">
        <is>
          <t>EXD101</t>
        </is>
      </c>
      <c r="B495" s="8" t="n">
        <v>46057.125</v>
      </c>
      <c r="C495" s="8" t="n">
        <v>46057.25</v>
      </c>
      <c r="D495" s="9">
        <f>(C495-B495)*24</f>
        <v/>
      </c>
      <c r="E495" s="10">
        <f>IF(AND(HOUR(B495)&gt;=6,HOUR(B495)&lt;18),"Day Shift","Night Shift")</f>
        <v/>
      </c>
      <c r="F495" s="11">
        <f>INT(B495)</f>
        <v/>
      </c>
      <c r="G495" s="11">
        <f>INT(C495)</f>
        <v/>
      </c>
    </row>
    <row r="496">
      <c r="A496" s="2" t="inlineStr">
        <is>
          <t>EXD101</t>
        </is>
      </c>
      <c r="B496" s="3" t="n">
        <v>46057.25</v>
      </c>
      <c r="C496" s="3" t="n">
        <v>46057.66684027778</v>
      </c>
      <c r="D496" s="4">
        <f>(C496-B496)*24</f>
        <v/>
      </c>
      <c r="E496" s="5">
        <f>IF(AND(HOUR(B496)&gt;=6,HOUR(B496)&lt;18),"Day Shift","Night Shift")</f>
        <v/>
      </c>
      <c r="F496" s="6">
        <f>INT(B496)</f>
        <v/>
      </c>
      <c r="G496" s="6">
        <f>INT(C496)</f>
        <v/>
      </c>
    </row>
    <row r="497">
      <c r="A497" s="7" t="inlineStr">
        <is>
          <t>EDD175;EDD2134</t>
        </is>
      </c>
      <c r="B497" s="8" t="n">
        <v>46057.14130787037</v>
      </c>
      <c r="C497" s="8" t="n">
        <v>46057.25</v>
      </c>
      <c r="D497" s="9">
        <f>(C497-B497)*24</f>
        <v/>
      </c>
      <c r="E497" s="10">
        <f>IF(AND(HOUR(B497)&gt;=6,HOUR(B497)&lt;18),"Day Shift","Night Shift")</f>
        <v/>
      </c>
      <c r="F497" s="11">
        <f>INT(B497)</f>
        <v/>
      </c>
      <c r="G497" s="11">
        <f>INT(C497)</f>
        <v/>
      </c>
    </row>
    <row r="498">
      <c r="A498" s="2" t="inlineStr">
        <is>
          <t>EDD175;EDD2134</t>
        </is>
      </c>
      <c r="B498" s="3" t="n">
        <v>46057.25</v>
      </c>
      <c r="C498" s="3" t="n">
        <v>46057.45150462963</v>
      </c>
      <c r="D498" s="4">
        <f>(C498-B498)*24</f>
        <v/>
      </c>
      <c r="E498" s="5">
        <f>IF(AND(HOUR(B498)&gt;=6,HOUR(B498)&lt;18),"Day Shift","Night Shift")</f>
        <v/>
      </c>
      <c r="F498" s="6">
        <f>INT(B498)</f>
        <v/>
      </c>
      <c r="G498" s="6">
        <f>INT(C498)</f>
        <v/>
      </c>
    </row>
    <row r="499">
      <c r="A499" s="7" t="inlineStr">
        <is>
          <t>DRE08</t>
        </is>
      </c>
      <c r="B499" s="8" t="n">
        <v>46057.19516203704</v>
      </c>
      <c r="C499" s="8" t="n">
        <v>46057.25</v>
      </c>
      <c r="D499" s="9">
        <f>(C499-B499)*24</f>
        <v/>
      </c>
      <c r="E499" s="10">
        <f>IF(AND(HOUR(B499)&gt;=6,HOUR(B499)&lt;18),"Day Shift","Night Shift")</f>
        <v/>
      </c>
      <c r="F499" s="11">
        <f>INT(B499)</f>
        <v/>
      </c>
      <c r="G499" s="11">
        <f>INT(C499)</f>
        <v/>
      </c>
    </row>
    <row r="500">
      <c r="A500" s="2" t="inlineStr">
        <is>
          <t>DRE08</t>
        </is>
      </c>
      <c r="B500" s="3" t="n">
        <v>46057.25</v>
      </c>
      <c r="C500" s="3" t="n">
        <v>46057.75</v>
      </c>
      <c r="D500" s="4">
        <f>(C500-B500)*24</f>
        <v/>
      </c>
      <c r="E500" s="5">
        <f>IF(AND(HOUR(B500)&gt;=6,HOUR(B500)&lt;18),"Day Shift","Night Shift")</f>
        <v/>
      </c>
      <c r="F500" s="6">
        <f>INT(B500)</f>
        <v/>
      </c>
      <c r="G500" s="6">
        <f>INT(C500)</f>
        <v/>
      </c>
    </row>
    <row r="501">
      <c r="A501" s="7" t="inlineStr">
        <is>
          <t>DRE08</t>
        </is>
      </c>
      <c r="B501" s="8" t="n">
        <v>46057.75</v>
      </c>
      <c r="C501" s="8" t="n">
        <v>46058.25</v>
      </c>
      <c r="D501" s="9">
        <f>(C501-B501)*24</f>
        <v/>
      </c>
      <c r="E501" s="10">
        <f>IF(AND(HOUR(B501)&gt;=6,HOUR(B501)&lt;18),"Day Shift","Night Shift")</f>
        <v/>
      </c>
      <c r="F501" s="11">
        <f>INT(B501)</f>
        <v/>
      </c>
      <c r="G501" s="11">
        <f>INT(C501)</f>
        <v/>
      </c>
    </row>
    <row r="502">
      <c r="A502" s="2" t="inlineStr">
        <is>
          <t>DRE08</t>
        </is>
      </c>
      <c r="B502" s="3" t="n">
        <v>46058.25</v>
      </c>
      <c r="C502" s="3" t="n">
        <v>46058.75</v>
      </c>
      <c r="D502" s="4">
        <f>(C502-B502)*24</f>
        <v/>
      </c>
      <c r="E502" s="5">
        <f>IF(AND(HOUR(B502)&gt;=6,HOUR(B502)&lt;18),"Day Shift","Night Shift")</f>
        <v/>
      </c>
      <c r="F502" s="6">
        <f>INT(B502)</f>
        <v/>
      </c>
      <c r="G502" s="6">
        <f>INT(C502)</f>
        <v/>
      </c>
    </row>
    <row r="503">
      <c r="A503" s="7" t="inlineStr">
        <is>
          <t>DRE08</t>
        </is>
      </c>
      <c r="B503" s="8" t="n">
        <v>46058.75</v>
      </c>
      <c r="C503" s="8" t="n">
        <v>46059.25</v>
      </c>
      <c r="D503" s="9">
        <f>(C503-B503)*24</f>
        <v/>
      </c>
      <c r="E503" s="10">
        <f>IF(AND(HOUR(B503)&gt;=6,HOUR(B503)&lt;18),"Day Shift","Night Shift")</f>
        <v/>
      </c>
      <c r="F503" s="11">
        <f>INT(B503)</f>
        <v/>
      </c>
      <c r="G503" s="11">
        <f>INT(C503)</f>
        <v/>
      </c>
    </row>
    <row r="504">
      <c r="A504" s="2" t="inlineStr">
        <is>
          <t>DRE08</t>
        </is>
      </c>
      <c r="B504" s="3" t="n">
        <v>46059.25</v>
      </c>
      <c r="C504" s="3" t="n">
        <v>46059.75</v>
      </c>
      <c r="D504" s="4">
        <f>(C504-B504)*24</f>
        <v/>
      </c>
      <c r="E504" s="5">
        <f>IF(AND(HOUR(B504)&gt;=6,HOUR(B504)&lt;18),"Day Shift","Night Shift")</f>
        <v/>
      </c>
      <c r="F504" s="6">
        <f>INT(B504)</f>
        <v/>
      </c>
      <c r="G504" s="6">
        <f>INT(C504)</f>
        <v/>
      </c>
    </row>
    <row r="505">
      <c r="A505" s="7" t="inlineStr">
        <is>
          <t>DRE08</t>
        </is>
      </c>
      <c r="B505" s="8" t="n">
        <v>46059.75</v>
      </c>
      <c r="C505" s="8" t="n">
        <v>46060.25</v>
      </c>
      <c r="D505" s="9">
        <f>(C505-B505)*24</f>
        <v/>
      </c>
      <c r="E505" s="10">
        <f>IF(AND(HOUR(B505)&gt;=6,HOUR(B505)&lt;18),"Day Shift","Night Shift")</f>
        <v/>
      </c>
      <c r="F505" s="11">
        <f>INT(B505)</f>
        <v/>
      </c>
      <c r="G505" s="11">
        <f>INT(C505)</f>
        <v/>
      </c>
    </row>
    <row r="506">
      <c r="A506" s="2" t="inlineStr">
        <is>
          <t>DRE08</t>
        </is>
      </c>
      <c r="B506" s="3" t="n">
        <v>46060.25</v>
      </c>
      <c r="C506" s="3" t="n">
        <v>46060.26030092593</v>
      </c>
      <c r="D506" s="4">
        <f>(C506-B506)*24</f>
        <v/>
      </c>
      <c r="E506" s="5">
        <f>IF(AND(HOUR(B506)&gt;=6,HOUR(B506)&lt;18),"Day Shift","Night Shift")</f>
        <v/>
      </c>
      <c r="F506" s="6">
        <f>INT(B506)</f>
        <v/>
      </c>
      <c r="G506" s="6">
        <f>INT(C506)</f>
        <v/>
      </c>
    </row>
    <row r="507">
      <c r="A507" s="7" t="inlineStr">
        <is>
          <t>EDD2541</t>
        </is>
      </c>
      <c r="B507" s="8" t="n">
        <v>46057.21144675926</v>
      </c>
      <c r="C507" s="8" t="n">
        <v>46057.25</v>
      </c>
      <c r="D507" s="9">
        <f>(C507-B507)*24</f>
        <v/>
      </c>
      <c r="E507" s="10">
        <f>IF(AND(HOUR(B507)&gt;=6,HOUR(B507)&lt;18),"Day Shift","Night Shift")</f>
        <v/>
      </c>
      <c r="F507" s="11">
        <f>INT(B507)</f>
        <v/>
      </c>
      <c r="G507" s="11">
        <f>INT(C507)</f>
        <v/>
      </c>
    </row>
    <row r="508">
      <c r="A508" s="2" t="inlineStr">
        <is>
          <t>EDD2541</t>
        </is>
      </c>
      <c r="B508" s="3" t="n">
        <v>46057.25</v>
      </c>
      <c r="C508" s="3" t="n">
        <v>46057.50670138889</v>
      </c>
      <c r="D508" s="4">
        <f>(C508-B508)*24</f>
        <v/>
      </c>
      <c r="E508" s="5">
        <f>IF(AND(HOUR(B508)&gt;=6,HOUR(B508)&lt;18),"Day Shift","Night Shift")</f>
        <v/>
      </c>
      <c r="F508" s="6">
        <f>INT(B508)</f>
        <v/>
      </c>
      <c r="G508" s="6">
        <f>INT(C508)</f>
        <v/>
      </c>
    </row>
    <row r="509">
      <c r="A509" s="7" t="inlineStr">
        <is>
          <t>EDD812</t>
        </is>
      </c>
      <c r="B509" s="8" t="n">
        <v>46057.214375</v>
      </c>
      <c r="C509" s="8" t="n">
        <v>46057.25</v>
      </c>
      <c r="D509" s="9">
        <f>(C509-B509)*24</f>
        <v/>
      </c>
      <c r="E509" s="10">
        <f>IF(AND(HOUR(B509)&gt;=6,HOUR(B509)&lt;18),"Day Shift","Night Shift")</f>
        <v/>
      </c>
      <c r="F509" s="11">
        <f>INT(B509)</f>
        <v/>
      </c>
      <c r="G509" s="11">
        <f>INT(C509)</f>
        <v/>
      </c>
    </row>
    <row r="510">
      <c r="A510" s="2" t="inlineStr">
        <is>
          <t>EDD812</t>
        </is>
      </c>
      <c r="B510" s="3" t="n">
        <v>46057.25</v>
      </c>
      <c r="C510" s="3" t="n">
        <v>46057.4262037037</v>
      </c>
      <c r="D510" s="4">
        <f>(C510-B510)*24</f>
        <v/>
      </c>
      <c r="E510" s="5">
        <f>IF(AND(HOUR(B510)&gt;=6,HOUR(B510)&lt;18),"Day Shift","Night Shift")</f>
        <v/>
      </c>
      <c r="F510" s="6">
        <f>INT(B510)</f>
        <v/>
      </c>
      <c r="G510" s="6">
        <f>INT(C510)</f>
        <v/>
      </c>
    </row>
    <row r="511">
      <c r="A511" s="2" t="inlineStr">
        <is>
          <t>EXD52</t>
        </is>
      </c>
      <c r="B511" s="3" t="n">
        <v>46057.28202546296</v>
      </c>
      <c r="C511" s="3" t="n">
        <v>46057.75</v>
      </c>
      <c r="D511" s="4">
        <f>(C511-B511)*24</f>
        <v/>
      </c>
      <c r="E511" s="5">
        <f>IF(AND(HOUR(B511)&gt;=6,HOUR(B511)&lt;18),"Day Shift","Night Shift")</f>
        <v/>
      </c>
      <c r="F511" s="6">
        <f>INT(B511)</f>
        <v/>
      </c>
      <c r="G511" s="6">
        <f>INT(C511)</f>
        <v/>
      </c>
    </row>
    <row r="512">
      <c r="A512" s="7" t="inlineStr">
        <is>
          <t>EXD52</t>
        </is>
      </c>
      <c r="B512" s="8" t="n">
        <v>46057.75</v>
      </c>
      <c r="C512" s="8" t="n">
        <v>46058.16543981482</v>
      </c>
      <c r="D512" s="9">
        <f>(C512-B512)*24</f>
        <v/>
      </c>
      <c r="E512" s="10">
        <f>IF(AND(HOUR(B512)&gt;=6,HOUR(B512)&lt;18),"Day Shift","Night Shift")</f>
        <v/>
      </c>
      <c r="F512" s="11">
        <f>INT(B512)</f>
        <v/>
      </c>
      <c r="G512" s="11">
        <f>INT(C512)</f>
        <v/>
      </c>
    </row>
    <row r="513">
      <c r="A513" s="2" t="inlineStr">
        <is>
          <t>EXD73</t>
        </is>
      </c>
      <c r="B513" s="3" t="n">
        <v>46057.42483796296</v>
      </c>
      <c r="C513" s="3" t="n">
        <v>46057.75</v>
      </c>
      <c r="D513" s="4">
        <f>(C513-B513)*24</f>
        <v/>
      </c>
      <c r="E513" s="5">
        <f>IF(AND(HOUR(B513)&gt;=6,HOUR(B513)&lt;18),"Day Shift","Night Shift")</f>
        <v/>
      </c>
      <c r="F513" s="6">
        <f>INT(B513)</f>
        <v/>
      </c>
      <c r="G513" s="6">
        <f>INT(C513)</f>
        <v/>
      </c>
    </row>
    <row r="514">
      <c r="A514" s="7" t="inlineStr">
        <is>
          <t>EXD73</t>
        </is>
      </c>
      <c r="B514" s="8" t="n">
        <v>46057.75</v>
      </c>
      <c r="C514" s="8" t="n">
        <v>46058.25</v>
      </c>
      <c r="D514" s="9">
        <f>(C514-B514)*24</f>
        <v/>
      </c>
      <c r="E514" s="10">
        <f>IF(AND(HOUR(B514)&gt;=6,HOUR(B514)&lt;18),"Day Shift","Night Shift")</f>
        <v/>
      </c>
      <c r="F514" s="11">
        <f>INT(B514)</f>
        <v/>
      </c>
      <c r="G514" s="11">
        <f>INT(C514)</f>
        <v/>
      </c>
    </row>
    <row r="515">
      <c r="A515" s="2" t="inlineStr">
        <is>
          <t>EXD73</t>
        </is>
      </c>
      <c r="B515" s="3" t="n">
        <v>46058.25</v>
      </c>
      <c r="C515" s="3" t="n">
        <v>46058.52042824074</v>
      </c>
      <c r="D515" s="4">
        <f>(C515-B515)*24</f>
        <v/>
      </c>
      <c r="E515" s="5">
        <f>IF(AND(HOUR(B515)&gt;=6,HOUR(B515)&lt;18),"Day Shift","Night Shift")</f>
        <v/>
      </c>
      <c r="F515" s="6">
        <f>INT(B515)</f>
        <v/>
      </c>
      <c r="G515" s="6">
        <f>INT(C515)</f>
        <v/>
      </c>
    </row>
    <row r="516">
      <c r="A516" s="2" t="inlineStr">
        <is>
          <t>EDD812</t>
        </is>
      </c>
      <c r="B516" s="3" t="n">
        <v>46057.4262037037</v>
      </c>
      <c r="C516" s="3" t="n">
        <v>46057.62434027778</v>
      </c>
      <c r="D516" s="4">
        <f>(C516-B516)*24</f>
        <v/>
      </c>
      <c r="E516" s="5">
        <f>IF(AND(HOUR(B516)&gt;=6,HOUR(B516)&lt;18),"Day Shift","Night Shift")</f>
        <v/>
      </c>
      <c r="F516" s="6">
        <f>INT(B516)</f>
        <v/>
      </c>
      <c r="G516" s="6">
        <f>INT(C516)</f>
        <v/>
      </c>
    </row>
    <row r="517">
      <c r="A517" s="2" t="inlineStr">
        <is>
          <t>EXD98</t>
        </is>
      </c>
      <c r="B517" s="3" t="n">
        <v>46057.45043981481</v>
      </c>
      <c r="C517" s="3" t="n">
        <v>46057.68686342592</v>
      </c>
      <c r="D517" s="4">
        <f>(C517-B517)*24</f>
        <v/>
      </c>
      <c r="E517" s="5">
        <f>IF(AND(HOUR(B517)&gt;=6,HOUR(B517)&lt;18),"Day Shift","Night Shift")</f>
        <v/>
      </c>
      <c r="F517" s="6">
        <f>INT(B517)</f>
        <v/>
      </c>
      <c r="G517" s="6">
        <f>INT(C517)</f>
        <v/>
      </c>
    </row>
    <row r="518">
      <c r="A518" s="2" t="inlineStr">
        <is>
          <t>EDD175;EDD2134</t>
        </is>
      </c>
      <c r="B518" s="3" t="n">
        <v>46057.45150462963</v>
      </c>
      <c r="C518" s="3" t="n">
        <v>46057.75</v>
      </c>
      <c r="D518" s="4">
        <f>(C518-B518)*24</f>
        <v/>
      </c>
      <c r="E518" s="5">
        <f>IF(AND(HOUR(B518)&gt;=6,HOUR(B518)&lt;18),"Day Shift","Night Shift")</f>
        <v/>
      </c>
      <c r="F518" s="6">
        <f>INT(B518)</f>
        <v/>
      </c>
      <c r="G518" s="6">
        <f>INT(C518)</f>
        <v/>
      </c>
    </row>
    <row r="519">
      <c r="A519" s="7" t="inlineStr">
        <is>
          <t>EDD175;EDD2134</t>
        </is>
      </c>
      <c r="B519" s="8" t="n">
        <v>46057.75</v>
      </c>
      <c r="C519" s="8" t="n">
        <v>46057.76966435185</v>
      </c>
      <c r="D519" s="9">
        <f>(C519-B519)*24</f>
        <v/>
      </c>
      <c r="E519" s="10">
        <f>IF(AND(HOUR(B519)&gt;=6,HOUR(B519)&lt;18),"Day Shift","Night Shift")</f>
        <v/>
      </c>
      <c r="F519" s="11">
        <f>INT(B519)</f>
        <v/>
      </c>
      <c r="G519" s="11">
        <f>INT(C519)</f>
        <v/>
      </c>
    </row>
    <row r="520">
      <c r="A520" s="2" t="inlineStr">
        <is>
          <t>EXD409</t>
        </is>
      </c>
      <c r="B520" s="3" t="n">
        <v>46057.54421296297</v>
      </c>
      <c r="C520" s="3" t="n">
        <v>46057.75</v>
      </c>
      <c r="D520" s="4">
        <f>(C520-B520)*24</f>
        <v/>
      </c>
      <c r="E520" s="5">
        <f>IF(AND(HOUR(B520)&gt;=6,HOUR(B520)&lt;18),"Day Shift","Night Shift")</f>
        <v/>
      </c>
      <c r="F520" s="6">
        <f>INT(B520)</f>
        <v/>
      </c>
      <c r="G520" s="6">
        <f>INT(C520)</f>
        <v/>
      </c>
    </row>
    <row r="521">
      <c r="A521" s="7" t="inlineStr">
        <is>
          <t>EXD409</t>
        </is>
      </c>
      <c r="B521" s="8" t="n">
        <v>46057.75</v>
      </c>
      <c r="C521" s="8" t="n">
        <v>46057.97954861111</v>
      </c>
      <c r="D521" s="9">
        <f>(C521-B521)*24</f>
        <v/>
      </c>
      <c r="E521" s="10">
        <f>IF(AND(HOUR(B521)&gt;=6,HOUR(B521)&lt;18),"Day Shift","Night Shift")</f>
        <v/>
      </c>
      <c r="F521" s="11">
        <f>INT(B521)</f>
        <v/>
      </c>
      <c r="G521" s="11">
        <f>INT(C521)</f>
        <v/>
      </c>
    </row>
    <row r="522">
      <c r="A522" s="2" t="inlineStr">
        <is>
          <t>EDD2541</t>
        </is>
      </c>
      <c r="B522" s="3" t="n">
        <v>46057.58388888889</v>
      </c>
      <c r="C522" s="3" t="n">
        <v>46057.75</v>
      </c>
      <c r="D522" s="4">
        <f>(C522-B522)*24</f>
        <v/>
      </c>
      <c r="E522" s="5">
        <f>IF(AND(HOUR(B522)&gt;=6,HOUR(B522)&lt;18),"Day Shift","Night Shift")</f>
        <v/>
      </c>
      <c r="F522" s="6">
        <f>INT(B522)</f>
        <v/>
      </c>
      <c r="G522" s="6">
        <f>INT(C522)</f>
        <v/>
      </c>
    </row>
    <row r="523">
      <c r="A523" s="7" t="inlineStr">
        <is>
          <t>EDD2541</t>
        </is>
      </c>
      <c r="B523" s="8" t="n">
        <v>46057.75</v>
      </c>
      <c r="C523" s="8" t="n">
        <v>46057.9180787037</v>
      </c>
      <c r="D523" s="9">
        <f>(C523-B523)*24</f>
        <v/>
      </c>
      <c r="E523" s="10">
        <f>IF(AND(HOUR(B523)&gt;=6,HOUR(B523)&lt;18),"Day Shift","Night Shift")</f>
        <v/>
      </c>
      <c r="F523" s="11">
        <f>INT(B523)</f>
        <v/>
      </c>
      <c r="G523" s="11">
        <f>INT(C523)</f>
        <v/>
      </c>
    </row>
    <row r="524">
      <c r="A524" s="2" t="inlineStr">
        <is>
          <t>EXD60</t>
        </is>
      </c>
      <c r="B524" s="3" t="n">
        <v>46057.66039351852</v>
      </c>
      <c r="C524" s="3" t="n">
        <v>46057.75</v>
      </c>
      <c r="D524" s="4">
        <f>(C524-B524)*24</f>
        <v/>
      </c>
      <c r="E524" s="5">
        <f>IF(AND(HOUR(B524)&gt;=6,HOUR(B524)&lt;18),"Day Shift","Night Shift")</f>
        <v/>
      </c>
      <c r="F524" s="6">
        <f>INT(B524)</f>
        <v/>
      </c>
      <c r="G524" s="6">
        <f>INT(C524)</f>
        <v/>
      </c>
    </row>
    <row r="525">
      <c r="A525" s="7" t="inlineStr">
        <is>
          <t>EXD60</t>
        </is>
      </c>
      <c r="B525" s="8" t="n">
        <v>46057.75</v>
      </c>
      <c r="C525" s="8" t="n">
        <v>46058.25</v>
      </c>
      <c r="D525" s="9">
        <f>(C525-B525)*24</f>
        <v/>
      </c>
      <c r="E525" s="10">
        <f>IF(AND(HOUR(B525)&gt;=6,HOUR(B525)&lt;18),"Day Shift","Night Shift")</f>
        <v/>
      </c>
      <c r="F525" s="11">
        <f>INT(B525)</f>
        <v/>
      </c>
      <c r="G525" s="11">
        <f>INT(C525)</f>
        <v/>
      </c>
    </row>
    <row r="526">
      <c r="A526" s="2" t="inlineStr">
        <is>
          <t>EXD60</t>
        </is>
      </c>
      <c r="B526" s="3" t="n">
        <v>46058.25</v>
      </c>
      <c r="C526" s="3" t="n">
        <v>46058.63972222222</v>
      </c>
      <c r="D526" s="4">
        <f>(C526-B526)*24</f>
        <v/>
      </c>
      <c r="E526" s="5">
        <f>IF(AND(HOUR(B526)&gt;=6,HOUR(B526)&lt;18),"Day Shift","Night Shift")</f>
        <v/>
      </c>
      <c r="F526" s="6">
        <f>INT(B526)</f>
        <v/>
      </c>
      <c r="G526" s="6">
        <f>INT(C526)</f>
        <v/>
      </c>
    </row>
    <row r="527">
      <c r="A527" s="2" t="inlineStr">
        <is>
          <t>EXD101</t>
        </is>
      </c>
      <c r="B527" s="3" t="n">
        <v>46057.66684027778</v>
      </c>
      <c r="C527" s="3" t="n">
        <v>46057.75</v>
      </c>
      <c r="D527" s="4">
        <f>(C527-B527)*24</f>
        <v/>
      </c>
      <c r="E527" s="5">
        <f>IF(AND(HOUR(B527)&gt;=6,HOUR(B527)&lt;18),"Day Shift","Night Shift")</f>
        <v/>
      </c>
      <c r="F527" s="6">
        <f>INT(B527)</f>
        <v/>
      </c>
      <c r="G527" s="6">
        <f>INT(C527)</f>
        <v/>
      </c>
    </row>
    <row r="528">
      <c r="A528" s="7" t="inlineStr">
        <is>
          <t>EXD101</t>
        </is>
      </c>
      <c r="B528" s="8" t="n">
        <v>46057.75</v>
      </c>
      <c r="C528" s="8" t="n">
        <v>46058.25</v>
      </c>
      <c r="D528" s="9">
        <f>(C528-B528)*24</f>
        <v/>
      </c>
      <c r="E528" s="10">
        <f>IF(AND(HOUR(B528)&gt;=6,HOUR(B528)&lt;18),"Day Shift","Night Shift")</f>
        <v/>
      </c>
      <c r="F528" s="11">
        <f>INT(B528)</f>
        <v/>
      </c>
      <c r="G528" s="11">
        <f>INT(C528)</f>
        <v/>
      </c>
    </row>
    <row r="529">
      <c r="A529" s="2" t="inlineStr">
        <is>
          <t>EXD101</t>
        </is>
      </c>
      <c r="B529" s="3" t="n">
        <v>46058.25</v>
      </c>
      <c r="C529" s="3" t="n">
        <v>46058.58153935185</v>
      </c>
      <c r="D529" s="4">
        <f>(C529-B529)*24</f>
        <v/>
      </c>
      <c r="E529" s="5">
        <f>IF(AND(HOUR(B529)&gt;=6,HOUR(B529)&lt;18),"Day Shift","Night Shift")</f>
        <v/>
      </c>
      <c r="F529" s="6">
        <f>INT(B529)</f>
        <v/>
      </c>
      <c r="G529" s="6">
        <f>INT(C529)</f>
        <v/>
      </c>
    </row>
    <row r="530">
      <c r="A530" s="2" t="inlineStr">
        <is>
          <t>EXD98</t>
        </is>
      </c>
      <c r="B530" s="3" t="n">
        <v>46057.68686342592</v>
      </c>
      <c r="C530" s="3" t="n">
        <v>46057.75</v>
      </c>
      <c r="D530" s="4">
        <f>(C530-B530)*24</f>
        <v/>
      </c>
      <c r="E530" s="5">
        <f>IF(AND(HOUR(B530)&gt;=6,HOUR(B530)&lt;18),"Day Shift","Night Shift")</f>
        <v/>
      </c>
      <c r="F530" s="6">
        <f>INT(B530)</f>
        <v/>
      </c>
      <c r="G530" s="6">
        <f>INT(C530)</f>
        <v/>
      </c>
    </row>
    <row r="531">
      <c r="A531" s="7" t="inlineStr">
        <is>
          <t>EXD98</t>
        </is>
      </c>
      <c r="B531" s="8" t="n">
        <v>46057.75</v>
      </c>
      <c r="C531" s="8" t="n">
        <v>46058.25</v>
      </c>
      <c r="D531" s="9">
        <f>(C531-B531)*24</f>
        <v/>
      </c>
      <c r="E531" s="10">
        <f>IF(AND(HOUR(B531)&gt;=6,HOUR(B531)&lt;18),"Day Shift","Night Shift")</f>
        <v/>
      </c>
      <c r="F531" s="11">
        <f>INT(B531)</f>
        <v/>
      </c>
      <c r="G531" s="11">
        <f>INT(C531)</f>
        <v/>
      </c>
    </row>
    <row r="532">
      <c r="A532" s="2" t="inlineStr">
        <is>
          <t>EXD98</t>
        </is>
      </c>
      <c r="B532" s="3" t="n">
        <v>46058.25</v>
      </c>
      <c r="C532" s="3" t="n">
        <v>46058.25320601852</v>
      </c>
      <c r="D532" s="4">
        <f>(C532-B532)*24</f>
        <v/>
      </c>
      <c r="E532" s="5">
        <f>IF(AND(HOUR(B532)&gt;=6,HOUR(B532)&lt;18),"Day Shift","Night Shift")</f>
        <v/>
      </c>
      <c r="F532" s="6">
        <f>INT(B532)</f>
        <v/>
      </c>
      <c r="G532" s="6">
        <f>INT(C532)</f>
        <v/>
      </c>
    </row>
    <row r="533">
      <c r="A533" s="2" t="inlineStr">
        <is>
          <t>EDD1932</t>
        </is>
      </c>
      <c r="B533" s="3" t="n">
        <v>46057.69640046296</v>
      </c>
      <c r="C533" s="3" t="n">
        <v>46057.75</v>
      </c>
      <c r="D533" s="4">
        <f>(C533-B533)*24</f>
        <v/>
      </c>
      <c r="E533" s="5">
        <f>IF(AND(HOUR(B533)&gt;=6,HOUR(B533)&lt;18),"Day Shift","Night Shift")</f>
        <v/>
      </c>
      <c r="F533" s="6">
        <f>INT(B533)</f>
        <v/>
      </c>
      <c r="G533" s="6">
        <f>INT(C533)</f>
        <v/>
      </c>
    </row>
    <row r="534">
      <c r="A534" s="7" t="inlineStr">
        <is>
          <t>EDD1932</t>
        </is>
      </c>
      <c r="B534" s="8" t="n">
        <v>46057.75</v>
      </c>
      <c r="C534" s="8" t="n">
        <v>46058.25</v>
      </c>
      <c r="D534" s="9">
        <f>(C534-B534)*24</f>
        <v/>
      </c>
      <c r="E534" s="10">
        <f>IF(AND(HOUR(B534)&gt;=6,HOUR(B534)&lt;18),"Day Shift","Night Shift")</f>
        <v/>
      </c>
      <c r="F534" s="11">
        <f>INT(B534)</f>
        <v/>
      </c>
      <c r="G534" s="11">
        <f>INT(C534)</f>
        <v/>
      </c>
    </row>
    <row r="535">
      <c r="A535" s="2" t="inlineStr">
        <is>
          <t>EDD1932</t>
        </is>
      </c>
      <c r="B535" s="3" t="n">
        <v>46058.25</v>
      </c>
      <c r="C535" s="3" t="n">
        <v>46058.48509259259</v>
      </c>
      <c r="D535" s="4">
        <f>(C535-B535)*24</f>
        <v/>
      </c>
      <c r="E535" s="5">
        <f>IF(AND(HOUR(B535)&gt;=6,HOUR(B535)&lt;18),"Day Shift","Night Shift")</f>
        <v/>
      </c>
      <c r="F535" s="6">
        <f>INT(B535)</f>
        <v/>
      </c>
      <c r="G535" s="6">
        <f>INT(C535)</f>
        <v/>
      </c>
    </row>
    <row r="536">
      <c r="A536" s="7" t="inlineStr">
        <is>
          <t>EXD408</t>
        </is>
      </c>
      <c r="B536" s="8" t="n">
        <v>46057.76104166666</v>
      </c>
      <c r="C536" s="8" t="n">
        <v>46058.25</v>
      </c>
      <c r="D536" s="9">
        <f>(C536-B536)*24</f>
        <v/>
      </c>
      <c r="E536" s="10">
        <f>IF(AND(HOUR(B536)&gt;=6,HOUR(B536)&lt;18),"Day Shift","Night Shift")</f>
        <v/>
      </c>
      <c r="F536" s="11">
        <f>INT(B536)</f>
        <v/>
      </c>
      <c r="G536" s="11">
        <f>INT(C536)</f>
        <v/>
      </c>
    </row>
    <row r="537">
      <c r="A537" s="2" t="inlineStr">
        <is>
          <t>EXD408</t>
        </is>
      </c>
      <c r="B537" s="3" t="n">
        <v>46058.25</v>
      </c>
      <c r="C537" s="3" t="n">
        <v>46058.75</v>
      </c>
      <c r="D537" s="4">
        <f>(C537-B537)*24</f>
        <v/>
      </c>
      <c r="E537" s="5">
        <f>IF(AND(HOUR(B537)&gt;=6,HOUR(B537)&lt;18),"Day Shift","Night Shift")</f>
        <v/>
      </c>
      <c r="F537" s="6">
        <f>INT(B537)</f>
        <v/>
      </c>
      <c r="G537" s="6">
        <f>INT(C537)</f>
        <v/>
      </c>
    </row>
    <row r="538">
      <c r="A538" s="7" t="inlineStr">
        <is>
          <t>EXD408</t>
        </is>
      </c>
      <c r="B538" s="8" t="n">
        <v>46058.75</v>
      </c>
      <c r="C538" s="8" t="n">
        <v>46059.24582175926</v>
      </c>
      <c r="D538" s="9">
        <f>(C538-B538)*24</f>
        <v/>
      </c>
      <c r="E538" s="10">
        <f>IF(AND(HOUR(B538)&gt;=6,HOUR(B538)&lt;18),"Day Shift","Night Shift")</f>
        <v/>
      </c>
      <c r="F538" s="11">
        <f>INT(B538)</f>
        <v/>
      </c>
      <c r="G538" s="11">
        <f>INT(C538)</f>
        <v/>
      </c>
    </row>
    <row r="539">
      <c r="A539" s="7" t="inlineStr">
        <is>
          <t>EDD175;EDD2134</t>
        </is>
      </c>
      <c r="B539" s="8" t="n">
        <v>46057.83702546296</v>
      </c>
      <c r="C539" s="8" t="n">
        <v>46058.15170138889</v>
      </c>
      <c r="D539" s="9">
        <f>(C539-B539)*24</f>
        <v/>
      </c>
      <c r="E539" s="10">
        <f>IF(AND(HOUR(B539)&gt;=6,HOUR(B539)&lt;18),"Day Shift","Night Shift")</f>
        <v/>
      </c>
      <c r="F539" s="11">
        <f>INT(B539)</f>
        <v/>
      </c>
      <c r="G539" s="11">
        <f>INT(C539)</f>
        <v/>
      </c>
    </row>
    <row r="540">
      <c r="A540" s="7" t="inlineStr">
        <is>
          <t>EDD812</t>
        </is>
      </c>
      <c r="B540" s="8" t="n">
        <v>46057.83702546296</v>
      </c>
      <c r="C540" s="8" t="n">
        <v>46058.25</v>
      </c>
      <c r="D540" s="9">
        <f>(C540-B540)*24</f>
        <v/>
      </c>
      <c r="E540" s="10">
        <f>IF(AND(HOUR(B540)&gt;=6,HOUR(B540)&lt;18),"Day Shift","Night Shift")</f>
        <v/>
      </c>
      <c r="F540" s="11">
        <f>INT(B540)</f>
        <v/>
      </c>
      <c r="G540" s="11">
        <f>INT(C540)</f>
        <v/>
      </c>
    </row>
    <row r="541">
      <c r="A541" s="2" t="inlineStr">
        <is>
          <t>EDD812</t>
        </is>
      </c>
      <c r="B541" s="3" t="n">
        <v>46058.25</v>
      </c>
      <c r="C541" s="3" t="n">
        <v>46058.52074074074</v>
      </c>
      <c r="D541" s="4">
        <f>(C541-B541)*24</f>
        <v/>
      </c>
      <c r="E541" s="5">
        <f>IF(AND(HOUR(B541)&gt;=6,HOUR(B541)&lt;18),"Day Shift","Night Shift")</f>
        <v/>
      </c>
      <c r="F541" s="6">
        <f>INT(B541)</f>
        <v/>
      </c>
      <c r="G541" s="6">
        <f>INT(C541)</f>
        <v/>
      </c>
    </row>
    <row r="542">
      <c r="A542" s="7" t="inlineStr">
        <is>
          <t>EXD100</t>
        </is>
      </c>
      <c r="B542" s="8" t="n">
        <v>46057.8865625</v>
      </c>
      <c r="C542" s="8" t="n">
        <v>46058.25</v>
      </c>
      <c r="D542" s="9">
        <f>(C542-B542)*24</f>
        <v/>
      </c>
      <c r="E542" s="10">
        <f>IF(AND(HOUR(B542)&gt;=6,HOUR(B542)&lt;18),"Day Shift","Night Shift")</f>
        <v/>
      </c>
      <c r="F542" s="11">
        <f>INT(B542)</f>
        <v/>
      </c>
      <c r="G542" s="11">
        <f>INT(C542)</f>
        <v/>
      </c>
    </row>
    <row r="543">
      <c r="A543" s="2" t="inlineStr">
        <is>
          <t>EXD100</t>
        </is>
      </c>
      <c r="B543" s="3" t="n">
        <v>46058.25</v>
      </c>
      <c r="C543" s="3" t="n">
        <v>46058.55443287037</v>
      </c>
      <c r="D543" s="4">
        <f>(C543-B543)*24</f>
        <v/>
      </c>
      <c r="E543" s="5">
        <f>IF(AND(HOUR(B543)&gt;=6,HOUR(B543)&lt;18),"Day Shift","Night Shift")</f>
        <v/>
      </c>
      <c r="F543" s="6">
        <f>INT(B543)</f>
        <v/>
      </c>
      <c r="G543" s="6">
        <f>INT(C543)</f>
        <v/>
      </c>
    </row>
    <row r="544">
      <c r="A544" s="7" t="inlineStr">
        <is>
          <t>EDD2541</t>
        </is>
      </c>
      <c r="B544" s="8" t="n">
        <v>46057.9180787037</v>
      </c>
      <c r="C544" s="8" t="n">
        <v>46058.25</v>
      </c>
      <c r="D544" s="9">
        <f>(C544-B544)*24</f>
        <v/>
      </c>
      <c r="E544" s="10">
        <f>IF(AND(HOUR(B544)&gt;=6,HOUR(B544)&lt;18),"Day Shift","Night Shift")</f>
        <v/>
      </c>
      <c r="F544" s="11">
        <f>INT(B544)</f>
        <v/>
      </c>
      <c r="G544" s="11">
        <f>INT(C544)</f>
        <v/>
      </c>
    </row>
    <row r="545">
      <c r="A545" s="2" t="inlineStr">
        <is>
          <t>EDD2541</t>
        </is>
      </c>
      <c r="B545" s="3" t="n">
        <v>46058.25</v>
      </c>
      <c r="C545" s="3" t="n">
        <v>46058.75</v>
      </c>
      <c r="D545" s="4">
        <f>(C545-B545)*24</f>
        <v/>
      </c>
      <c r="E545" s="5">
        <f>IF(AND(HOUR(B545)&gt;=6,HOUR(B545)&lt;18),"Day Shift","Night Shift")</f>
        <v/>
      </c>
      <c r="F545" s="6">
        <f>INT(B545)</f>
        <v/>
      </c>
      <c r="G545" s="6">
        <f>INT(C545)</f>
        <v/>
      </c>
    </row>
    <row r="546">
      <c r="A546" s="7" t="inlineStr">
        <is>
          <t>EDD2541</t>
        </is>
      </c>
      <c r="B546" s="8" t="n">
        <v>46058.75</v>
      </c>
      <c r="C546" s="8" t="n">
        <v>46058.76439814815</v>
      </c>
      <c r="D546" s="9">
        <f>(C546-B546)*24</f>
        <v/>
      </c>
      <c r="E546" s="10">
        <f>IF(AND(HOUR(B546)&gt;=6,HOUR(B546)&lt;18),"Day Shift","Night Shift")</f>
        <v/>
      </c>
      <c r="F546" s="11">
        <f>INT(B546)</f>
        <v/>
      </c>
      <c r="G546" s="11">
        <f>INT(C546)</f>
        <v/>
      </c>
    </row>
    <row r="547">
      <c r="A547" s="7" t="inlineStr">
        <is>
          <t>EXD409</t>
        </is>
      </c>
      <c r="B547" s="8" t="n">
        <v>46057.97954861111</v>
      </c>
      <c r="C547" s="8" t="n">
        <v>46058.25</v>
      </c>
      <c r="D547" s="9">
        <f>(C547-B547)*24</f>
        <v/>
      </c>
      <c r="E547" s="10">
        <f>IF(AND(HOUR(B547)&gt;=6,HOUR(B547)&lt;18),"Day Shift","Night Shift")</f>
        <v/>
      </c>
      <c r="F547" s="11">
        <f>INT(B547)</f>
        <v/>
      </c>
      <c r="G547" s="11">
        <f>INT(C547)</f>
        <v/>
      </c>
    </row>
    <row r="548">
      <c r="A548" s="2" t="inlineStr">
        <is>
          <t>EXD409</t>
        </is>
      </c>
      <c r="B548" s="3" t="n">
        <v>46058.25</v>
      </c>
      <c r="C548" s="3" t="n">
        <v>46058.25857638889</v>
      </c>
      <c r="D548" s="4">
        <f>(C548-B548)*24</f>
        <v/>
      </c>
      <c r="E548" s="5">
        <f>IF(AND(HOUR(B548)&gt;=6,HOUR(B548)&lt;18),"Day Shift","Night Shift")</f>
        <v/>
      </c>
      <c r="F548" s="6">
        <f>INT(B548)</f>
        <v/>
      </c>
      <c r="G548" s="6">
        <f>INT(C548)</f>
        <v/>
      </c>
    </row>
    <row r="549">
      <c r="A549" s="7" t="inlineStr">
        <is>
          <t>EXD61</t>
        </is>
      </c>
      <c r="B549" s="8" t="n">
        <v>46058.03824074074</v>
      </c>
      <c r="C549" s="8" t="n">
        <v>46058.25</v>
      </c>
      <c r="D549" s="9">
        <f>(C549-B549)*24</f>
        <v/>
      </c>
      <c r="E549" s="10">
        <f>IF(AND(HOUR(B549)&gt;=6,HOUR(B549)&lt;18),"Day Shift","Night Shift")</f>
        <v/>
      </c>
      <c r="F549" s="11">
        <f>INT(B549)</f>
        <v/>
      </c>
      <c r="G549" s="11">
        <f>INT(C549)</f>
        <v/>
      </c>
    </row>
    <row r="550">
      <c r="A550" s="2" t="inlineStr">
        <is>
          <t>EXD61</t>
        </is>
      </c>
      <c r="B550" s="3" t="n">
        <v>46058.25</v>
      </c>
      <c r="C550" s="3" t="n">
        <v>46058.75</v>
      </c>
      <c r="D550" s="4">
        <f>(C550-B550)*24</f>
        <v/>
      </c>
      <c r="E550" s="5">
        <f>IF(AND(HOUR(B550)&gt;=6,HOUR(B550)&lt;18),"Day Shift","Night Shift")</f>
        <v/>
      </c>
      <c r="F550" s="6">
        <f>INT(B550)</f>
        <v/>
      </c>
      <c r="G550" s="6">
        <f>INT(C550)</f>
        <v/>
      </c>
    </row>
    <row r="551">
      <c r="A551" s="7" t="inlineStr">
        <is>
          <t>EXD61</t>
        </is>
      </c>
      <c r="B551" s="8" t="n">
        <v>46058.75</v>
      </c>
      <c r="C551" s="8" t="n">
        <v>46059.25</v>
      </c>
      <c r="D551" s="9">
        <f>(C551-B551)*24</f>
        <v/>
      </c>
      <c r="E551" s="10">
        <f>IF(AND(HOUR(B551)&gt;=6,HOUR(B551)&lt;18),"Day Shift","Night Shift")</f>
        <v/>
      </c>
      <c r="F551" s="11">
        <f>INT(B551)</f>
        <v/>
      </c>
      <c r="G551" s="11">
        <f>INT(C551)</f>
        <v/>
      </c>
    </row>
    <row r="552">
      <c r="A552" s="2" t="inlineStr">
        <is>
          <t>EXD61</t>
        </is>
      </c>
      <c r="B552" s="3" t="n">
        <v>46059.25</v>
      </c>
      <c r="C552" s="3" t="n">
        <v>46059.75</v>
      </c>
      <c r="D552" s="4">
        <f>(C552-B552)*24</f>
        <v/>
      </c>
      <c r="E552" s="5">
        <f>IF(AND(HOUR(B552)&gt;=6,HOUR(B552)&lt;18),"Day Shift","Night Shift")</f>
        <v/>
      </c>
      <c r="F552" s="6">
        <f>INT(B552)</f>
        <v/>
      </c>
      <c r="G552" s="6">
        <f>INT(C552)</f>
        <v/>
      </c>
    </row>
    <row r="553">
      <c r="A553" s="7" t="inlineStr">
        <is>
          <t>EXD61</t>
        </is>
      </c>
      <c r="B553" s="8" t="n">
        <v>46059.75</v>
      </c>
      <c r="C553" s="8" t="n">
        <v>46060.25</v>
      </c>
      <c r="D553" s="9">
        <f>(C553-B553)*24</f>
        <v/>
      </c>
      <c r="E553" s="10">
        <f>IF(AND(HOUR(B553)&gt;=6,HOUR(B553)&lt;18),"Day Shift","Night Shift")</f>
        <v/>
      </c>
      <c r="F553" s="11">
        <f>INT(B553)</f>
        <v/>
      </c>
      <c r="G553" s="11">
        <f>INT(C553)</f>
        <v/>
      </c>
    </row>
    <row r="554">
      <c r="A554" s="2" t="inlineStr">
        <is>
          <t>EXD61</t>
        </is>
      </c>
      <c r="B554" s="3" t="n">
        <v>46060.25</v>
      </c>
      <c r="C554" s="3" t="n">
        <v>46060.51888888889</v>
      </c>
      <c r="D554" s="4">
        <f>(C554-B554)*24</f>
        <v/>
      </c>
      <c r="E554" s="5">
        <f>IF(AND(HOUR(B554)&gt;=6,HOUR(B554)&lt;18),"Day Shift","Night Shift")</f>
        <v/>
      </c>
      <c r="F554" s="6">
        <f>INT(B554)</f>
        <v/>
      </c>
      <c r="G554" s="6">
        <f>INT(C554)</f>
        <v/>
      </c>
    </row>
    <row r="555">
      <c r="A555" s="7" t="inlineStr">
        <is>
          <t>EDD175;EDD2134</t>
        </is>
      </c>
      <c r="B555" s="8" t="n">
        <v>46058.15170138889</v>
      </c>
      <c r="C555" s="8" t="n">
        <v>46058.25</v>
      </c>
      <c r="D555" s="9">
        <f>(C555-B555)*24</f>
        <v/>
      </c>
      <c r="E555" s="10">
        <f>IF(AND(HOUR(B555)&gt;=6,HOUR(B555)&lt;18),"Day Shift","Night Shift")</f>
        <v/>
      </c>
      <c r="F555" s="11">
        <f>INT(B555)</f>
        <v/>
      </c>
      <c r="G555" s="11">
        <f>INT(C555)</f>
        <v/>
      </c>
    </row>
    <row r="556">
      <c r="A556" s="2" t="inlineStr">
        <is>
          <t>EDD175;EDD2134</t>
        </is>
      </c>
      <c r="B556" s="3" t="n">
        <v>46058.25</v>
      </c>
      <c r="C556" s="3" t="n">
        <v>46058.46407407407</v>
      </c>
      <c r="D556" s="4">
        <f>(C556-B556)*24</f>
        <v/>
      </c>
      <c r="E556" s="5">
        <f>IF(AND(HOUR(B556)&gt;=6,HOUR(B556)&lt;18),"Day Shift","Night Shift")</f>
        <v/>
      </c>
      <c r="F556" s="6">
        <f>INT(B556)</f>
        <v/>
      </c>
      <c r="G556" s="6">
        <f>INT(C556)</f>
        <v/>
      </c>
    </row>
    <row r="557">
      <c r="A557" s="7" t="inlineStr">
        <is>
          <t>EXD52</t>
        </is>
      </c>
      <c r="B557" s="8" t="n">
        <v>46058.16543981482</v>
      </c>
      <c r="C557" s="8" t="n">
        <v>46058.25</v>
      </c>
      <c r="D557" s="9">
        <f>(C557-B557)*24</f>
        <v/>
      </c>
      <c r="E557" s="10">
        <f>IF(AND(HOUR(B557)&gt;=6,HOUR(B557)&lt;18),"Day Shift","Night Shift")</f>
        <v/>
      </c>
      <c r="F557" s="11">
        <f>INT(B557)</f>
        <v/>
      </c>
      <c r="G557" s="11">
        <f>INT(C557)</f>
        <v/>
      </c>
    </row>
    <row r="558">
      <c r="A558" s="2" t="inlineStr">
        <is>
          <t>EXD52</t>
        </is>
      </c>
      <c r="B558" s="3" t="n">
        <v>46058.25</v>
      </c>
      <c r="C558" s="3" t="n">
        <v>46058.75</v>
      </c>
      <c r="D558" s="4">
        <f>(C558-B558)*24</f>
        <v/>
      </c>
      <c r="E558" s="5">
        <f>IF(AND(HOUR(B558)&gt;=6,HOUR(B558)&lt;18),"Day Shift","Night Shift")</f>
        <v/>
      </c>
      <c r="F558" s="6">
        <f>INT(B558)</f>
        <v/>
      </c>
      <c r="G558" s="6">
        <f>INT(C558)</f>
        <v/>
      </c>
    </row>
    <row r="559">
      <c r="A559" s="7" t="inlineStr">
        <is>
          <t>EXD52</t>
        </is>
      </c>
      <c r="B559" s="8" t="n">
        <v>46058.75</v>
      </c>
      <c r="C559" s="8" t="n">
        <v>46058.79520833334</v>
      </c>
      <c r="D559" s="9">
        <f>(C559-B559)*24</f>
        <v/>
      </c>
      <c r="E559" s="10">
        <f>IF(AND(HOUR(B559)&gt;=6,HOUR(B559)&lt;18),"Day Shift","Night Shift")</f>
        <v/>
      </c>
      <c r="F559" s="11">
        <f>INT(B559)</f>
        <v/>
      </c>
      <c r="G559" s="11">
        <f>INT(C559)</f>
        <v/>
      </c>
    </row>
    <row r="560">
      <c r="A560" s="7" t="inlineStr">
        <is>
          <t>Blast Crew</t>
        </is>
      </c>
      <c r="B560" s="8" t="n">
        <v>46058.24225694445</v>
      </c>
      <c r="C560" s="8" t="n">
        <v>46058.25</v>
      </c>
      <c r="D560" s="9">
        <f>(C560-B560)*24</f>
        <v/>
      </c>
      <c r="E560" s="10">
        <f>IF(AND(HOUR(B560)&gt;=6,HOUR(B560)&lt;18),"Day Shift","Night Shift")</f>
        <v/>
      </c>
      <c r="F560" s="11">
        <f>INT(B560)</f>
        <v/>
      </c>
      <c r="G560" s="11">
        <f>INT(C560)</f>
        <v/>
      </c>
    </row>
    <row r="561">
      <c r="A561" s="2" t="inlineStr">
        <is>
          <t>Blast Crew</t>
        </is>
      </c>
      <c r="B561" s="3" t="n">
        <v>46058.25</v>
      </c>
      <c r="C561" s="3" t="n">
        <v>46058.37197916667</v>
      </c>
      <c r="D561" s="4">
        <f>(C561-B561)*24</f>
        <v/>
      </c>
      <c r="E561" s="5">
        <f>IF(AND(HOUR(B561)&gt;=6,HOUR(B561)&lt;18),"Day Shift","Night Shift")</f>
        <v/>
      </c>
      <c r="F561" s="6">
        <f>INT(B561)</f>
        <v/>
      </c>
      <c r="G561" s="6">
        <f>INT(C561)</f>
        <v/>
      </c>
    </row>
    <row r="562">
      <c r="A562" s="2" t="inlineStr">
        <is>
          <t>EXD98</t>
        </is>
      </c>
      <c r="B562" s="3" t="n">
        <v>46058.25320601852</v>
      </c>
      <c r="C562" s="3" t="n">
        <v>46058.75</v>
      </c>
      <c r="D562" s="4">
        <f>(C562-B562)*24</f>
        <v/>
      </c>
      <c r="E562" s="5">
        <f>IF(AND(HOUR(B562)&gt;=6,HOUR(B562)&lt;18),"Day Shift","Night Shift")</f>
        <v/>
      </c>
      <c r="F562" s="6">
        <f>INT(B562)</f>
        <v/>
      </c>
      <c r="G562" s="6">
        <f>INT(C562)</f>
        <v/>
      </c>
    </row>
    <row r="563">
      <c r="A563" s="7" t="inlineStr">
        <is>
          <t>EXD98</t>
        </is>
      </c>
      <c r="B563" s="8" t="n">
        <v>46058.75</v>
      </c>
      <c r="C563" s="8" t="n">
        <v>46058.78475694444</v>
      </c>
      <c r="D563" s="9">
        <f>(C563-B563)*24</f>
        <v/>
      </c>
      <c r="E563" s="10">
        <f>IF(AND(HOUR(B563)&gt;=6,HOUR(B563)&lt;18),"Day Shift","Night Shift")</f>
        <v/>
      </c>
      <c r="F563" s="11">
        <f>INT(B563)</f>
        <v/>
      </c>
      <c r="G563" s="11">
        <f>INT(C563)</f>
        <v/>
      </c>
    </row>
    <row r="564">
      <c r="A564" s="2" t="inlineStr">
        <is>
          <t>EXD409</t>
        </is>
      </c>
      <c r="B564" s="3" t="n">
        <v>46058.25857638889</v>
      </c>
      <c r="C564" s="3" t="n">
        <v>46058.75</v>
      </c>
      <c r="D564" s="4">
        <f>(C564-B564)*24</f>
        <v/>
      </c>
      <c r="E564" s="5">
        <f>IF(AND(HOUR(B564)&gt;=6,HOUR(B564)&lt;18),"Day Shift","Night Shift")</f>
        <v/>
      </c>
      <c r="F564" s="6">
        <f>INT(B564)</f>
        <v/>
      </c>
      <c r="G564" s="6">
        <f>INT(C564)</f>
        <v/>
      </c>
    </row>
    <row r="565">
      <c r="A565" s="7" t="inlineStr">
        <is>
          <t>EXD409</t>
        </is>
      </c>
      <c r="B565" s="8" t="n">
        <v>46058.75</v>
      </c>
      <c r="C565" s="8" t="n">
        <v>46058.9103587963</v>
      </c>
      <c r="D565" s="9">
        <f>(C565-B565)*24</f>
        <v/>
      </c>
      <c r="E565" s="10">
        <f>IF(AND(HOUR(B565)&gt;=6,HOUR(B565)&lt;18),"Day Shift","Night Shift")</f>
        <v/>
      </c>
      <c r="F565" s="11">
        <f>INT(B565)</f>
        <v/>
      </c>
      <c r="G565" s="11">
        <f>INT(C565)</f>
        <v/>
      </c>
    </row>
    <row r="566">
      <c r="A566" s="2" t="inlineStr">
        <is>
          <t>Blast Crew</t>
        </is>
      </c>
      <c r="B566" s="3" t="n">
        <v>46058.37197916667</v>
      </c>
      <c r="C566" s="3" t="n">
        <v>46058.51233796297</v>
      </c>
      <c r="D566" s="4">
        <f>(C566-B566)*24</f>
        <v/>
      </c>
      <c r="E566" s="5">
        <f>IF(AND(HOUR(B566)&gt;=6,HOUR(B566)&lt;18),"Day Shift","Night Shift")</f>
        <v/>
      </c>
      <c r="F566" s="6">
        <f>INT(B566)</f>
        <v/>
      </c>
      <c r="G566" s="6">
        <f>INT(C566)</f>
        <v/>
      </c>
    </row>
    <row r="567">
      <c r="A567" s="2" t="inlineStr">
        <is>
          <t>Blast</t>
        </is>
      </c>
      <c r="B567" s="3" t="n">
        <v>46058.45833333334</v>
      </c>
      <c r="C567" s="3" t="n">
        <v>46058.45834490741</v>
      </c>
      <c r="D567" s="4">
        <f>(C567-B567)*24</f>
        <v/>
      </c>
      <c r="E567" s="5">
        <f>IF(AND(HOUR(B567)&gt;=6,HOUR(B567)&lt;18),"Day Shift","Night Shift")</f>
        <v/>
      </c>
      <c r="F567" s="6">
        <f>INT(B567)</f>
        <v/>
      </c>
      <c r="G567" s="6">
        <f>INT(C567)</f>
        <v/>
      </c>
    </row>
    <row r="568">
      <c r="A568" s="2" t="inlineStr">
        <is>
          <t>Blast</t>
        </is>
      </c>
      <c r="B568" s="3" t="n">
        <v>46058.45834490741</v>
      </c>
      <c r="C568" s="3" t="n">
        <v>46058.45835648148</v>
      </c>
      <c r="D568" s="4">
        <f>(C568-B568)*24</f>
        <v/>
      </c>
      <c r="E568" s="5">
        <f>IF(AND(HOUR(B568)&gt;=6,HOUR(B568)&lt;18),"Day Shift","Night Shift")</f>
        <v/>
      </c>
      <c r="F568" s="6">
        <f>INT(B568)</f>
        <v/>
      </c>
      <c r="G568" s="6">
        <f>INT(C568)</f>
        <v/>
      </c>
    </row>
    <row r="569">
      <c r="A569" s="2" t="inlineStr">
        <is>
          <t>Blast</t>
        </is>
      </c>
      <c r="B569" s="3" t="n">
        <v>46058.45835648148</v>
      </c>
      <c r="C569" s="3" t="n">
        <v>46058.45836805556</v>
      </c>
      <c r="D569" s="4">
        <f>(C569-B569)*24</f>
        <v/>
      </c>
      <c r="E569" s="5">
        <f>IF(AND(HOUR(B569)&gt;=6,HOUR(B569)&lt;18),"Day Shift","Night Shift")</f>
        <v/>
      </c>
      <c r="F569" s="6">
        <f>INT(B569)</f>
        <v/>
      </c>
      <c r="G569" s="6">
        <f>INT(C569)</f>
        <v/>
      </c>
    </row>
    <row r="570">
      <c r="A570" s="2" t="inlineStr">
        <is>
          <t>Blast</t>
        </is>
      </c>
      <c r="B570" s="3" t="n">
        <v>46058.45836805556</v>
      </c>
      <c r="C570" s="3" t="n">
        <v>46058.45839120371</v>
      </c>
      <c r="D570" s="4">
        <f>(C570-B570)*24</f>
        <v/>
      </c>
      <c r="E570" s="5">
        <f>IF(AND(HOUR(B570)&gt;=6,HOUR(B570)&lt;18),"Day Shift","Night Shift")</f>
        <v/>
      </c>
      <c r="F570" s="6">
        <f>INT(B570)</f>
        <v/>
      </c>
      <c r="G570" s="6">
        <f>INT(C570)</f>
        <v/>
      </c>
    </row>
    <row r="571">
      <c r="A571" s="2" t="inlineStr">
        <is>
          <t>Blast</t>
        </is>
      </c>
      <c r="B571" s="3" t="n">
        <v>46058.45839120371</v>
      </c>
      <c r="C571" s="3" t="n">
        <v>46058.45846064815</v>
      </c>
      <c r="D571" s="4">
        <f>(C571-B571)*24</f>
        <v/>
      </c>
      <c r="E571" s="5">
        <f>IF(AND(HOUR(B571)&gt;=6,HOUR(B571)&lt;18),"Day Shift","Night Shift")</f>
        <v/>
      </c>
      <c r="F571" s="6">
        <f>INT(B571)</f>
        <v/>
      </c>
      <c r="G571" s="6">
        <f>INT(C571)</f>
        <v/>
      </c>
    </row>
    <row r="572">
      <c r="A572" s="2" t="inlineStr">
        <is>
          <t>Blast</t>
        </is>
      </c>
      <c r="B572" s="3" t="n">
        <v>46058.45846064815</v>
      </c>
      <c r="C572" s="3" t="n">
        <v>46058.45859953704</v>
      </c>
      <c r="D572" s="4">
        <f>(C572-B572)*24</f>
        <v/>
      </c>
      <c r="E572" s="5">
        <f>IF(AND(HOUR(B572)&gt;=6,HOUR(B572)&lt;18),"Day Shift","Night Shift")</f>
        <v/>
      </c>
      <c r="F572" s="6">
        <f>INT(B572)</f>
        <v/>
      </c>
      <c r="G572" s="6">
        <f>INT(C572)</f>
        <v/>
      </c>
    </row>
    <row r="573">
      <c r="A573" s="2" t="inlineStr">
        <is>
          <t>Blast</t>
        </is>
      </c>
      <c r="B573" s="3" t="n">
        <v>46058.45859953704</v>
      </c>
      <c r="C573" s="3" t="n">
        <v>46058.45875</v>
      </c>
      <c r="D573" s="4">
        <f>(C573-B573)*24</f>
        <v/>
      </c>
      <c r="E573" s="5">
        <f>IF(AND(HOUR(B573)&gt;=6,HOUR(B573)&lt;18),"Day Shift","Night Shift")</f>
        <v/>
      </c>
      <c r="F573" s="6">
        <f>INT(B573)</f>
        <v/>
      </c>
      <c r="G573" s="6">
        <f>INT(C573)</f>
        <v/>
      </c>
    </row>
    <row r="574">
      <c r="A574" s="2" t="inlineStr">
        <is>
          <t>Blast</t>
        </is>
      </c>
      <c r="B574" s="3" t="n">
        <v>46058.45875</v>
      </c>
      <c r="C574" s="3" t="n">
        <v>46058.45891203704</v>
      </c>
      <c r="D574" s="4">
        <f>(C574-B574)*24</f>
        <v/>
      </c>
      <c r="E574" s="5">
        <f>IF(AND(HOUR(B574)&gt;=6,HOUR(B574)&lt;18),"Day Shift","Night Shift")</f>
        <v/>
      </c>
      <c r="F574" s="6">
        <f>INT(B574)</f>
        <v/>
      </c>
      <c r="G574" s="6">
        <f>INT(C574)</f>
        <v/>
      </c>
    </row>
    <row r="575">
      <c r="A575" s="2" t="inlineStr">
        <is>
          <t>Blast</t>
        </is>
      </c>
      <c r="B575" s="3" t="n">
        <v>46058.45891203704</v>
      </c>
      <c r="C575" s="3" t="n">
        <v>46058.4590625</v>
      </c>
      <c r="D575" s="4">
        <f>(C575-B575)*24</f>
        <v/>
      </c>
      <c r="E575" s="5">
        <f>IF(AND(HOUR(B575)&gt;=6,HOUR(B575)&lt;18),"Day Shift","Night Shift")</f>
        <v/>
      </c>
      <c r="F575" s="6">
        <f>INT(B575)</f>
        <v/>
      </c>
      <c r="G575" s="6">
        <f>INT(C575)</f>
        <v/>
      </c>
    </row>
    <row r="576">
      <c r="A576" s="2" t="inlineStr">
        <is>
          <t>Blast</t>
        </is>
      </c>
      <c r="B576" s="3" t="n">
        <v>46058.4590625</v>
      </c>
      <c r="C576" s="3" t="n">
        <v>46058.45917824074</v>
      </c>
      <c r="D576" s="4">
        <f>(C576-B576)*24</f>
        <v/>
      </c>
      <c r="E576" s="5">
        <f>IF(AND(HOUR(B576)&gt;=6,HOUR(B576)&lt;18),"Day Shift","Night Shift")</f>
        <v/>
      </c>
      <c r="F576" s="6">
        <f>INT(B576)</f>
        <v/>
      </c>
      <c r="G576" s="6">
        <f>INT(C576)</f>
        <v/>
      </c>
    </row>
    <row r="577">
      <c r="A577" s="2" t="inlineStr">
        <is>
          <t>Blast</t>
        </is>
      </c>
      <c r="B577" s="3" t="n">
        <v>46058.45917824074</v>
      </c>
      <c r="C577" s="3" t="n">
        <v>46058.45924768518</v>
      </c>
      <c r="D577" s="4">
        <f>(C577-B577)*24</f>
        <v/>
      </c>
      <c r="E577" s="5">
        <f>IF(AND(HOUR(B577)&gt;=6,HOUR(B577)&lt;18),"Day Shift","Night Shift")</f>
        <v/>
      </c>
      <c r="F577" s="6">
        <f>INT(B577)</f>
        <v/>
      </c>
      <c r="G577" s="6">
        <f>INT(C577)</f>
        <v/>
      </c>
    </row>
    <row r="578">
      <c r="A578" s="2" t="inlineStr">
        <is>
          <t>Blast</t>
        </is>
      </c>
      <c r="B578" s="3" t="n">
        <v>46058.45924768518</v>
      </c>
      <c r="C578" s="3" t="n">
        <v>46058.45930555555</v>
      </c>
      <c r="D578" s="4">
        <f>(C578-B578)*24</f>
        <v/>
      </c>
      <c r="E578" s="5">
        <f>IF(AND(HOUR(B578)&gt;=6,HOUR(B578)&lt;18),"Day Shift","Night Shift")</f>
        <v/>
      </c>
      <c r="F578" s="6">
        <f>INT(B578)</f>
        <v/>
      </c>
      <c r="G578" s="6">
        <f>INT(C578)</f>
        <v/>
      </c>
    </row>
    <row r="579">
      <c r="A579" s="2" t="inlineStr">
        <is>
          <t>Blast</t>
        </is>
      </c>
      <c r="B579" s="3" t="n">
        <v>46058.45930555555</v>
      </c>
      <c r="C579" s="3" t="n">
        <v>46058.45931712963</v>
      </c>
      <c r="D579" s="4">
        <f>(C579-B579)*24</f>
        <v/>
      </c>
      <c r="E579" s="5">
        <f>IF(AND(HOUR(B579)&gt;=6,HOUR(B579)&lt;18),"Day Shift","Night Shift")</f>
        <v/>
      </c>
      <c r="F579" s="6">
        <f>INT(B579)</f>
        <v/>
      </c>
      <c r="G579" s="6">
        <f>INT(C579)</f>
        <v/>
      </c>
    </row>
    <row r="580">
      <c r="A580" s="2" t="inlineStr">
        <is>
          <t>Blast</t>
        </is>
      </c>
      <c r="B580" s="3" t="n">
        <v>46058.45931712963</v>
      </c>
      <c r="C580" s="3" t="n">
        <v>46058.45938657408</v>
      </c>
      <c r="D580" s="4">
        <f>(C580-B580)*24</f>
        <v/>
      </c>
      <c r="E580" s="5">
        <f>IF(AND(HOUR(B580)&gt;=6,HOUR(B580)&lt;18),"Day Shift","Night Shift")</f>
        <v/>
      </c>
      <c r="F580" s="6">
        <f>INT(B580)</f>
        <v/>
      </c>
      <c r="G580" s="6">
        <f>INT(C580)</f>
        <v/>
      </c>
    </row>
    <row r="581">
      <c r="A581" s="2" t="inlineStr">
        <is>
          <t>Blast</t>
        </is>
      </c>
      <c r="B581" s="3" t="n">
        <v>46058.45938657408</v>
      </c>
      <c r="C581" s="3" t="n">
        <v>46058.45950231481</v>
      </c>
      <c r="D581" s="4">
        <f>(C581-B581)*24</f>
        <v/>
      </c>
      <c r="E581" s="5">
        <f>IF(AND(HOUR(B581)&gt;=6,HOUR(B581)&lt;18),"Day Shift","Night Shift")</f>
        <v/>
      </c>
      <c r="F581" s="6">
        <f>INT(B581)</f>
        <v/>
      </c>
      <c r="G581" s="6">
        <f>INT(C581)</f>
        <v/>
      </c>
    </row>
    <row r="582">
      <c r="A582" s="2" t="inlineStr">
        <is>
          <t>Blast</t>
        </is>
      </c>
      <c r="B582" s="3" t="n">
        <v>46058.45950231481</v>
      </c>
      <c r="C582" s="3" t="n">
        <v>46058.4596875</v>
      </c>
      <c r="D582" s="4">
        <f>(C582-B582)*24</f>
        <v/>
      </c>
      <c r="E582" s="5">
        <f>IF(AND(HOUR(B582)&gt;=6,HOUR(B582)&lt;18),"Day Shift","Night Shift")</f>
        <v/>
      </c>
      <c r="F582" s="6">
        <f>INT(B582)</f>
        <v/>
      </c>
      <c r="G582" s="6">
        <f>INT(C582)</f>
        <v/>
      </c>
    </row>
    <row r="583">
      <c r="A583" s="2" t="inlineStr">
        <is>
          <t>Blast</t>
        </is>
      </c>
      <c r="B583" s="3" t="n">
        <v>46058.4596875</v>
      </c>
      <c r="C583" s="3" t="n">
        <v>46058.45987268518</v>
      </c>
      <c r="D583" s="4">
        <f>(C583-B583)*24</f>
        <v/>
      </c>
      <c r="E583" s="5">
        <f>IF(AND(HOUR(B583)&gt;=6,HOUR(B583)&lt;18),"Day Shift","Night Shift")</f>
        <v/>
      </c>
      <c r="F583" s="6">
        <f>INT(B583)</f>
        <v/>
      </c>
      <c r="G583" s="6">
        <f>INT(C583)</f>
        <v/>
      </c>
    </row>
    <row r="584">
      <c r="A584" s="2" t="inlineStr">
        <is>
          <t>Blast</t>
        </is>
      </c>
      <c r="B584" s="3" t="n">
        <v>46058.45987268518</v>
      </c>
      <c r="C584" s="3" t="n">
        <v>46058.46005787037</v>
      </c>
      <c r="D584" s="4">
        <f>(C584-B584)*24</f>
        <v/>
      </c>
      <c r="E584" s="5">
        <f>IF(AND(HOUR(B584)&gt;=6,HOUR(B584)&lt;18),"Day Shift","Night Shift")</f>
        <v/>
      </c>
      <c r="F584" s="6">
        <f>INT(B584)</f>
        <v/>
      </c>
      <c r="G584" s="6">
        <f>INT(C584)</f>
        <v/>
      </c>
    </row>
    <row r="585">
      <c r="A585" s="2" t="inlineStr">
        <is>
          <t>Blast</t>
        </is>
      </c>
      <c r="B585" s="3" t="n">
        <v>46058.46005787037</v>
      </c>
      <c r="C585" s="3" t="n">
        <v>46058.46020833333</v>
      </c>
      <c r="D585" s="4">
        <f>(C585-B585)*24</f>
        <v/>
      </c>
      <c r="E585" s="5">
        <f>IF(AND(HOUR(B585)&gt;=6,HOUR(B585)&lt;18),"Day Shift","Night Shift")</f>
        <v/>
      </c>
      <c r="F585" s="6">
        <f>INT(B585)</f>
        <v/>
      </c>
      <c r="G585" s="6">
        <f>INT(C585)</f>
        <v/>
      </c>
    </row>
    <row r="586">
      <c r="A586" s="2" t="inlineStr">
        <is>
          <t>Blast</t>
        </is>
      </c>
      <c r="B586" s="3" t="n">
        <v>46058.46020833333</v>
      </c>
      <c r="C586" s="3" t="n">
        <v>46058.46030092592</v>
      </c>
      <c r="D586" s="4">
        <f>(C586-B586)*24</f>
        <v/>
      </c>
      <c r="E586" s="5">
        <f>IF(AND(HOUR(B586)&gt;=6,HOUR(B586)&lt;18),"Day Shift","Night Shift")</f>
        <v/>
      </c>
      <c r="F586" s="6">
        <f>INT(B586)</f>
        <v/>
      </c>
      <c r="G586" s="6">
        <f>INT(C586)</f>
        <v/>
      </c>
    </row>
    <row r="587">
      <c r="A587" s="2" t="inlineStr">
        <is>
          <t>Blast</t>
        </is>
      </c>
      <c r="B587" s="3" t="n">
        <v>46058.46030092592</v>
      </c>
      <c r="C587" s="3" t="n">
        <v>46058.46034722222</v>
      </c>
      <c r="D587" s="4">
        <f>(C587-B587)*24</f>
        <v/>
      </c>
      <c r="E587" s="5">
        <f>IF(AND(HOUR(B587)&gt;=6,HOUR(B587)&lt;18),"Day Shift","Night Shift")</f>
        <v/>
      </c>
      <c r="F587" s="6">
        <f>INT(B587)</f>
        <v/>
      </c>
      <c r="G587" s="6">
        <f>INT(C587)</f>
        <v/>
      </c>
    </row>
    <row r="588">
      <c r="A588" s="2" t="inlineStr">
        <is>
          <t>Blast</t>
        </is>
      </c>
      <c r="B588" s="3" t="n">
        <v>46058.46034722222</v>
      </c>
      <c r="C588" s="3" t="n">
        <v>46058.4603587963</v>
      </c>
      <c r="D588" s="4">
        <f>(C588-B588)*24</f>
        <v/>
      </c>
      <c r="E588" s="5">
        <f>IF(AND(HOUR(B588)&gt;=6,HOUR(B588)&lt;18),"Day Shift","Night Shift")</f>
        <v/>
      </c>
      <c r="F588" s="6">
        <f>INT(B588)</f>
        <v/>
      </c>
      <c r="G588" s="6">
        <f>INT(C588)</f>
        <v/>
      </c>
    </row>
    <row r="589">
      <c r="A589" s="2" t="inlineStr">
        <is>
          <t>Blast</t>
        </is>
      </c>
      <c r="B589" s="3" t="n">
        <v>46058.4603587963</v>
      </c>
      <c r="C589" s="3" t="n">
        <v>46058.46038194445</v>
      </c>
      <c r="D589" s="4">
        <f>(C589-B589)*24</f>
        <v/>
      </c>
      <c r="E589" s="5">
        <f>IF(AND(HOUR(B589)&gt;=6,HOUR(B589)&lt;18),"Day Shift","Night Shift")</f>
        <v/>
      </c>
      <c r="F589" s="6">
        <f>INT(B589)</f>
        <v/>
      </c>
      <c r="G589" s="6">
        <f>INT(C589)</f>
        <v/>
      </c>
    </row>
    <row r="590">
      <c r="A590" s="2" t="inlineStr">
        <is>
          <t>Blast</t>
        </is>
      </c>
      <c r="B590" s="3" t="n">
        <v>46058.46038194445</v>
      </c>
      <c r="C590" s="3" t="n">
        <v>46058.46048611111</v>
      </c>
      <c r="D590" s="4">
        <f>(C590-B590)*24</f>
        <v/>
      </c>
      <c r="E590" s="5">
        <f>IF(AND(HOUR(B590)&gt;=6,HOUR(B590)&lt;18),"Day Shift","Night Shift")</f>
        <v/>
      </c>
      <c r="F590" s="6">
        <f>INT(B590)</f>
        <v/>
      </c>
      <c r="G590" s="6">
        <f>INT(C590)</f>
        <v/>
      </c>
    </row>
    <row r="591">
      <c r="A591" s="2" t="inlineStr">
        <is>
          <t>Blast</t>
        </is>
      </c>
      <c r="B591" s="3" t="n">
        <v>46058.46048611111</v>
      </c>
      <c r="C591" s="3" t="n">
        <v>46058.46065972222</v>
      </c>
      <c r="D591" s="4">
        <f>(C591-B591)*24</f>
        <v/>
      </c>
      <c r="E591" s="5">
        <f>IF(AND(HOUR(B591)&gt;=6,HOUR(B591)&lt;18),"Day Shift","Night Shift")</f>
        <v/>
      </c>
      <c r="F591" s="6">
        <f>INT(B591)</f>
        <v/>
      </c>
      <c r="G591" s="6">
        <f>INT(C591)</f>
        <v/>
      </c>
    </row>
    <row r="592">
      <c r="A592" s="2" t="inlineStr">
        <is>
          <t>Blast</t>
        </is>
      </c>
      <c r="B592" s="3" t="n">
        <v>46058.46065972222</v>
      </c>
      <c r="C592" s="3" t="n">
        <v>46058.46083333333</v>
      </c>
      <c r="D592" s="4">
        <f>(C592-B592)*24</f>
        <v/>
      </c>
      <c r="E592" s="5">
        <f>IF(AND(HOUR(B592)&gt;=6,HOUR(B592)&lt;18),"Day Shift","Night Shift")</f>
        <v/>
      </c>
      <c r="F592" s="6">
        <f>INT(B592)</f>
        <v/>
      </c>
      <c r="G592" s="6">
        <f>INT(C592)</f>
        <v/>
      </c>
    </row>
    <row r="593">
      <c r="A593" s="2" t="inlineStr">
        <is>
          <t>Blast</t>
        </is>
      </c>
      <c r="B593" s="3" t="n">
        <v>46058.46083333333</v>
      </c>
      <c r="C593" s="3" t="n">
        <v>46058.46103009259</v>
      </c>
      <c r="D593" s="4">
        <f>(C593-B593)*24</f>
        <v/>
      </c>
      <c r="E593" s="5">
        <f>IF(AND(HOUR(B593)&gt;=6,HOUR(B593)&lt;18),"Day Shift","Night Shift")</f>
        <v/>
      </c>
      <c r="F593" s="6">
        <f>INT(B593)</f>
        <v/>
      </c>
      <c r="G593" s="6">
        <f>INT(C593)</f>
        <v/>
      </c>
    </row>
    <row r="594">
      <c r="A594" s="2" t="inlineStr">
        <is>
          <t>Blast</t>
        </is>
      </c>
      <c r="B594" s="3" t="n">
        <v>46058.46103009259</v>
      </c>
      <c r="C594" s="3" t="n">
        <v>46058.4612037037</v>
      </c>
      <c r="D594" s="4">
        <f>(C594-B594)*24</f>
        <v/>
      </c>
      <c r="E594" s="5">
        <f>IF(AND(HOUR(B594)&gt;=6,HOUR(B594)&lt;18),"Day Shift","Night Shift")</f>
        <v/>
      </c>
      <c r="F594" s="6">
        <f>INT(B594)</f>
        <v/>
      </c>
      <c r="G594" s="6">
        <f>INT(C594)</f>
        <v/>
      </c>
    </row>
    <row r="595">
      <c r="A595" s="2" t="inlineStr">
        <is>
          <t>Blast</t>
        </is>
      </c>
      <c r="B595" s="3" t="n">
        <v>46058.4612037037</v>
      </c>
      <c r="C595" s="3" t="n">
        <v>46058.46137731482</v>
      </c>
      <c r="D595" s="4">
        <f>(C595-B595)*24</f>
        <v/>
      </c>
      <c r="E595" s="5">
        <f>IF(AND(HOUR(B595)&gt;=6,HOUR(B595)&lt;18),"Day Shift","Night Shift")</f>
        <v/>
      </c>
      <c r="F595" s="6">
        <f>INT(B595)</f>
        <v/>
      </c>
      <c r="G595" s="6">
        <f>INT(C595)</f>
        <v/>
      </c>
    </row>
    <row r="596">
      <c r="A596" s="2" t="inlineStr">
        <is>
          <t>Blast</t>
        </is>
      </c>
      <c r="B596" s="3" t="n">
        <v>46058.46137731482</v>
      </c>
      <c r="C596" s="3" t="n">
        <v>46058.46149305555</v>
      </c>
      <c r="D596" s="4">
        <f>(C596-B596)*24</f>
        <v/>
      </c>
      <c r="E596" s="5">
        <f>IF(AND(HOUR(B596)&gt;=6,HOUR(B596)&lt;18),"Day Shift","Night Shift")</f>
        <v/>
      </c>
      <c r="F596" s="6">
        <f>INT(B596)</f>
        <v/>
      </c>
      <c r="G596" s="6">
        <f>INT(C596)</f>
        <v/>
      </c>
    </row>
    <row r="597">
      <c r="A597" s="2" t="inlineStr">
        <is>
          <t>Blast</t>
        </is>
      </c>
      <c r="B597" s="3" t="n">
        <v>46058.46149305555</v>
      </c>
      <c r="C597" s="3" t="n">
        <v>46058.4615162037</v>
      </c>
      <c r="D597" s="4">
        <f>(C597-B597)*24</f>
        <v/>
      </c>
      <c r="E597" s="5">
        <f>IF(AND(HOUR(B597)&gt;=6,HOUR(B597)&lt;18),"Day Shift","Night Shift")</f>
        <v/>
      </c>
      <c r="F597" s="6">
        <f>INT(B597)</f>
        <v/>
      </c>
      <c r="G597" s="6">
        <f>INT(C597)</f>
        <v/>
      </c>
    </row>
    <row r="598">
      <c r="A598" s="2" t="inlineStr">
        <is>
          <t>EDD175;EDD2134</t>
        </is>
      </c>
      <c r="B598" s="3" t="n">
        <v>46058.46407407407</v>
      </c>
      <c r="C598" s="3" t="n">
        <v>46058.75</v>
      </c>
      <c r="D598" s="4">
        <f>(C598-B598)*24</f>
        <v/>
      </c>
      <c r="E598" s="5">
        <f>IF(AND(HOUR(B598)&gt;=6,HOUR(B598)&lt;18),"Day Shift","Night Shift")</f>
        <v/>
      </c>
      <c r="F598" s="6">
        <f>INT(B598)</f>
        <v/>
      </c>
      <c r="G598" s="6">
        <f>INT(C598)</f>
        <v/>
      </c>
    </row>
    <row r="599">
      <c r="A599" s="7" t="inlineStr">
        <is>
          <t>EDD175;EDD2134</t>
        </is>
      </c>
      <c r="B599" s="8" t="n">
        <v>46058.75</v>
      </c>
      <c r="C599" s="8" t="n">
        <v>46058.78619212963</v>
      </c>
      <c r="D599" s="9">
        <f>(C599-B599)*24</f>
        <v/>
      </c>
      <c r="E599" s="10">
        <f>IF(AND(HOUR(B599)&gt;=6,HOUR(B599)&lt;18),"Day Shift","Night Shift")</f>
        <v/>
      </c>
      <c r="F599" s="11">
        <f>INT(B599)</f>
        <v/>
      </c>
      <c r="G599" s="11">
        <f>INT(C599)</f>
        <v/>
      </c>
    </row>
    <row r="600">
      <c r="A600" s="2" t="inlineStr">
        <is>
          <t>EDD1932</t>
        </is>
      </c>
      <c r="B600" s="3" t="n">
        <v>46058.48509259259</v>
      </c>
      <c r="C600" s="3" t="n">
        <v>46058.73377314815</v>
      </c>
      <c r="D600" s="4">
        <f>(C600-B600)*24</f>
        <v/>
      </c>
      <c r="E600" s="5">
        <f>IF(AND(HOUR(B600)&gt;=6,HOUR(B600)&lt;18),"Day Shift","Night Shift")</f>
        <v/>
      </c>
      <c r="F600" s="6">
        <f>INT(B600)</f>
        <v/>
      </c>
      <c r="G600" s="6">
        <f>INT(C600)</f>
        <v/>
      </c>
    </row>
    <row r="601">
      <c r="A601" s="2" t="inlineStr">
        <is>
          <t>Blast Crew</t>
        </is>
      </c>
      <c r="B601" s="3" t="n">
        <v>46058.51233796297</v>
      </c>
      <c r="C601" s="3" t="n">
        <v>46058.65101851852</v>
      </c>
      <c r="D601" s="4">
        <f>(C601-B601)*24</f>
        <v/>
      </c>
      <c r="E601" s="5">
        <f>IF(AND(HOUR(B601)&gt;=6,HOUR(B601)&lt;18),"Day Shift","Night Shift")</f>
        <v/>
      </c>
      <c r="F601" s="6">
        <f>INT(B601)</f>
        <v/>
      </c>
      <c r="G601" s="6">
        <f>INT(C601)</f>
        <v/>
      </c>
    </row>
    <row r="602">
      <c r="A602" s="2" t="inlineStr">
        <is>
          <t>EXD73</t>
        </is>
      </c>
      <c r="B602" s="3" t="n">
        <v>46058.52042824074</v>
      </c>
      <c r="C602" s="3" t="n">
        <v>46058.75</v>
      </c>
      <c r="D602" s="4">
        <f>(C602-B602)*24</f>
        <v/>
      </c>
      <c r="E602" s="5">
        <f>IF(AND(HOUR(B602)&gt;=6,HOUR(B602)&lt;18),"Day Shift","Night Shift")</f>
        <v/>
      </c>
      <c r="F602" s="6">
        <f>INT(B602)</f>
        <v/>
      </c>
      <c r="G602" s="6">
        <f>INT(C602)</f>
        <v/>
      </c>
    </row>
    <row r="603">
      <c r="A603" s="7" t="inlineStr">
        <is>
          <t>EXD73</t>
        </is>
      </c>
      <c r="B603" s="8" t="n">
        <v>46058.75</v>
      </c>
      <c r="C603" s="8" t="n">
        <v>46059.25</v>
      </c>
      <c r="D603" s="9">
        <f>(C603-B603)*24</f>
        <v/>
      </c>
      <c r="E603" s="10">
        <f>IF(AND(HOUR(B603)&gt;=6,HOUR(B603)&lt;18),"Day Shift","Night Shift")</f>
        <v/>
      </c>
      <c r="F603" s="11">
        <f>INT(B603)</f>
        <v/>
      </c>
      <c r="G603" s="11">
        <f>INT(C603)</f>
        <v/>
      </c>
    </row>
    <row r="604">
      <c r="A604" s="2" t="inlineStr">
        <is>
          <t>EXD73</t>
        </is>
      </c>
      <c r="B604" s="3" t="n">
        <v>46059.25</v>
      </c>
      <c r="C604" s="3" t="n">
        <v>46059.75</v>
      </c>
      <c r="D604" s="4">
        <f>(C604-B604)*24</f>
        <v/>
      </c>
      <c r="E604" s="5">
        <f>IF(AND(HOUR(B604)&gt;=6,HOUR(B604)&lt;18),"Day Shift","Night Shift")</f>
        <v/>
      </c>
      <c r="F604" s="6">
        <f>INT(B604)</f>
        <v/>
      </c>
      <c r="G604" s="6">
        <f>INT(C604)</f>
        <v/>
      </c>
    </row>
    <row r="605">
      <c r="A605" s="7" t="inlineStr">
        <is>
          <t>EXD73</t>
        </is>
      </c>
      <c r="B605" s="8" t="n">
        <v>46059.75</v>
      </c>
      <c r="C605" s="8" t="n">
        <v>46060.15299768518</v>
      </c>
      <c r="D605" s="9">
        <f>(C605-B605)*24</f>
        <v/>
      </c>
      <c r="E605" s="10">
        <f>IF(AND(HOUR(B605)&gt;=6,HOUR(B605)&lt;18),"Day Shift","Night Shift")</f>
        <v/>
      </c>
      <c r="F605" s="11">
        <f>INT(B605)</f>
        <v/>
      </c>
      <c r="G605" s="11">
        <f>INT(C605)</f>
        <v/>
      </c>
    </row>
    <row r="606">
      <c r="A606" s="2" t="inlineStr">
        <is>
          <t>EDD812</t>
        </is>
      </c>
      <c r="B606" s="3" t="n">
        <v>46058.52074074074</v>
      </c>
      <c r="C606" s="3" t="n">
        <v>46058.75</v>
      </c>
      <c r="D606" s="4">
        <f>(C606-B606)*24</f>
        <v/>
      </c>
      <c r="E606" s="5">
        <f>IF(AND(HOUR(B606)&gt;=6,HOUR(B606)&lt;18),"Day Shift","Night Shift")</f>
        <v/>
      </c>
      <c r="F606" s="6">
        <f>INT(B606)</f>
        <v/>
      </c>
      <c r="G606" s="6">
        <f>INT(C606)</f>
        <v/>
      </c>
    </row>
    <row r="607">
      <c r="A607" s="7" t="inlineStr">
        <is>
          <t>EDD812</t>
        </is>
      </c>
      <c r="B607" s="8" t="n">
        <v>46058.75</v>
      </c>
      <c r="C607" s="8" t="n">
        <v>46059.12106481481</v>
      </c>
      <c r="D607" s="9">
        <f>(C607-B607)*24</f>
        <v/>
      </c>
      <c r="E607" s="10">
        <f>IF(AND(HOUR(B607)&gt;=6,HOUR(B607)&lt;18),"Day Shift","Night Shift")</f>
        <v/>
      </c>
      <c r="F607" s="11">
        <f>INT(B607)</f>
        <v/>
      </c>
      <c r="G607" s="11">
        <f>INT(C607)</f>
        <v/>
      </c>
    </row>
    <row r="608">
      <c r="A608" s="2" t="inlineStr">
        <is>
          <t>DRE42</t>
        </is>
      </c>
      <c r="B608" s="3" t="n">
        <v>46058.52886574074</v>
      </c>
      <c r="C608" s="3" t="n">
        <v>46058.75</v>
      </c>
      <c r="D608" s="4">
        <f>(C608-B608)*24</f>
        <v/>
      </c>
      <c r="E608" s="5">
        <f>IF(AND(HOUR(B608)&gt;=6,HOUR(B608)&lt;18),"Day Shift","Night Shift")</f>
        <v/>
      </c>
      <c r="F608" s="6">
        <f>INT(B608)</f>
        <v/>
      </c>
      <c r="G608" s="6">
        <f>INT(C608)</f>
        <v/>
      </c>
    </row>
    <row r="609">
      <c r="A609" s="7" t="inlineStr">
        <is>
          <t>DRE42</t>
        </is>
      </c>
      <c r="B609" s="8" t="n">
        <v>46058.75</v>
      </c>
      <c r="C609" s="8" t="n">
        <v>46059.25</v>
      </c>
      <c r="D609" s="9">
        <f>(C609-B609)*24</f>
        <v/>
      </c>
      <c r="E609" s="10">
        <f>IF(AND(HOUR(B609)&gt;=6,HOUR(B609)&lt;18),"Day Shift","Night Shift")</f>
        <v/>
      </c>
      <c r="F609" s="11">
        <f>INT(B609)</f>
        <v/>
      </c>
      <c r="G609" s="11">
        <f>INT(C609)</f>
        <v/>
      </c>
    </row>
    <row r="610">
      <c r="A610" s="2" t="inlineStr">
        <is>
          <t>DRE42</t>
        </is>
      </c>
      <c r="B610" s="3" t="n">
        <v>46059.25</v>
      </c>
      <c r="C610" s="3" t="n">
        <v>46059.75</v>
      </c>
      <c r="D610" s="4">
        <f>(C610-B610)*24</f>
        <v/>
      </c>
      <c r="E610" s="5">
        <f>IF(AND(HOUR(B610)&gt;=6,HOUR(B610)&lt;18),"Day Shift","Night Shift")</f>
        <v/>
      </c>
      <c r="F610" s="6">
        <f>INT(B610)</f>
        <v/>
      </c>
      <c r="G610" s="6">
        <f>INT(C610)</f>
        <v/>
      </c>
    </row>
    <row r="611">
      <c r="A611" s="7" t="inlineStr">
        <is>
          <t>DRE42</t>
        </is>
      </c>
      <c r="B611" s="8" t="n">
        <v>46059.75</v>
      </c>
      <c r="C611" s="8" t="n">
        <v>46060.25</v>
      </c>
      <c r="D611" s="9">
        <f>(C611-B611)*24</f>
        <v/>
      </c>
      <c r="E611" s="10">
        <f>IF(AND(HOUR(B611)&gt;=6,HOUR(B611)&lt;18),"Day Shift","Night Shift")</f>
        <v/>
      </c>
      <c r="F611" s="11">
        <f>INT(B611)</f>
        <v/>
      </c>
      <c r="G611" s="11">
        <f>INT(C611)</f>
        <v/>
      </c>
    </row>
    <row r="612">
      <c r="A612" s="2" t="inlineStr">
        <is>
          <t>DRE42</t>
        </is>
      </c>
      <c r="B612" s="3" t="n">
        <v>46060.25</v>
      </c>
      <c r="C612" s="3" t="n">
        <v>46060.75</v>
      </c>
      <c r="D612" s="4">
        <f>(C612-B612)*24</f>
        <v/>
      </c>
      <c r="E612" s="5">
        <f>IF(AND(HOUR(B612)&gt;=6,HOUR(B612)&lt;18),"Day Shift","Night Shift")</f>
        <v/>
      </c>
      <c r="F612" s="6">
        <f>INT(B612)</f>
        <v/>
      </c>
      <c r="G612" s="6">
        <f>INT(C612)</f>
        <v/>
      </c>
    </row>
    <row r="613">
      <c r="A613" s="7" t="inlineStr">
        <is>
          <t>DRE42</t>
        </is>
      </c>
      <c r="B613" s="8" t="n">
        <v>46060.75</v>
      </c>
      <c r="C613" s="8" t="n">
        <v>46060.84821759259</v>
      </c>
      <c r="D613" s="9">
        <f>(C613-B613)*24</f>
        <v/>
      </c>
      <c r="E613" s="10">
        <f>IF(AND(HOUR(B613)&gt;=6,HOUR(B613)&lt;18),"Day Shift","Night Shift")</f>
        <v/>
      </c>
      <c r="F613" s="11">
        <f>INT(B613)</f>
        <v/>
      </c>
      <c r="G613" s="11">
        <f>INT(C613)</f>
        <v/>
      </c>
    </row>
    <row r="614">
      <c r="A614" s="2" t="inlineStr">
        <is>
          <t>DRE09</t>
        </is>
      </c>
      <c r="B614" s="3" t="n">
        <v>46058.54408564815</v>
      </c>
      <c r="C614" s="3" t="n">
        <v>46058.75</v>
      </c>
      <c r="D614" s="4">
        <f>(C614-B614)*24</f>
        <v/>
      </c>
      <c r="E614" s="5">
        <f>IF(AND(HOUR(B614)&gt;=6,HOUR(B614)&lt;18),"Day Shift","Night Shift")</f>
        <v/>
      </c>
      <c r="F614" s="6">
        <f>INT(B614)</f>
        <v/>
      </c>
      <c r="G614" s="6">
        <f>INT(C614)</f>
        <v/>
      </c>
    </row>
    <row r="615">
      <c r="A615" s="7" t="inlineStr">
        <is>
          <t>DRE09</t>
        </is>
      </c>
      <c r="B615" s="8" t="n">
        <v>46058.75</v>
      </c>
      <c r="C615" s="8" t="n">
        <v>46058.76497685185</v>
      </c>
      <c r="D615" s="9">
        <f>(C615-B615)*24</f>
        <v/>
      </c>
      <c r="E615" s="10">
        <f>IF(AND(HOUR(B615)&gt;=6,HOUR(B615)&lt;18),"Day Shift","Night Shift")</f>
        <v/>
      </c>
      <c r="F615" s="11">
        <f>INT(B615)</f>
        <v/>
      </c>
      <c r="G615" s="11">
        <f>INT(C615)</f>
        <v/>
      </c>
    </row>
    <row r="616">
      <c r="A616" s="2" t="inlineStr">
        <is>
          <t>SHE36;EXD101</t>
        </is>
      </c>
      <c r="B616" s="3" t="n">
        <v>46058.55962962963</v>
      </c>
      <c r="C616" s="3" t="n">
        <v>46058.75</v>
      </c>
      <c r="D616" s="4">
        <f>(C616-B616)*24</f>
        <v/>
      </c>
      <c r="E616" s="5">
        <f>IF(AND(HOUR(B616)&gt;=6,HOUR(B616)&lt;18),"Day Shift","Night Shift")</f>
        <v/>
      </c>
      <c r="F616" s="6">
        <f>INT(B616)</f>
        <v/>
      </c>
      <c r="G616" s="6">
        <f>INT(C616)</f>
        <v/>
      </c>
    </row>
    <row r="617">
      <c r="A617" s="7" t="inlineStr">
        <is>
          <t>SHE36;EXD101</t>
        </is>
      </c>
      <c r="B617" s="8" t="n">
        <v>46058.75</v>
      </c>
      <c r="C617" s="8" t="n">
        <v>46059.25</v>
      </c>
      <c r="D617" s="9">
        <f>(C617-B617)*24</f>
        <v/>
      </c>
      <c r="E617" s="10">
        <f>IF(AND(HOUR(B617)&gt;=6,HOUR(B617)&lt;18),"Day Shift","Night Shift")</f>
        <v/>
      </c>
      <c r="F617" s="11">
        <f>INT(B617)</f>
        <v/>
      </c>
      <c r="G617" s="11">
        <f>INT(C617)</f>
        <v/>
      </c>
    </row>
    <row r="618">
      <c r="A618" s="2" t="inlineStr">
        <is>
          <t>SHE36;EXD101</t>
        </is>
      </c>
      <c r="B618" s="3" t="n">
        <v>46059.25</v>
      </c>
      <c r="C618" s="3" t="n">
        <v>46059.75</v>
      </c>
      <c r="D618" s="4">
        <f>(C618-B618)*24</f>
        <v/>
      </c>
      <c r="E618" s="5">
        <f>IF(AND(HOUR(B618)&gt;=6,HOUR(B618)&lt;18),"Day Shift","Night Shift")</f>
        <v/>
      </c>
      <c r="F618" s="6">
        <f>INT(B618)</f>
        <v/>
      </c>
      <c r="G618" s="6">
        <f>INT(C618)</f>
        <v/>
      </c>
    </row>
    <row r="619">
      <c r="A619" s="7" t="inlineStr">
        <is>
          <t>SHE36;EXD101</t>
        </is>
      </c>
      <c r="B619" s="8" t="n">
        <v>46059.75</v>
      </c>
      <c r="C619" s="8" t="n">
        <v>46060.25</v>
      </c>
      <c r="D619" s="9">
        <f>(C619-B619)*24</f>
        <v/>
      </c>
      <c r="E619" s="10">
        <f>IF(AND(HOUR(B619)&gt;=6,HOUR(B619)&lt;18),"Day Shift","Night Shift")</f>
        <v/>
      </c>
      <c r="F619" s="11">
        <f>INT(B619)</f>
        <v/>
      </c>
      <c r="G619" s="11">
        <f>INT(C619)</f>
        <v/>
      </c>
    </row>
    <row r="620">
      <c r="A620" s="2" t="inlineStr">
        <is>
          <t>SHE36;EXD101</t>
        </is>
      </c>
      <c r="B620" s="3" t="n">
        <v>46060.25</v>
      </c>
      <c r="C620" s="3" t="n">
        <v>46060.75</v>
      </c>
      <c r="D620" s="4">
        <f>(C620-B620)*24</f>
        <v/>
      </c>
      <c r="E620" s="5">
        <f>IF(AND(HOUR(B620)&gt;=6,HOUR(B620)&lt;18),"Day Shift","Night Shift")</f>
        <v/>
      </c>
      <c r="F620" s="6">
        <f>INT(B620)</f>
        <v/>
      </c>
      <c r="G620" s="6">
        <f>INT(C620)</f>
        <v/>
      </c>
    </row>
    <row r="621">
      <c r="A621" s="7" t="inlineStr">
        <is>
          <t>SHE36;EXD101</t>
        </is>
      </c>
      <c r="B621" s="8" t="n">
        <v>46060.75</v>
      </c>
      <c r="C621" s="8" t="n">
        <v>46061.25</v>
      </c>
      <c r="D621" s="9">
        <f>(C621-B621)*24</f>
        <v/>
      </c>
      <c r="E621" s="10">
        <f>IF(AND(HOUR(B621)&gt;=6,HOUR(B621)&lt;18),"Day Shift","Night Shift")</f>
        <v/>
      </c>
      <c r="F621" s="11">
        <f>INT(B621)</f>
        <v/>
      </c>
      <c r="G621" s="11">
        <f>INT(C621)</f>
        <v/>
      </c>
    </row>
    <row r="622">
      <c r="A622" s="2" t="inlineStr">
        <is>
          <t>SHE36;EXD101</t>
        </is>
      </c>
      <c r="B622" s="3" t="n">
        <v>46061.25</v>
      </c>
      <c r="C622" s="3" t="n">
        <v>46061.75</v>
      </c>
      <c r="D622" s="4">
        <f>(C622-B622)*24</f>
        <v/>
      </c>
      <c r="E622" s="5">
        <f>IF(AND(HOUR(B622)&gt;=6,HOUR(B622)&lt;18),"Day Shift","Night Shift")</f>
        <v/>
      </c>
      <c r="F622" s="6">
        <f>INT(B622)</f>
        <v/>
      </c>
      <c r="G622" s="6">
        <f>INT(C622)</f>
        <v/>
      </c>
    </row>
    <row r="623">
      <c r="A623" s="7" t="inlineStr">
        <is>
          <t>SHE36;EXD101</t>
        </is>
      </c>
      <c r="B623" s="8" t="n">
        <v>46061.75</v>
      </c>
      <c r="C623" s="8" t="n">
        <v>46062.25</v>
      </c>
      <c r="D623" s="9">
        <f>(C623-B623)*24</f>
        <v/>
      </c>
      <c r="E623" s="10">
        <f>IF(AND(HOUR(B623)&gt;=6,HOUR(B623)&lt;18),"Day Shift","Night Shift")</f>
        <v/>
      </c>
      <c r="F623" s="11">
        <f>INT(B623)</f>
        <v/>
      </c>
      <c r="G623" s="11">
        <f>INT(C623)</f>
        <v/>
      </c>
    </row>
    <row r="624">
      <c r="A624" s="2" t="inlineStr">
        <is>
          <t>SHE36;EXD101</t>
        </is>
      </c>
      <c r="B624" s="3" t="n">
        <v>46062.25</v>
      </c>
      <c r="C624" s="3" t="n">
        <v>46062.75</v>
      </c>
      <c r="D624" s="4">
        <f>(C624-B624)*24</f>
        <v/>
      </c>
      <c r="E624" s="5">
        <f>IF(AND(HOUR(B624)&gt;=6,HOUR(B624)&lt;18),"Day Shift","Night Shift")</f>
        <v/>
      </c>
      <c r="F624" s="6">
        <f>INT(B624)</f>
        <v/>
      </c>
      <c r="G624" s="6">
        <f>INT(C624)</f>
        <v/>
      </c>
    </row>
    <row r="625">
      <c r="A625" s="7" t="inlineStr">
        <is>
          <t>SHE36;EXD101</t>
        </is>
      </c>
      <c r="B625" s="8" t="n">
        <v>46062.75</v>
      </c>
      <c r="C625" s="8" t="n">
        <v>46063.25</v>
      </c>
      <c r="D625" s="9">
        <f>(C625-B625)*24</f>
        <v/>
      </c>
      <c r="E625" s="10">
        <f>IF(AND(HOUR(B625)&gt;=6,HOUR(B625)&lt;18),"Day Shift","Night Shift")</f>
        <v/>
      </c>
      <c r="F625" s="11">
        <f>INT(B625)</f>
        <v/>
      </c>
      <c r="G625" s="11">
        <f>INT(C625)</f>
        <v/>
      </c>
    </row>
    <row r="626">
      <c r="A626" s="2" t="inlineStr">
        <is>
          <t>SHE36;EXD101</t>
        </is>
      </c>
      <c r="B626" s="3" t="n">
        <v>46063.25</v>
      </c>
      <c r="C626" s="3" t="n">
        <v>46063.75</v>
      </c>
      <c r="D626" s="4">
        <f>(C626-B626)*24</f>
        <v/>
      </c>
      <c r="E626" s="5">
        <f>IF(AND(HOUR(B626)&gt;=6,HOUR(B626)&lt;18),"Day Shift","Night Shift")</f>
        <v/>
      </c>
      <c r="F626" s="6">
        <f>INT(B626)</f>
        <v/>
      </c>
      <c r="G626" s="6">
        <f>INT(C626)</f>
        <v/>
      </c>
    </row>
    <row r="627">
      <c r="A627" s="7" t="inlineStr">
        <is>
          <t>SHE36;EXD101</t>
        </is>
      </c>
      <c r="B627" s="8" t="n">
        <v>46063.75</v>
      </c>
      <c r="C627" s="8" t="n">
        <v>46064.25</v>
      </c>
      <c r="D627" s="9">
        <f>(C627-B627)*24</f>
        <v/>
      </c>
      <c r="E627" s="10">
        <f>IF(AND(HOUR(B627)&gt;=6,HOUR(B627)&lt;18),"Day Shift","Night Shift")</f>
        <v/>
      </c>
      <c r="F627" s="11">
        <f>INT(B627)</f>
        <v/>
      </c>
      <c r="G627" s="11">
        <f>INT(C627)</f>
        <v/>
      </c>
    </row>
    <row r="628">
      <c r="A628" s="2" t="inlineStr">
        <is>
          <t>SHE36;EXD101</t>
        </is>
      </c>
      <c r="B628" s="3" t="n">
        <v>46064.25</v>
      </c>
      <c r="C628" s="3" t="n">
        <v>46064.75</v>
      </c>
      <c r="D628" s="4">
        <f>(C628-B628)*24</f>
        <v/>
      </c>
      <c r="E628" s="5">
        <f>IF(AND(HOUR(B628)&gt;=6,HOUR(B628)&lt;18),"Day Shift","Night Shift")</f>
        <v/>
      </c>
      <c r="F628" s="6">
        <f>INT(B628)</f>
        <v/>
      </c>
      <c r="G628" s="6">
        <f>INT(C628)</f>
        <v/>
      </c>
    </row>
    <row r="629">
      <c r="A629" s="7" t="inlineStr">
        <is>
          <t>SHE36;EXD101</t>
        </is>
      </c>
      <c r="B629" s="8" t="n">
        <v>46064.75</v>
      </c>
      <c r="C629" s="8" t="n">
        <v>46065.25</v>
      </c>
      <c r="D629" s="9">
        <f>(C629-B629)*24</f>
        <v/>
      </c>
      <c r="E629" s="10">
        <f>IF(AND(HOUR(B629)&gt;=6,HOUR(B629)&lt;18),"Day Shift","Night Shift")</f>
        <v/>
      </c>
      <c r="F629" s="11">
        <f>INT(B629)</f>
        <v/>
      </c>
      <c r="G629" s="11">
        <f>INT(C629)</f>
        <v/>
      </c>
    </row>
    <row r="630">
      <c r="A630" s="2" t="inlineStr">
        <is>
          <t>SHE36;EXD101</t>
        </is>
      </c>
      <c r="B630" s="3" t="n">
        <v>46065.25</v>
      </c>
      <c r="C630" s="3" t="n">
        <v>46065.75</v>
      </c>
      <c r="D630" s="4">
        <f>(C630-B630)*24</f>
        <v/>
      </c>
      <c r="E630" s="5">
        <f>IF(AND(HOUR(B630)&gt;=6,HOUR(B630)&lt;18),"Day Shift","Night Shift")</f>
        <v/>
      </c>
      <c r="F630" s="6">
        <f>INT(B630)</f>
        <v/>
      </c>
      <c r="G630" s="6">
        <f>INT(C630)</f>
        <v/>
      </c>
    </row>
    <row r="631">
      <c r="A631" s="7" t="inlineStr">
        <is>
          <t>SHE36;EXD101</t>
        </is>
      </c>
      <c r="B631" s="8" t="n">
        <v>46065.75</v>
      </c>
      <c r="C631" s="8" t="n">
        <v>46066.25</v>
      </c>
      <c r="D631" s="9">
        <f>(C631-B631)*24</f>
        <v/>
      </c>
      <c r="E631" s="10">
        <f>IF(AND(HOUR(B631)&gt;=6,HOUR(B631)&lt;18),"Day Shift","Night Shift")</f>
        <v/>
      </c>
      <c r="F631" s="11">
        <f>INT(B631)</f>
        <v/>
      </c>
      <c r="G631" s="11">
        <f>INT(C631)</f>
        <v/>
      </c>
    </row>
    <row r="632">
      <c r="A632" s="2" t="inlineStr">
        <is>
          <t>SHE36;EXD101</t>
        </is>
      </c>
      <c r="B632" s="3" t="n">
        <v>46066.25</v>
      </c>
      <c r="C632" s="3" t="n">
        <v>46066.75</v>
      </c>
      <c r="D632" s="4">
        <f>(C632-B632)*24</f>
        <v/>
      </c>
      <c r="E632" s="5">
        <f>IF(AND(HOUR(B632)&gt;=6,HOUR(B632)&lt;18),"Day Shift","Night Shift")</f>
        <v/>
      </c>
      <c r="F632" s="6">
        <f>INT(B632)</f>
        <v/>
      </c>
      <c r="G632" s="6">
        <f>INT(C632)</f>
        <v/>
      </c>
    </row>
    <row r="633">
      <c r="A633" s="7" t="inlineStr">
        <is>
          <t>SHE36;EXD101</t>
        </is>
      </c>
      <c r="B633" s="8" t="n">
        <v>46066.75</v>
      </c>
      <c r="C633" s="8" t="n">
        <v>46067.25</v>
      </c>
      <c r="D633" s="9">
        <f>(C633-B633)*24</f>
        <v/>
      </c>
      <c r="E633" s="10">
        <f>IF(AND(HOUR(B633)&gt;=6,HOUR(B633)&lt;18),"Day Shift","Night Shift")</f>
        <v/>
      </c>
      <c r="F633" s="11">
        <f>INT(B633)</f>
        <v/>
      </c>
      <c r="G633" s="11">
        <f>INT(C633)</f>
        <v/>
      </c>
    </row>
    <row r="634">
      <c r="A634" s="2" t="inlineStr">
        <is>
          <t>SHE36;EXD101</t>
        </is>
      </c>
      <c r="B634" s="3" t="n">
        <v>46067.25</v>
      </c>
      <c r="C634" s="3" t="n">
        <v>46067.75</v>
      </c>
      <c r="D634" s="4">
        <f>(C634-B634)*24</f>
        <v/>
      </c>
      <c r="E634" s="5">
        <f>IF(AND(HOUR(B634)&gt;=6,HOUR(B634)&lt;18),"Day Shift","Night Shift")</f>
        <v/>
      </c>
      <c r="F634" s="6">
        <f>INT(B634)</f>
        <v/>
      </c>
      <c r="G634" s="6">
        <f>INT(C634)</f>
        <v/>
      </c>
    </row>
    <row r="635">
      <c r="A635" s="7" t="inlineStr">
        <is>
          <t>SHE36;EXD101</t>
        </is>
      </c>
      <c r="B635" s="8" t="n">
        <v>46067.75</v>
      </c>
      <c r="C635" s="8" t="n">
        <v>46068.25</v>
      </c>
      <c r="D635" s="9">
        <f>(C635-B635)*24</f>
        <v/>
      </c>
      <c r="E635" s="10">
        <f>IF(AND(HOUR(B635)&gt;=6,HOUR(B635)&lt;18),"Day Shift","Night Shift")</f>
        <v/>
      </c>
      <c r="F635" s="11">
        <f>INT(B635)</f>
        <v/>
      </c>
      <c r="G635" s="11">
        <f>INT(C635)</f>
        <v/>
      </c>
    </row>
    <row r="636">
      <c r="A636" s="2" t="inlineStr">
        <is>
          <t>SHE36;EXD101</t>
        </is>
      </c>
      <c r="B636" s="3" t="n">
        <v>46068.25</v>
      </c>
      <c r="C636" s="3" t="n">
        <v>46068.75</v>
      </c>
      <c r="D636" s="4">
        <f>(C636-B636)*24</f>
        <v/>
      </c>
      <c r="E636" s="5">
        <f>IF(AND(HOUR(B636)&gt;=6,HOUR(B636)&lt;18),"Day Shift","Night Shift")</f>
        <v/>
      </c>
      <c r="F636" s="6">
        <f>INT(B636)</f>
        <v/>
      </c>
      <c r="G636" s="6">
        <f>INT(C636)</f>
        <v/>
      </c>
    </row>
    <row r="637">
      <c r="A637" s="7" t="inlineStr">
        <is>
          <t>SHE36;EXD101</t>
        </is>
      </c>
      <c r="B637" s="8" t="n">
        <v>46068.75</v>
      </c>
      <c r="C637" s="8" t="n">
        <v>46069.25</v>
      </c>
      <c r="D637" s="9">
        <f>(C637-B637)*24</f>
        <v/>
      </c>
      <c r="E637" s="10">
        <f>IF(AND(HOUR(B637)&gt;=6,HOUR(B637)&lt;18),"Day Shift","Night Shift")</f>
        <v/>
      </c>
      <c r="F637" s="11">
        <f>INT(B637)</f>
        <v/>
      </c>
      <c r="G637" s="11">
        <f>INT(C637)</f>
        <v/>
      </c>
    </row>
    <row r="638">
      <c r="A638" s="2" t="inlineStr">
        <is>
          <t>SHE36;EXD101</t>
        </is>
      </c>
      <c r="B638" s="3" t="n">
        <v>46069.25</v>
      </c>
      <c r="C638" s="3" t="n">
        <v>46069.75</v>
      </c>
      <c r="D638" s="4">
        <f>(C638-B638)*24</f>
        <v/>
      </c>
      <c r="E638" s="5">
        <f>IF(AND(HOUR(B638)&gt;=6,HOUR(B638)&lt;18),"Day Shift","Night Shift")</f>
        <v/>
      </c>
      <c r="F638" s="6">
        <f>INT(B638)</f>
        <v/>
      </c>
      <c r="G638" s="6">
        <f>INT(C638)</f>
        <v/>
      </c>
    </row>
    <row r="639">
      <c r="A639" s="7" t="inlineStr">
        <is>
          <t>SHE36;EXD101</t>
        </is>
      </c>
      <c r="B639" s="8" t="n">
        <v>46069.75</v>
      </c>
      <c r="C639" s="8" t="n">
        <v>46070.25</v>
      </c>
      <c r="D639" s="9">
        <f>(C639-B639)*24</f>
        <v/>
      </c>
      <c r="E639" s="10">
        <f>IF(AND(HOUR(B639)&gt;=6,HOUR(B639)&lt;18),"Day Shift","Night Shift")</f>
        <v/>
      </c>
      <c r="F639" s="11">
        <f>INT(B639)</f>
        <v/>
      </c>
      <c r="G639" s="11">
        <f>INT(C639)</f>
        <v/>
      </c>
    </row>
    <row r="640">
      <c r="A640" s="2" t="inlineStr">
        <is>
          <t>SHE36;EXD101</t>
        </is>
      </c>
      <c r="B640" s="3" t="n">
        <v>46070.25</v>
      </c>
      <c r="C640" s="3" t="n">
        <v>46070.75</v>
      </c>
      <c r="D640" s="4">
        <f>(C640-B640)*24</f>
        <v/>
      </c>
      <c r="E640" s="5">
        <f>IF(AND(HOUR(B640)&gt;=6,HOUR(B640)&lt;18),"Day Shift","Night Shift")</f>
        <v/>
      </c>
      <c r="F640" s="6">
        <f>INT(B640)</f>
        <v/>
      </c>
      <c r="G640" s="6">
        <f>INT(C640)</f>
        <v/>
      </c>
    </row>
    <row r="641">
      <c r="A641" s="7" t="inlineStr">
        <is>
          <t>SHE36;EXD101</t>
        </is>
      </c>
      <c r="B641" s="8" t="n">
        <v>46070.75</v>
      </c>
      <c r="C641" s="8" t="n">
        <v>46071.25</v>
      </c>
      <c r="D641" s="9">
        <f>(C641-B641)*24</f>
        <v/>
      </c>
      <c r="E641" s="10">
        <f>IF(AND(HOUR(B641)&gt;=6,HOUR(B641)&lt;18),"Day Shift","Night Shift")</f>
        <v/>
      </c>
      <c r="F641" s="11">
        <f>INT(B641)</f>
        <v/>
      </c>
      <c r="G641" s="11">
        <f>INT(C641)</f>
        <v/>
      </c>
    </row>
    <row r="642">
      <c r="A642" s="2" t="inlineStr">
        <is>
          <t>SHE36;EXD101</t>
        </is>
      </c>
      <c r="B642" s="3" t="n">
        <v>46071.25</v>
      </c>
      <c r="C642" s="3" t="n">
        <v>46071.75</v>
      </c>
      <c r="D642" s="4">
        <f>(C642-B642)*24</f>
        <v/>
      </c>
      <c r="E642" s="5">
        <f>IF(AND(HOUR(B642)&gt;=6,HOUR(B642)&lt;18),"Day Shift","Night Shift")</f>
        <v/>
      </c>
      <c r="F642" s="6">
        <f>INT(B642)</f>
        <v/>
      </c>
      <c r="G642" s="6">
        <f>INT(C642)</f>
        <v/>
      </c>
    </row>
    <row r="643">
      <c r="A643" s="7" t="inlineStr">
        <is>
          <t>SHE36;EXD101</t>
        </is>
      </c>
      <c r="B643" s="8" t="n">
        <v>46071.75</v>
      </c>
      <c r="C643" s="8" t="n">
        <v>46072.25</v>
      </c>
      <c r="D643" s="9">
        <f>(C643-B643)*24</f>
        <v/>
      </c>
      <c r="E643" s="10">
        <f>IF(AND(HOUR(B643)&gt;=6,HOUR(B643)&lt;18),"Day Shift","Night Shift")</f>
        <v/>
      </c>
      <c r="F643" s="11">
        <f>INT(B643)</f>
        <v/>
      </c>
      <c r="G643" s="11">
        <f>INT(C643)</f>
        <v/>
      </c>
    </row>
    <row r="644">
      <c r="A644" s="2" t="inlineStr">
        <is>
          <t>SHE36;EXD101</t>
        </is>
      </c>
      <c r="B644" s="3" t="n">
        <v>46072.25</v>
      </c>
      <c r="C644" s="3" t="n">
        <v>46072.75</v>
      </c>
      <c r="D644" s="4">
        <f>(C644-B644)*24</f>
        <v/>
      </c>
      <c r="E644" s="5">
        <f>IF(AND(HOUR(B644)&gt;=6,HOUR(B644)&lt;18),"Day Shift","Night Shift")</f>
        <v/>
      </c>
      <c r="F644" s="6">
        <f>INT(B644)</f>
        <v/>
      </c>
      <c r="G644" s="6">
        <f>INT(C644)</f>
        <v/>
      </c>
    </row>
    <row r="645">
      <c r="A645" s="7" t="inlineStr">
        <is>
          <t>SHE36;EXD101</t>
        </is>
      </c>
      <c r="B645" s="8" t="n">
        <v>46072.75</v>
      </c>
      <c r="C645" s="8" t="n">
        <v>46073.25</v>
      </c>
      <c r="D645" s="9">
        <f>(C645-B645)*24</f>
        <v/>
      </c>
      <c r="E645" s="10">
        <f>IF(AND(HOUR(B645)&gt;=6,HOUR(B645)&lt;18),"Day Shift","Night Shift")</f>
        <v/>
      </c>
      <c r="F645" s="11">
        <f>INT(B645)</f>
        <v/>
      </c>
      <c r="G645" s="11">
        <f>INT(C645)</f>
        <v/>
      </c>
    </row>
    <row r="646">
      <c r="A646" s="2" t="inlineStr">
        <is>
          <t>SHE36;EXD101</t>
        </is>
      </c>
      <c r="B646" s="3" t="n">
        <v>46073.25</v>
      </c>
      <c r="C646" s="3" t="n">
        <v>46073.75</v>
      </c>
      <c r="D646" s="4">
        <f>(C646-B646)*24</f>
        <v/>
      </c>
      <c r="E646" s="5">
        <f>IF(AND(HOUR(B646)&gt;=6,HOUR(B646)&lt;18),"Day Shift","Night Shift")</f>
        <v/>
      </c>
      <c r="F646" s="6">
        <f>INT(B646)</f>
        <v/>
      </c>
      <c r="G646" s="6">
        <f>INT(C646)</f>
        <v/>
      </c>
    </row>
    <row r="647">
      <c r="A647" s="7" t="inlineStr">
        <is>
          <t>SHE36;EXD101</t>
        </is>
      </c>
      <c r="B647" s="8" t="n">
        <v>46073.75</v>
      </c>
      <c r="C647" s="8" t="n">
        <v>46074.25</v>
      </c>
      <c r="D647" s="9">
        <f>(C647-B647)*24</f>
        <v/>
      </c>
      <c r="E647" s="10">
        <f>IF(AND(HOUR(B647)&gt;=6,HOUR(B647)&lt;18),"Day Shift","Night Shift")</f>
        <v/>
      </c>
      <c r="F647" s="11">
        <f>INT(B647)</f>
        <v/>
      </c>
      <c r="G647" s="11">
        <f>INT(C647)</f>
        <v/>
      </c>
    </row>
    <row r="648">
      <c r="A648" s="2" t="inlineStr">
        <is>
          <t>SHE36;EXD101</t>
        </is>
      </c>
      <c r="B648" s="3" t="n">
        <v>46074.25</v>
      </c>
      <c r="C648" s="3" t="n">
        <v>46074.75</v>
      </c>
      <c r="D648" s="4">
        <f>(C648-B648)*24</f>
        <v/>
      </c>
      <c r="E648" s="5">
        <f>IF(AND(HOUR(B648)&gt;=6,HOUR(B648)&lt;18),"Day Shift","Night Shift")</f>
        <v/>
      </c>
      <c r="F648" s="6">
        <f>INT(B648)</f>
        <v/>
      </c>
      <c r="G648" s="6">
        <f>INT(C648)</f>
        <v/>
      </c>
    </row>
    <row r="649">
      <c r="A649" s="7" t="inlineStr">
        <is>
          <t>SHE36;EXD101</t>
        </is>
      </c>
      <c r="B649" s="8" t="n">
        <v>46074.75</v>
      </c>
      <c r="C649" s="8" t="n">
        <v>46075.25</v>
      </c>
      <c r="D649" s="9">
        <f>(C649-B649)*24</f>
        <v/>
      </c>
      <c r="E649" s="10">
        <f>IF(AND(HOUR(B649)&gt;=6,HOUR(B649)&lt;18),"Day Shift","Night Shift")</f>
        <v/>
      </c>
      <c r="F649" s="11">
        <f>INT(B649)</f>
        <v/>
      </c>
      <c r="G649" s="11">
        <f>INT(C649)</f>
        <v/>
      </c>
    </row>
    <row r="650">
      <c r="A650" s="2" t="inlineStr">
        <is>
          <t>SHE36;EXD101</t>
        </is>
      </c>
      <c r="B650" s="3" t="n">
        <v>46075.25</v>
      </c>
      <c r="C650" s="3" t="n">
        <v>46075.75</v>
      </c>
      <c r="D650" s="4">
        <f>(C650-B650)*24</f>
        <v/>
      </c>
      <c r="E650" s="5">
        <f>IF(AND(HOUR(B650)&gt;=6,HOUR(B650)&lt;18),"Day Shift","Night Shift")</f>
        <v/>
      </c>
      <c r="F650" s="6">
        <f>INT(B650)</f>
        <v/>
      </c>
      <c r="G650" s="6">
        <f>INT(C650)</f>
        <v/>
      </c>
    </row>
    <row r="651">
      <c r="A651" s="7" t="inlineStr">
        <is>
          <t>SHE36;EXD101</t>
        </is>
      </c>
      <c r="B651" s="8" t="n">
        <v>46075.75</v>
      </c>
      <c r="C651" s="8" t="n">
        <v>46076.25</v>
      </c>
      <c r="D651" s="9">
        <f>(C651-B651)*24</f>
        <v/>
      </c>
      <c r="E651" s="10">
        <f>IF(AND(HOUR(B651)&gt;=6,HOUR(B651)&lt;18),"Day Shift","Night Shift")</f>
        <v/>
      </c>
      <c r="F651" s="11">
        <f>INT(B651)</f>
        <v/>
      </c>
      <c r="G651" s="11">
        <f>INT(C651)</f>
        <v/>
      </c>
    </row>
    <row r="652">
      <c r="A652" s="2" t="inlineStr">
        <is>
          <t>SHE36;EXD101</t>
        </is>
      </c>
      <c r="B652" s="3" t="n">
        <v>46076.25</v>
      </c>
      <c r="C652" s="3" t="n">
        <v>46076.75</v>
      </c>
      <c r="D652" s="4">
        <f>(C652-B652)*24</f>
        <v/>
      </c>
      <c r="E652" s="5">
        <f>IF(AND(HOUR(B652)&gt;=6,HOUR(B652)&lt;18),"Day Shift","Night Shift")</f>
        <v/>
      </c>
      <c r="F652" s="6">
        <f>INT(B652)</f>
        <v/>
      </c>
      <c r="G652" s="6">
        <f>INT(C652)</f>
        <v/>
      </c>
    </row>
    <row r="653">
      <c r="A653" s="7" t="inlineStr">
        <is>
          <t>SHE36;EXD101</t>
        </is>
      </c>
      <c r="B653" s="8" t="n">
        <v>46076.75</v>
      </c>
      <c r="C653" s="8" t="n">
        <v>46077.25</v>
      </c>
      <c r="D653" s="9">
        <f>(C653-B653)*24</f>
        <v/>
      </c>
      <c r="E653" s="10">
        <f>IF(AND(HOUR(B653)&gt;=6,HOUR(B653)&lt;18),"Day Shift","Night Shift")</f>
        <v/>
      </c>
      <c r="F653" s="11">
        <f>INT(B653)</f>
        <v/>
      </c>
      <c r="G653" s="11">
        <f>INT(C653)</f>
        <v/>
      </c>
    </row>
    <row r="654">
      <c r="A654" s="2" t="inlineStr">
        <is>
          <t>SHE36;EXD101</t>
        </is>
      </c>
      <c r="B654" s="3" t="n">
        <v>46077.25</v>
      </c>
      <c r="C654" s="3" t="n">
        <v>46077.75</v>
      </c>
      <c r="D654" s="4">
        <f>(C654-B654)*24</f>
        <v/>
      </c>
      <c r="E654" s="5">
        <f>IF(AND(HOUR(B654)&gt;=6,HOUR(B654)&lt;18),"Day Shift","Night Shift")</f>
        <v/>
      </c>
      <c r="F654" s="6">
        <f>INT(B654)</f>
        <v/>
      </c>
      <c r="G654" s="6">
        <f>INT(C654)</f>
        <v/>
      </c>
    </row>
    <row r="655">
      <c r="A655" s="7" t="inlineStr">
        <is>
          <t>SHE36;EXD101</t>
        </is>
      </c>
      <c r="B655" s="8" t="n">
        <v>46077.75</v>
      </c>
      <c r="C655" s="8" t="n">
        <v>46078.25</v>
      </c>
      <c r="D655" s="9">
        <f>(C655-B655)*24</f>
        <v/>
      </c>
      <c r="E655" s="10">
        <f>IF(AND(HOUR(B655)&gt;=6,HOUR(B655)&lt;18),"Day Shift","Night Shift")</f>
        <v/>
      </c>
      <c r="F655" s="11">
        <f>INT(B655)</f>
        <v/>
      </c>
      <c r="G655" s="11">
        <f>INT(C655)</f>
        <v/>
      </c>
    </row>
    <row r="656">
      <c r="A656" s="2" t="inlineStr">
        <is>
          <t>SHE36;EXD101</t>
        </is>
      </c>
      <c r="B656" s="3" t="n">
        <v>46078.25</v>
      </c>
      <c r="C656" s="3" t="n">
        <v>46078.75</v>
      </c>
      <c r="D656" s="4">
        <f>(C656-B656)*24</f>
        <v/>
      </c>
      <c r="E656" s="5">
        <f>IF(AND(HOUR(B656)&gt;=6,HOUR(B656)&lt;18),"Day Shift","Night Shift")</f>
        <v/>
      </c>
      <c r="F656" s="6">
        <f>INT(B656)</f>
        <v/>
      </c>
      <c r="G656" s="6">
        <f>INT(C656)</f>
        <v/>
      </c>
    </row>
    <row r="657">
      <c r="A657" s="7" t="inlineStr">
        <is>
          <t>SHE36;EXD101</t>
        </is>
      </c>
      <c r="B657" s="8" t="n">
        <v>46078.75</v>
      </c>
      <c r="C657" s="8" t="n">
        <v>46079.25</v>
      </c>
      <c r="D657" s="9">
        <f>(C657-B657)*24</f>
        <v/>
      </c>
      <c r="E657" s="10">
        <f>IF(AND(HOUR(B657)&gt;=6,HOUR(B657)&lt;18),"Day Shift","Night Shift")</f>
        <v/>
      </c>
      <c r="F657" s="11">
        <f>INT(B657)</f>
        <v/>
      </c>
      <c r="G657" s="11">
        <f>INT(C657)</f>
        <v/>
      </c>
    </row>
    <row r="658">
      <c r="A658" s="2" t="inlineStr">
        <is>
          <t>SHE36;EXD101</t>
        </is>
      </c>
      <c r="B658" s="3" t="n">
        <v>46079.25</v>
      </c>
      <c r="C658" s="3" t="n">
        <v>46079.75</v>
      </c>
      <c r="D658" s="4">
        <f>(C658-B658)*24</f>
        <v/>
      </c>
      <c r="E658" s="5">
        <f>IF(AND(HOUR(B658)&gt;=6,HOUR(B658)&lt;18),"Day Shift","Night Shift")</f>
        <v/>
      </c>
      <c r="F658" s="6">
        <f>INT(B658)</f>
        <v/>
      </c>
      <c r="G658" s="6">
        <f>INT(C658)</f>
        <v/>
      </c>
    </row>
    <row r="659">
      <c r="A659" s="7" t="inlineStr">
        <is>
          <t>SHE36;EXD101</t>
        </is>
      </c>
      <c r="B659" s="8" t="n">
        <v>46079.75</v>
      </c>
      <c r="C659" s="8" t="n">
        <v>46080.25</v>
      </c>
      <c r="D659" s="9">
        <f>(C659-B659)*24</f>
        <v/>
      </c>
      <c r="E659" s="10">
        <f>IF(AND(HOUR(B659)&gt;=6,HOUR(B659)&lt;18),"Day Shift","Night Shift")</f>
        <v/>
      </c>
      <c r="F659" s="11">
        <f>INT(B659)</f>
        <v/>
      </c>
      <c r="G659" s="11">
        <f>INT(C659)</f>
        <v/>
      </c>
    </row>
    <row r="660">
      <c r="A660" s="2" t="inlineStr">
        <is>
          <t>SHE36;EXD101</t>
        </is>
      </c>
      <c r="B660" s="3" t="n">
        <v>46080.25</v>
      </c>
      <c r="C660" s="3" t="n">
        <v>46080.75</v>
      </c>
      <c r="D660" s="4">
        <f>(C660-B660)*24</f>
        <v/>
      </c>
      <c r="E660" s="5">
        <f>IF(AND(HOUR(B660)&gt;=6,HOUR(B660)&lt;18),"Day Shift","Night Shift")</f>
        <v/>
      </c>
      <c r="F660" s="6">
        <f>INT(B660)</f>
        <v/>
      </c>
      <c r="G660" s="6">
        <f>INT(C660)</f>
        <v/>
      </c>
    </row>
    <row r="661">
      <c r="A661" s="7" t="inlineStr">
        <is>
          <t>SHE36;EXD101</t>
        </is>
      </c>
      <c r="B661" s="8" t="n">
        <v>46080.75</v>
      </c>
      <c r="C661" s="8" t="n">
        <v>46081.25</v>
      </c>
      <c r="D661" s="9">
        <f>(C661-B661)*24</f>
        <v/>
      </c>
      <c r="E661" s="10">
        <f>IF(AND(HOUR(B661)&gt;=6,HOUR(B661)&lt;18),"Day Shift","Night Shift")</f>
        <v/>
      </c>
      <c r="F661" s="11">
        <f>INT(B661)</f>
        <v/>
      </c>
      <c r="G661" s="11">
        <f>INT(C661)</f>
        <v/>
      </c>
    </row>
    <row r="662">
      <c r="A662" s="2" t="inlineStr">
        <is>
          <t>SHE36;EXD101</t>
        </is>
      </c>
      <c r="B662" s="3" t="n">
        <v>46081.25</v>
      </c>
      <c r="C662" s="3" t="n">
        <v>46081.75</v>
      </c>
      <c r="D662" s="4">
        <f>(C662-B662)*24</f>
        <v/>
      </c>
      <c r="E662" s="5">
        <f>IF(AND(HOUR(B662)&gt;=6,HOUR(B662)&lt;18),"Day Shift","Night Shift")</f>
        <v/>
      </c>
      <c r="F662" s="6">
        <f>INT(B662)</f>
        <v/>
      </c>
      <c r="G662" s="6">
        <f>INT(C662)</f>
        <v/>
      </c>
    </row>
    <row r="663">
      <c r="A663" s="7" t="inlineStr">
        <is>
          <t>SHE36;EXD101</t>
        </is>
      </c>
      <c r="B663" s="8" t="n">
        <v>46081.75</v>
      </c>
      <c r="C663" s="8" t="n">
        <v>46082.25</v>
      </c>
      <c r="D663" s="9">
        <f>(C663-B663)*24</f>
        <v/>
      </c>
      <c r="E663" s="10">
        <f>IF(AND(HOUR(B663)&gt;=6,HOUR(B663)&lt;18),"Day Shift","Night Shift")</f>
        <v/>
      </c>
      <c r="F663" s="11">
        <f>INT(B663)</f>
        <v/>
      </c>
      <c r="G663" s="11">
        <f>INT(C663)</f>
        <v/>
      </c>
    </row>
    <row r="664">
      <c r="A664" s="2" t="inlineStr">
        <is>
          <t>SHE36;EXD101</t>
        </is>
      </c>
      <c r="B664" s="3" t="n">
        <v>46082.25</v>
      </c>
      <c r="C664" s="3" t="n">
        <v>46082.75</v>
      </c>
      <c r="D664" s="4">
        <f>(C664-B664)*24</f>
        <v/>
      </c>
      <c r="E664" s="5">
        <f>IF(AND(HOUR(B664)&gt;=6,HOUR(B664)&lt;18),"Day Shift","Night Shift")</f>
        <v/>
      </c>
      <c r="F664" s="6">
        <f>INT(B664)</f>
        <v/>
      </c>
      <c r="G664" s="6">
        <f>INT(C664)</f>
        <v/>
      </c>
    </row>
    <row r="665">
      <c r="A665" s="7" t="inlineStr">
        <is>
          <t>SHE36;EXD101</t>
        </is>
      </c>
      <c r="B665" s="8" t="n">
        <v>46082.75</v>
      </c>
      <c r="C665" s="8" t="n">
        <v>46083.25</v>
      </c>
      <c r="D665" s="9">
        <f>(C665-B665)*24</f>
        <v/>
      </c>
      <c r="E665" s="10">
        <f>IF(AND(HOUR(B665)&gt;=6,HOUR(B665)&lt;18),"Day Shift","Night Shift")</f>
        <v/>
      </c>
      <c r="F665" s="11">
        <f>INT(B665)</f>
        <v/>
      </c>
      <c r="G665" s="11">
        <f>INT(C665)</f>
        <v/>
      </c>
    </row>
    <row r="666">
      <c r="A666" s="2" t="inlineStr">
        <is>
          <t>SHE36;EXD101</t>
        </is>
      </c>
      <c r="B666" s="3" t="n">
        <v>46083.25</v>
      </c>
      <c r="C666" s="3" t="n">
        <v>46083.55315972222</v>
      </c>
      <c r="D666" s="4">
        <f>(C666-B666)*24</f>
        <v/>
      </c>
      <c r="E666" s="5">
        <f>IF(AND(HOUR(B666)&gt;=6,HOUR(B666)&lt;18),"Day Shift","Night Shift")</f>
        <v/>
      </c>
      <c r="F666" s="6">
        <f>INT(B666)</f>
        <v/>
      </c>
      <c r="G666" s="6">
        <f>INT(C666)</f>
        <v/>
      </c>
    </row>
    <row r="667">
      <c r="A667" s="2" t="inlineStr">
        <is>
          <t>EXD101</t>
        </is>
      </c>
      <c r="B667" s="3" t="n">
        <v>46058.58153935185</v>
      </c>
      <c r="C667" s="3" t="n">
        <v>46058.75</v>
      </c>
      <c r="D667" s="4">
        <f>(C667-B667)*24</f>
        <v/>
      </c>
      <c r="E667" s="5">
        <f>IF(AND(HOUR(B667)&gt;=6,HOUR(B667)&lt;18),"Day Shift","Night Shift")</f>
        <v/>
      </c>
      <c r="F667" s="6">
        <f>INT(B667)</f>
        <v/>
      </c>
      <c r="G667" s="6">
        <f>INT(C667)</f>
        <v/>
      </c>
    </row>
    <row r="668">
      <c r="A668" s="7" t="inlineStr">
        <is>
          <t>EXD101</t>
        </is>
      </c>
      <c r="B668" s="8" t="n">
        <v>46058.75</v>
      </c>
      <c r="C668" s="8" t="n">
        <v>46059.25</v>
      </c>
      <c r="D668" s="9">
        <f>(C668-B668)*24</f>
        <v/>
      </c>
      <c r="E668" s="10">
        <f>IF(AND(HOUR(B668)&gt;=6,HOUR(B668)&lt;18),"Day Shift","Night Shift")</f>
        <v/>
      </c>
      <c r="F668" s="11">
        <f>INT(B668)</f>
        <v/>
      </c>
      <c r="G668" s="11">
        <f>INT(C668)</f>
        <v/>
      </c>
    </row>
    <row r="669">
      <c r="A669" s="2" t="inlineStr">
        <is>
          <t>EXD101</t>
        </is>
      </c>
      <c r="B669" s="3" t="n">
        <v>46059.25</v>
      </c>
      <c r="C669" s="3" t="n">
        <v>46059.51167824074</v>
      </c>
      <c r="D669" s="4">
        <f>(C669-B669)*24</f>
        <v/>
      </c>
      <c r="E669" s="5">
        <f>IF(AND(HOUR(B669)&gt;=6,HOUR(B669)&lt;18),"Day Shift","Night Shift")</f>
        <v/>
      </c>
      <c r="F669" s="6">
        <f>INT(B669)</f>
        <v/>
      </c>
      <c r="G669" s="6">
        <f>INT(C669)</f>
        <v/>
      </c>
    </row>
    <row r="670">
      <c r="A670" s="2" t="inlineStr">
        <is>
          <t>EXD60</t>
        </is>
      </c>
      <c r="B670" s="3" t="n">
        <v>46058.63972222222</v>
      </c>
      <c r="C670" s="3" t="n">
        <v>46058.75</v>
      </c>
      <c r="D670" s="4">
        <f>(C670-B670)*24</f>
        <v/>
      </c>
      <c r="E670" s="5">
        <f>IF(AND(HOUR(B670)&gt;=6,HOUR(B670)&lt;18),"Day Shift","Night Shift")</f>
        <v/>
      </c>
      <c r="F670" s="6">
        <f>INT(B670)</f>
        <v/>
      </c>
      <c r="G670" s="6">
        <f>INT(C670)</f>
        <v/>
      </c>
    </row>
    <row r="671">
      <c r="A671" s="7" t="inlineStr">
        <is>
          <t>EXD60</t>
        </is>
      </c>
      <c r="B671" s="8" t="n">
        <v>46058.75</v>
      </c>
      <c r="C671" s="8" t="n">
        <v>46059.25</v>
      </c>
      <c r="D671" s="9">
        <f>(C671-B671)*24</f>
        <v/>
      </c>
      <c r="E671" s="10">
        <f>IF(AND(HOUR(B671)&gt;=6,HOUR(B671)&lt;18),"Day Shift","Night Shift")</f>
        <v/>
      </c>
      <c r="F671" s="11">
        <f>INT(B671)</f>
        <v/>
      </c>
      <c r="G671" s="11">
        <f>INT(C671)</f>
        <v/>
      </c>
    </row>
    <row r="672">
      <c r="A672" s="2" t="inlineStr">
        <is>
          <t>EXD60</t>
        </is>
      </c>
      <c r="B672" s="3" t="n">
        <v>46059.25</v>
      </c>
      <c r="C672" s="3" t="n">
        <v>46059.75</v>
      </c>
      <c r="D672" s="4">
        <f>(C672-B672)*24</f>
        <v/>
      </c>
      <c r="E672" s="5">
        <f>IF(AND(HOUR(B672)&gt;=6,HOUR(B672)&lt;18),"Day Shift","Night Shift")</f>
        <v/>
      </c>
      <c r="F672" s="6">
        <f>INT(B672)</f>
        <v/>
      </c>
      <c r="G672" s="6">
        <f>INT(C672)</f>
        <v/>
      </c>
    </row>
    <row r="673">
      <c r="A673" s="7" t="inlineStr">
        <is>
          <t>EXD60</t>
        </is>
      </c>
      <c r="B673" s="8" t="n">
        <v>46059.75</v>
      </c>
      <c r="C673" s="8" t="n">
        <v>46060.03922453704</v>
      </c>
      <c r="D673" s="9">
        <f>(C673-B673)*24</f>
        <v/>
      </c>
      <c r="E673" s="10">
        <f>IF(AND(HOUR(B673)&gt;=6,HOUR(B673)&lt;18),"Day Shift","Night Shift")</f>
        <v/>
      </c>
      <c r="F673" s="11">
        <f>INT(B673)</f>
        <v/>
      </c>
      <c r="G673" s="11">
        <f>INT(C673)</f>
        <v/>
      </c>
    </row>
    <row r="674">
      <c r="A674" s="2" t="inlineStr">
        <is>
          <t>EXD100</t>
        </is>
      </c>
      <c r="B674" s="3" t="n">
        <v>46058.64061342592</v>
      </c>
      <c r="C674" s="3" t="n">
        <v>46058.75</v>
      </c>
      <c r="D674" s="4">
        <f>(C674-B674)*24</f>
        <v/>
      </c>
      <c r="E674" s="5">
        <f>IF(AND(HOUR(B674)&gt;=6,HOUR(B674)&lt;18),"Day Shift","Night Shift")</f>
        <v/>
      </c>
      <c r="F674" s="6">
        <f>INT(B674)</f>
        <v/>
      </c>
      <c r="G674" s="6">
        <f>INT(C674)</f>
        <v/>
      </c>
    </row>
    <row r="675">
      <c r="A675" s="7" t="inlineStr">
        <is>
          <t>EXD100</t>
        </is>
      </c>
      <c r="B675" s="8" t="n">
        <v>46058.75</v>
      </c>
      <c r="C675" s="8" t="n">
        <v>46058.90902777778</v>
      </c>
      <c r="D675" s="9">
        <f>(C675-B675)*24</f>
        <v/>
      </c>
      <c r="E675" s="10">
        <f>IF(AND(HOUR(B675)&gt;=6,HOUR(B675)&lt;18),"Day Shift","Night Shift")</f>
        <v/>
      </c>
      <c r="F675" s="11">
        <f>INT(B675)</f>
        <v/>
      </c>
      <c r="G675" s="11">
        <f>INT(C675)</f>
        <v/>
      </c>
    </row>
    <row r="676">
      <c r="A676" s="2" t="inlineStr">
        <is>
          <t>Blast Crew</t>
        </is>
      </c>
      <c r="B676" s="3" t="n">
        <v>46058.65101851852</v>
      </c>
      <c r="C676" s="3" t="n">
        <v>46058.68032407408</v>
      </c>
      <c r="D676" s="4">
        <f>(C676-B676)*24</f>
        <v/>
      </c>
      <c r="E676" s="5">
        <f>IF(AND(HOUR(B676)&gt;=6,HOUR(B676)&lt;18),"Day Shift","Night Shift")</f>
        <v/>
      </c>
      <c r="F676" s="6">
        <f>INT(B676)</f>
        <v/>
      </c>
      <c r="G676" s="6">
        <f>INT(C676)</f>
        <v/>
      </c>
    </row>
    <row r="677">
      <c r="A677" s="2" t="inlineStr">
        <is>
          <t>Blast Crew</t>
        </is>
      </c>
      <c r="B677" s="3" t="n">
        <v>46058.68032407408</v>
      </c>
      <c r="C677" s="3" t="n">
        <v>46058.71290509259</v>
      </c>
      <c r="D677" s="4">
        <f>(C677-B677)*24</f>
        <v/>
      </c>
      <c r="E677" s="5">
        <f>IF(AND(HOUR(B677)&gt;=6,HOUR(B677)&lt;18),"Day Shift","Night Shift")</f>
        <v/>
      </c>
      <c r="F677" s="6">
        <f>INT(B677)</f>
        <v/>
      </c>
      <c r="G677" s="6">
        <f>INT(C677)</f>
        <v/>
      </c>
    </row>
    <row r="678">
      <c r="A678" s="2" t="inlineStr">
        <is>
          <t>Blast Crew</t>
        </is>
      </c>
      <c r="B678" s="3" t="n">
        <v>46058.71290509259</v>
      </c>
      <c r="C678" s="3" t="n">
        <v>46058.7453125</v>
      </c>
      <c r="D678" s="4">
        <f>(C678-B678)*24</f>
        <v/>
      </c>
      <c r="E678" s="5">
        <f>IF(AND(HOUR(B678)&gt;=6,HOUR(B678)&lt;18),"Day Shift","Night Shift")</f>
        <v/>
      </c>
      <c r="F678" s="6">
        <f>INT(B678)</f>
        <v/>
      </c>
      <c r="G678" s="6">
        <f>INT(C678)</f>
        <v/>
      </c>
    </row>
    <row r="679">
      <c r="A679" s="7" t="inlineStr">
        <is>
          <t>EDD2541</t>
        </is>
      </c>
      <c r="B679" s="8" t="n">
        <v>46058.76439814815</v>
      </c>
      <c r="C679" s="8" t="n">
        <v>46059.12868055556</v>
      </c>
      <c r="D679" s="9">
        <f>(C679-B679)*24</f>
        <v/>
      </c>
      <c r="E679" s="10">
        <f>IF(AND(HOUR(B679)&gt;=6,HOUR(B679)&lt;18),"Day Shift","Night Shift")</f>
        <v/>
      </c>
      <c r="F679" s="11">
        <f>INT(B679)</f>
        <v/>
      </c>
      <c r="G679" s="11">
        <f>INT(C679)</f>
        <v/>
      </c>
    </row>
    <row r="680">
      <c r="A680" s="7" t="inlineStr">
        <is>
          <t>EDD1932</t>
        </is>
      </c>
      <c r="B680" s="8" t="n">
        <v>46058.77081018518</v>
      </c>
      <c r="C680" s="8" t="n">
        <v>46059.25</v>
      </c>
      <c r="D680" s="9">
        <f>(C680-B680)*24</f>
        <v/>
      </c>
      <c r="E680" s="10">
        <f>IF(AND(HOUR(B680)&gt;=6,HOUR(B680)&lt;18),"Day Shift","Night Shift")</f>
        <v/>
      </c>
      <c r="F680" s="11">
        <f>INT(B680)</f>
        <v/>
      </c>
      <c r="G680" s="11">
        <f>INT(C680)</f>
        <v/>
      </c>
    </row>
    <row r="681">
      <c r="A681" s="2" t="inlineStr">
        <is>
          <t>EDD1932</t>
        </is>
      </c>
      <c r="B681" s="3" t="n">
        <v>46059.25</v>
      </c>
      <c r="C681" s="3" t="n">
        <v>46059.75</v>
      </c>
      <c r="D681" s="4">
        <f>(C681-B681)*24</f>
        <v/>
      </c>
      <c r="E681" s="5">
        <f>IF(AND(HOUR(B681)&gt;=6,HOUR(B681)&lt;18),"Day Shift","Night Shift")</f>
        <v/>
      </c>
      <c r="F681" s="6">
        <f>INT(B681)</f>
        <v/>
      </c>
      <c r="G681" s="6">
        <f>INT(C681)</f>
        <v/>
      </c>
    </row>
    <row r="682">
      <c r="A682" s="7" t="inlineStr">
        <is>
          <t>EDD1932</t>
        </is>
      </c>
      <c r="B682" s="8" t="n">
        <v>46059.75</v>
      </c>
      <c r="C682" s="8" t="n">
        <v>46060.25</v>
      </c>
      <c r="D682" s="9">
        <f>(C682-B682)*24</f>
        <v/>
      </c>
      <c r="E682" s="10">
        <f>IF(AND(HOUR(B682)&gt;=6,HOUR(B682)&lt;18),"Day Shift","Night Shift")</f>
        <v/>
      </c>
      <c r="F682" s="11">
        <f>INT(B682)</f>
        <v/>
      </c>
      <c r="G682" s="11">
        <f>INT(C682)</f>
        <v/>
      </c>
    </row>
    <row r="683">
      <c r="A683" s="2" t="inlineStr">
        <is>
          <t>EDD1932</t>
        </is>
      </c>
      <c r="B683" s="3" t="n">
        <v>46060.25</v>
      </c>
      <c r="C683" s="3" t="n">
        <v>46060.57952546296</v>
      </c>
      <c r="D683" s="4">
        <f>(C683-B683)*24</f>
        <v/>
      </c>
      <c r="E683" s="5">
        <f>IF(AND(HOUR(B683)&gt;=6,HOUR(B683)&lt;18),"Day Shift","Night Shift")</f>
        <v/>
      </c>
      <c r="F683" s="6">
        <f>INT(B683)</f>
        <v/>
      </c>
      <c r="G683" s="6">
        <f>INT(C683)</f>
        <v/>
      </c>
    </row>
    <row r="684">
      <c r="A684" s="7" t="inlineStr">
        <is>
          <t>EXD98</t>
        </is>
      </c>
      <c r="B684" s="8" t="n">
        <v>46058.78475694444</v>
      </c>
      <c r="C684" s="8" t="n">
        <v>46059.25</v>
      </c>
      <c r="D684" s="9">
        <f>(C684-B684)*24</f>
        <v/>
      </c>
      <c r="E684" s="10">
        <f>IF(AND(HOUR(B684)&gt;=6,HOUR(B684)&lt;18),"Day Shift","Night Shift")</f>
        <v/>
      </c>
      <c r="F684" s="11">
        <f>INT(B684)</f>
        <v/>
      </c>
      <c r="G684" s="11">
        <f>INT(C684)</f>
        <v/>
      </c>
    </row>
    <row r="685">
      <c r="A685" s="2" t="inlineStr">
        <is>
          <t>EXD98</t>
        </is>
      </c>
      <c r="B685" s="3" t="n">
        <v>46059.25</v>
      </c>
      <c r="C685" s="3" t="n">
        <v>46059.29809027778</v>
      </c>
      <c r="D685" s="4">
        <f>(C685-B685)*24</f>
        <v/>
      </c>
      <c r="E685" s="5">
        <f>IF(AND(HOUR(B685)&gt;=6,HOUR(B685)&lt;18),"Day Shift","Night Shift")</f>
        <v/>
      </c>
      <c r="F685" s="6">
        <f>INT(B685)</f>
        <v/>
      </c>
      <c r="G685" s="6">
        <f>INT(C685)</f>
        <v/>
      </c>
    </row>
    <row r="686">
      <c r="A686" s="7" t="inlineStr">
        <is>
          <t>EDD175;EDD2134</t>
        </is>
      </c>
      <c r="B686" s="8" t="n">
        <v>46058.78619212963</v>
      </c>
      <c r="C686" s="8" t="n">
        <v>46059.17379629629</v>
      </c>
      <c r="D686" s="9">
        <f>(C686-B686)*24</f>
        <v/>
      </c>
      <c r="E686" s="10">
        <f>IF(AND(HOUR(B686)&gt;=6,HOUR(B686)&lt;18),"Day Shift","Night Shift")</f>
        <v/>
      </c>
      <c r="F686" s="11">
        <f>INT(B686)</f>
        <v/>
      </c>
      <c r="G686" s="11">
        <f>INT(C686)</f>
        <v/>
      </c>
    </row>
    <row r="687">
      <c r="A687" s="7" t="inlineStr">
        <is>
          <t>EXD52</t>
        </is>
      </c>
      <c r="B687" s="8" t="n">
        <v>46058.79520833334</v>
      </c>
      <c r="C687" s="8" t="n">
        <v>46058.99755787037</v>
      </c>
      <c r="D687" s="9">
        <f>(C687-B687)*24</f>
        <v/>
      </c>
      <c r="E687" s="10">
        <f>IF(AND(HOUR(B687)&gt;=6,HOUR(B687)&lt;18),"Day Shift","Night Shift")</f>
        <v/>
      </c>
      <c r="F687" s="11">
        <f>INT(B687)</f>
        <v/>
      </c>
      <c r="G687" s="11">
        <f>INT(C687)</f>
        <v/>
      </c>
    </row>
    <row r="688">
      <c r="A688" s="7" t="inlineStr">
        <is>
          <t>EXD56</t>
        </is>
      </c>
      <c r="B688" s="8" t="n">
        <v>46058.84086805556</v>
      </c>
      <c r="C688" s="8" t="n">
        <v>46059.25</v>
      </c>
      <c r="D688" s="9">
        <f>(C688-B688)*24</f>
        <v/>
      </c>
      <c r="E688" s="10">
        <f>IF(AND(HOUR(B688)&gt;=6,HOUR(B688)&lt;18),"Day Shift","Night Shift")</f>
        <v/>
      </c>
      <c r="F688" s="11">
        <f>INT(B688)</f>
        <v/>
      </c>
      <c r="G688" s="11">
        <f>INT(C688)</f>
        <v/>
      </c>
    </row>
    <row r="689">
      <c r="A689" s="2" t="inlineStr">
        <is>
          <t>EXD56</t>
        </is>
      </c>
      <c r="B689" s="3" t="n">
        <v>46059.25</v>
      </c>
      <c r="C689" s="3" t="n">
        <v>46059.75</v>
      </c>
      <c r="D689" s="4">
        <f>(C689-B689)*24</f>
        <v/>
      </c>
      <c r="E689" s="5">
        <f>IF(AND(HOUR(B689)&gt;=6,HOUR(B689)&lt;18),"Day Shift","Night Shift")</f>
        <v/>
      </c>
      <c r="F689" s="6">
        <f>INT(B689)</f>
        <v/>
      </c>
      <c r="G689" s="6">
        <f>INT(C689)</f>
        <v/>
      </c>
    </row>
    <row r="690">
      <c r="A690" s="7" t="inlineStr">
        <is>
          <t>EXD56</t>
        </is>
      </c>
      <c r="B690" s="8" t="n">
        <v>46059.75</v>
      </c>
      <c r="C690" s="8" t="n">
        <v>46059.87061342593</v>
      </c>
      <c r="D690" s="9">
        <f>(C690-B690)*24</f>
        <v/>
      </c>
      <c r="E690" s="10">
        <f>IF(AND(HOUR(B690)&gt;=6,HOUR(B690)&lt;18),"Day Shift","Night Shift")</f>
        <v/>
      </c>
      <c r="F690" s="11">
        <f>INT(B690)</f>
        <v/>
      </c>
      <c r="G690" s="11">
        <f>INT(C690)</f>
        <v/>
      </c>
    </row>
    <row r="691">
      <c r="A691" s="7" t="inlineStr">
        <is>
          <t>EXD100</t>
        </is>
      </c>
      <c r="B691" s="8" t="n">
        <v>46058.90902777778</v>
      </c>
      <c r="C691" s="8" t="n">
        <v>46059.25</v>
      </c>
      <c r="D691" s="9">
        <f>(C691-B691)*24</f>
        <v/>
      </c>
      <c r="E691" s="10">
        <f>IF(AND(HOUR(B691)&gt;=6,HOUR(B691)&lt;18),"Day Shift","Night Shift")</f>
        <v/>
      </c>
      <c r="F691" s="11">
        <f>INT(B691)</f>
        <v/>
      </c>
      <c r="G691" s="11">
        <f>INT(C691)</f>
        <v/>
      </c>
    </row>
    <row r="692">
      <c r="A692" s="2" t="inlineStr">
        <is>
          <t>EXD100</t>
        </is>
      </c>
      <c r="B692" s="3" t="n">
        <v>46059.25</v>
      </c>
      <c r="C692" s="3" t="n">
        <v>46059.29878472222</v>
      </c>
      <c r="D692" s="4">
        <f>(C692-B692)*24</f>
        <v/>
      </c>
      <c r="E692" s="5">
        <f>IF(AND(HOUR(B692)&gt;=6,HOUR(B692)&lt;18),"Day Shift","Night Shift")</f>
        <v/>
      </c>
      <c r="F692" s="6">
        <f>INT(B692)</f>
        <v/>
      </c>
      <c r="G692" s="6">
        <f>INT(C692)</f>
        <v/>
      </c>
    </row>
    <row r="693">
      <c r="A693" s="7" t="inlineStr">
        <is>
          <t>EXD407</t>
        </is>
      </c>
      <c r="B693" s="8" t="n">
        <v>46058.91195601852</v>
      </c>
      <c r="C693" s="8" t="n">
        <v>46059.25</v>
      </c>
      <c r="D693" s="9">
        <f>(C693-B693)*24</f>
        <v/>
      </c>
      <c r="E693" s="10">
        <f>IF(AND(HOUR(B693)&gt;=6,HOUR(B693)&lt;18),"Day Shift","Night Shift")</f>
        <v/>
      </c>
      <c r="F693" s="11">
        <f>INT(B693)</f>
        <v/>
      </c>
      <c r="G693" s="11">
        <f>INT(C693)</f>
        <v/>
      </c>
    </row>
    <row r="694">
      <c r="A694" s="2" t="inlineStr">
        <is>
          <t>EXD407</t>
        </is>
      </c>
      <c r="B694" s="3" t="n">
        <v>46059.25</v>
      </c>
      <c r="C694" s="3" t="n">
        <v>46059.75</v>
      </c>
      <c r="D694" s="4">
        <f>(C694-B694)*24</f>
        <v/>
      </c>
      <c r="E694" s="5">
        <f>IF(AND(HOUR(B694)&gt;=6,HOUR(B694)&lt;18),"Day Shift","Night Shift")</f>
        <v/>
      </c>
      <c r="F694" s="6">
        <f>INT(B694)</f>
        <v/>
      </c>
      <c r="G694" s="6">
        <f>INT(C694)</f>
        <v/>
      </c>
    </row>
    <row r="695">
      <c r="A695" s="7" t="inlineStr">
        <is>
          <t>EXD407</t>
        </is>
      </c>
      <c r="B695" s="8" t="n">
        <v>46059.75</v>
      </c>
      <c r="C695" s="8" t="n">
        <v>46059.87578703704</v>
      </c>
      <c r="D695" s="9">
        <f>(C695-B695)*24</f>
        <v/>
      </c>
      <c r="E695" s="10">
        <f>IF(AND(HOUR(B695)&gt;=6,HOUR(B695)&lt;18),"Day Shift","Night Shift")</f>
        <v/>
      </c>
      <c r="F695" s="11">
        <f>INT(B695)</f>
        <v/>
      </c>
      <c r="G695" s="11">
        <f>INT(C695)</f>
        <v/>
      </c>
    </row>
    <row r="696">
      <c r="A696" s="7" t="inlineStr">
        <is>
          <t>DRE09</t>
        </is>
      </c>
      <c r="B696" s="8" t="n">
        <v>46058.93164351852</v>
      </c>
      <c r="C696" s="8" t="n">
        <v>46059.25</v>
      </c>
      <c r="D696" s="9">
        <f>(C696-B696)*24</f>
        <v/>
      </c>
      <c r="E696" s="10">
        <f>IF(AND(HOUR(B696)&gt;=6,HOUR(B696)&lt;18),"Day Shift","Night Shift")</f>
        <v/>
      </c>
      <c r="F696" s="11">
        <f>INT(B696)</f>
        <v/>
      </c>
      <c r="G696" s="11">
        <f>INT(C696)</f>
        <v/>
      </c>
    </row>
    <row r="697">
      <c r="A697" s="2" t="inlineStr">
        <is>
          <t>DRE09</t>
        </is>
      </c>
      <c r="B697" s="3" t="n">
        <v>46059.25</v>
      </c>
      <c r="C697" s="3" t="n">
        <v>46059.75</v>
      </c>
      <c r="D697" s="4">
        <f>(C697-B697)*24</f>
        <v/>
      </c>
      <c r="E697" s="5">
        <f>IF(AND(HOUR(B697)&gt;=6,HOUR(B697)&lt;18),"Day Shift","Night Shift")</f>
        <v/>
      </c>
      <c r="F697" s="6">
        <f>INT(B697)</f>
        <v/>
      </c>
      <c r="G697" s="6">
        <f>INT(C697)</f>
        <v/>
      </c>
    </row>
    <row r="698">
      <c r="A698" s="7" t="inlineStr">
        <is>
          <t>DRE09</t>
        </is>
      </c>
      <c r="B698" s="8" t="n">
        <v>46059.75</v>
      </c>
      <c r="C698" s="8" t="n">
        <v>46060.25</v>
      </c>
      <c r="D698" s="9">
        <f>(C698-B698)*24</f>
        <v/>
      </c>
      <c r="E698" s="10">
        <f>IF(AND(HOUR(B698)&gt;=6,HOUR(B698)&lt;18),"Day Shift","Night Shift")</f>
        <v/>
      </c>
      <c r="F698" s="11">
        <f>INT(B698)</f>
        <v/>
      </c>
      <c r="G698" s="11">
        <f>INT(C698)</f>
        <v/>
      </c>
    </row>
    <row r="699">
      <c r="A699" s="2" t="inlineStr">
        <is>
          <t>DRE09</t>
        </is>
      </c>
      <c r="B699" s="3" t="n">
        <v>46060.25</v>
      </c>
      <c r="C699" s="3" t="n">
        <v>46060.75</v>
      </c>
      <c r="D699" s="4">
        <f>(C699-B699)*24</f>
        <v/>
      </c>
      <c r="E699" s="5">
        <f>IF(AND(HOUR(B699)&gt;=6,HOUR(B699)&lt;18),"Day Shift","Night Shift")</f>
        <v/>
      </c>
      <c r="F699" s="6">
        <f>INT(B699)</f>
        <v/>
      </c>
      <c r="G699" s="6">
        <f>INT(C699)</f>
        <v/>
      </c>
    </row>
    <row r="700">
      <c r="A700" s="7" t="inlineStr">
        <is>
          <t>DRE09</t>
        </is>
      </c>
      <c r="B700" s="8" t="n">
        <v>46060.75</v>
      </c>
      <c r="C700" s="8" t="n">
        <v>46061.23958333334</v>
      </c>
      <c r="D700" s="9">
        <f>(C700-B700)*24</f>
        <v/>
      </c>
      <c r="E700" s="10">
        <f>IF(AND(HOUR(B700)&gt;=6,HOUR(B700)&lt;18),"Day Shift","Night Shift")</f>
        <v/>
      </c>
      <c r="F700" s="11">
        <f>INT(B700)</f>
        <v/>
      </c>
      <c r="G700" s="11">
        <f>INT(C700)</f>
        <v/>
      </c>
    </row>
    <row r="701">
      <c r="A701" s="7" t="inlineStr">
        <is>
          <t>EXD51</t>
        </is>
      </c>
      <c r="B701" s="8" t="n">
        <v>46058.96646990741</v>
      </c>
      <c r="C701" s="8" t="n">
        <v>46059.25</v>
      </c>
      <c r="D701" s="9">
        <f>(C701-B701)*24</f>
        <v/>
      </c>
      <c r="E701" s="10">
        <f>IF(AND(HOUR(B701)&gt;=6,HOUR(B701)&lt;18),"Day Shift","Night Shift")</f>
        <v/>
      </c>
      <c r="F701" s="11">
        <f>INT(B701)</f>
        <v/>
      </c>
      <c r="G701" s="11">
        <f>INT(C701)</f>
        <v/>
      </c>
    </row>
    <row r="702">
      <c r="A702" s="2" t="inlineStr">
        <is>
          <t>EXD51</t>
        </is>
      </c>
      <c r="B702" s="3" t="n">
        <v>46059.25</v>
      </c>
      <c r="C702" s="3" t="n">
        <v>46059.75</v>
      </c>
      <c r="D702" s="4">
        <f>(C702-B702)*24</f>
        <v/>
      </c>
      <c r="E702" s="5">
        <f>IF(AND(HOUR(B702)&gt;=6,HOUR(B702)&lt;18),"Day Shift","Night Shift")</f>
        <v/>
      </c>
      <c r="F702" s="6">
        <f>INT(B702)</f>
        <v/>
      </c>
      <c r="G702" s="6">
        <f>INT(C702)</f>
        <v/>
      </c>
    </row>
    <row r="703">
      <c r="A703" s="7" t="inlineStr">
        <is>
          <t>EXD51</t>
        </is>
      </c>
      <c r="B703" s="8" t="n">
        <v>46059.75</v>
      </c>
      <c r="C703" s="8" t="n">
        <v>46059.96351851852</v>
      </c>
      <c r="D703" s="9">
        <f>(C703-B703)*24</f>
        <v/>
      </c>
      <c r="E703" s="10">
        <f>IF(AND(HOUR(B703)&gt;=6,HOUR(B703)&lt;18),"Day Shift","Night Shift")</f>
        <v/>
      </c>
      <c r="F703" s="11">
        <f>INT(B703)</f>
        <v/>
      </c>
      <c r="G703" s="11">
        <f>INT(C703)</f>
        <v/>
      </c>
    </row>
    <row r="704">
      <c r="A704" s="7" t="inlineStr">
        <is>
          <t>EXD52</t>
        </is>
      </c>
      <c r="B704" s="8" t="n">
        <v>46058.99755787037</v>
      </c>
      <c r="C704" s="8" t="n">
        <v>46059.25</v>
      </c>
      <c r="D704" s="9">
        <f>(C704-B704)*24</f>
        <v/>
      </c>
      <c r="E704" s="10">
        <f>IF(AND(HOUR(B704)&gt;=6,HOUR(B704)&lt;18),"Day Shift","Night Shift")</f>
        <v/>
      </c>
      <c r="F704" s="11">
        <f>INT(B704)</f>
        <v/>
      </c>
      <c r="G704" s="11">
        <f>INT(C704)</f>
        <v/>
      </c>
    </row>
    <row r="705">
      <c r="A705" s="2" t="inlineStr">
        <is>
          <t>EXD52</t>
        </is>
      </c>
      <c r="B705" s="3" t="n">
        <v>46059.25</v>
      </c>
      <c r="C705" s="3" t="n">
        <v>46059.75</v>
      </c>
      <c r="D705" s="4">
        <f>(C705-B705)*24</f>
        <v/>
      </c>
      <c r="E705" s="5">
        <f>IF(AND(HOUR(B705)&gt;=6,HOUR(B705)&lt;18),"Day Shift","Night Shift")</f>
        <v/>
      </c>
      <c r="F705" s="6">
        <f>INT(B705)</f>
        <v/>
      </c>
      <c r="G705" s="6">
        <f>INT(C705)</f>
        <v/>
      </c>
    </row>
    <row r="706">
      <c r="A706" s="7" t="inlineStr">
        <is>
          <t>EXD52</t>
        </is>
      </c>
      <c r="B706" s="8" t="n">
        <v>46059.75</v>
      </c>
      <c r="C706" s="8" t="n">
        <v>46060.25</v>
      </c>
      <c r="D706" s="9">
        <f>(C706-B706)*24</f>
        <v/>
      </c>
      <c r="E706" s="10">
        <f>IF(AND(HOUR(B706)&gt;=6,HOUR(B706)&lt;18),"Day Shift","Night Shift")</f>
        <v/>
      </c>
      <c r="F706" s="11">
        <f>INT(B706)</f>
        <v/>
      </c>
      <c r="G706" s="11">
        <f>INT(C706)</f>
        <v/>
      </c>
    </row>
    <row r="707">
      <c r="A707" s="2" t="inlineStr">
        <is>
          <t>EXD52</t>
        </is>
      </c>
      <c r="B707" s="3" t="n">
        <v>46060.25</v>
      </c>
      <c r="C707" s="3" t="n">
        <v>46060.75</v>
      </c>
      <c r="D707" s="4">
        <f>(C707-B707)*24</f>
        <v/>
      </c>
      <c r="E707" s="5">
        <f>IF(AND(HOUR(B707)&gt;=6,HOUR(B707)&lt;18),"Day Shift","Night Shift")</f>
        <v/>
      </c>
      <c r="F707" s="6">
        <f>INT(B707)</f>
        <v/>
      </c>
      <c r="G707" s="6">
        <f>INT(C707)</f>
        <v/>
      </c>
    </row>
    <row r="708">
      <c r="A708" s="7" t="inlineStr">
        <is>
          <t>EXD52</t>
        </is>
      </c>
      <c r="B708" s="8" t="n">
        <v>46060.75</v>
      </c>
      <c r="C708" s="8" t="n">
        <v>46061.25</v>
      </c>
      <c r="D708" s="9">
        <f>(C708-B708)*24</f>
        <v/>
      </c>
      <c r="E708" s="10">
        <f>IF(AND(HOUR(B708)&gt;=6,HOUR(B708)&lt;18),"Day Shift","Night Shift")</f>
        <v/>
      </c>
      <c r="F708" s="11">
        <f>INT(B708)</f>
        <v/>
      </c>
      <c r="G708" s="11">
        <f>INT(C708)</f>
        <v/>
      </c>
    </row>
    <row r="709">
      <c r="A709" s="2" t="inlineStr">
        <is>
          <t>EXD52</t>
        </is>
      </c>
      <c r="B709" s="3" t="n">
        <v>46061.25</v>
      </c>
      <c r="C709" s="3" t="n">
        <v>46061.75</v>
      </c>
      <c r="D709" s="4">
        <f>(C709-B709)*24</f>
        <v/>
      </c>
      <c r="E709" s="5">
        <f>IF(AND(HOUR(B709)&gt;=6,HOUR(B709)&lt;18),"Day Shift","Night Shift")</f>
        <v/>
      </c>
      <c r="F709" s="6">
        <f>INT(B709)</f>
        <v/>
      </c>
      <c r="G709" s="6">
        <f>INT(C709)</f>
        <v/>
      </c>
    </row>
    <row r="710">
      <c r="A710" s="7" t="inlineStr">
        <is>
          <t>EXD52</t>
        </is>
      </c>
      <c r="B710" s="8" t="n">
        <v>46061.75</v>
      </c>
      <c r="C710" s="8" t="n">
        <v>46062.06282407408</v>
      </c>
      <c r="D710" s="9">
        <f>(C710-B710)*24</f>
        <v/>
      </c>
      <c r="E710" s="10">
        <f>IF(AND(HOUR(B710)&gt;=6,HOUR(B710)&lt;18),"Day Shift","Night Shift")</f>
        <v/>
      </c>
      <c r="F710" s="11">
        <f>INT(B710)</f>
        <v/>
      </c>
      <c r="G710" s="11">
        <f>INT(C710)</f>
        <v/>
      </c>
    </row>
    <row r="711">
      <c r="A711" s="7" t="inlineStr">
        <is>
          <t>EDD1932</t>
        </is>
      </c>
      <c r="B711" s="8" t="n">
        <v>46059</v>
      </c>
      <c r="C711" s="8" t="n">
        <v>46059.25</v>
      </c>
      <c r="D711" s="9">
        <f>(C711-B711)*24</f>
        <v/>
      </c>
      <c r="E711" s="10">
        <f>IF(AND(HOUR(B711)&gt;=6,HOUR(B711)&lt;18),"Day Shift","Night Shift")</f>
        <v/>
      </c>
      <c r="F711" s="11">
        <f>INT(B711)</f>
        <v/>
      </c>
      <c r="G711" s="11">
        <f>INT(C711)</f>
        <v/>
      </c>
    </row>
    <row r="712">
      <c r="A712" s="2" t="inlineStr">
        <is>
          <t>EDD1932</t>
        </is>
      </c>
      <c r="B712" s="3" t="n">
        <v>46059.25</v>
      </c>
      <c r="C712" s="3" t="n">
        <v>46059.30517361111</v>
      </c>
      <c r="D712" s="4">
        <f>(C712-B712)*24</f>
        <v/>
      </c>
      <c r="E712" s="5">
        <f>IF(AND(HOUR(B712)&gt;=6,HOUR(B712)&lt;18),"Day Shift","Night Shift")</f>
        <v/>
      </c>
      <c r="F712" s="6">
        <f>INT(B712)</f>
        <v/>
      </c>
      <c r="G712" s="6">
        <f>INT(C712)</f>
        <v/>
      </c>
    </row>
    <row r="713">
      <c r="A713" s="7" t="inlineStr">
        <is>
          <t>EXD409</t>
        </is>
      </c>
      <c r="B713" s="8" t="n">
        <v>46059.01685185185</v>
      </c>
      <c r="C713" s="8" t="n">
        <v>46059.24203703704</v>
      </c>
      <c r="D713" s="9">
        <f>(C713-B713)*24</f>
        <v/>
      </c>
      <c r="E713" s="10">
        <f>IF(AND(HOUR(B713)&gt;=6,HOUR(B713)&lt;18),"Day Shift","Night Shift")</f>
        <v/>
      </c>
      <c r="F713" s="11">
        <f>INT(B713)</f>
        <v/>
      </c>
      <c r="G713" s="11">
        <f>INT(C713)</f>
        <v/>
      </c>
    </row>
    <row r="714">
      <c r="A714" s="7" t="inlineStr">
        <is>
          <t>DRE12</t>
        </is>
      </c>
      <c r="B714" s="8" t="n">
        <v>46059.03628472222</v>
      </c>
      <c r="C714" s="8" t="n">
        <v>46059.25</v>
      </c>
      <c r="D714" s="9">
        <f>(C714-B714)*24</f>
        <v/>
      </c>
      <c r="E714" s="10">
        <f>IF(AND(HOUR(B714)&gt;=6,HOUR(B714)&lt;18),"Day Shift","Night Shift")</f>
        <v/>
      </c>
      <c r="F714" s="11">
        <f>INT(B714)</f>
        <v/>
      </c>
      <c r="G714" s="11">
        <f>INT(C714)</f>
        <v/>
      </c>
    </row>
    <row r="715">
      <c r="A715" s="2" t="inlineStr">
        <is>
          <t>DRE12</t>
        </is>
      </c>
      <c r="B715" s="3" t="n">
        <v>46059.25</v>
      </c>
      <c r="C715" s="3" t="n">
        <v>46059.75</v>
      </c>
      <c r="D715" s="4">
        <f>(C715-B715)*24</f>
        <v/>
      </c>
      <c r="E715" s="5">
        <f>IF(AND(HOUR(B715)&gt;=6,HOUR(B715)&lt;18),"Day Shift","Night Shift")</f>
        <v/>
      </c>
      <c r="F715" s="6">
        <f>INT(B715)</f>
        <v/>
      </c>
      <c r="G715" s="6">
        <f>INT(C715)</f>
        <v/>
      </c>
    </row>
    <row r="716">
      <c r="A716" s="7" t="inlineStr">
        <is>
          <t>DRE12</t>
        </is>
      </c>
      <c r="B716" s="8" t="n">
        <v>46059.75</v>
      </c>
      <c r="C716" s="8" t="n">
        <v>46060.25</v>
      </c>
      <c r="D716" s="9">
        <f>(C716-B716)*24</f>
        <v/>
      </c>
      <c r="E716" s="10">
        <f>IF(AND(HOUR(B716)&gt;=6,HOUR(B716)&lt;18),"Day Shift","Night Shift")</f>
        <v/>
      </c>
      <c r="F716" s="11">
        <f>INT(B716)</f>
        <v/>
      </c>
      <c r="G716" s="11">
        <f>INT(C716)</f>
        <v/>
      </c>
    </row>
    <row r="717">
      <c r="A717" s="2" t="inlineStr">
        <is>
          <t>DRE12</t>
        </is>
      </c>
      <c r="B717" s="3" t="n">
        <v>46060.25</v>
      </c>
      <c r="C717" s="3" t="n">
        <v>46060.75</v>
      </c>
      <c r="D717" s="4">
        <f>(C717-B717)*24</f>
        <v/>
      </c>
      <c r="E717" s="5">
        <f>IF(AND(HOUR(B717)&gt;=6,HOUR(B717)&lt;18),"Day Shift","Night Shift")</f>
        <v/>
      </c>
      <c r="F717" s="6">
        <f>INT(B717)</f>
        <v/>
      </c>
      <c r="G717" s="6">
        <f>INT(C717)</f>
        <v/>
      </c>
    </row>
    <row r="718">
      <c r="A718" s="7" t="inlineStr">
        <is>
          <t>DRE12</t>
        </is>
      </c>
      <c r="B718" s="8" t="n">
        <v>46060.75</v>
      </c>
      <c r="C718" s="8" t="n">
        <v>46061.25</v>
      </c>
      <c r="D718" s="9">
        <f>(C718-B718)*24</f>
        <v/>
      </c>
      <c r="E718" s="10">
        <f>IF(AND(HOUR(B718)&gt;=6,HOUR(B718)&lt;18),"Day Shift","Night Shift")</f>
        <v/>
      </c>
      <c r="F718" s="11">
        <f>INT(B718)</f>
        <v/>
      </c>
      <c r="G718" s="11">
        <f>INT(C718)</f>
        <v/>
      </c>
    </row>
    <row r="719">
      <c r="A719" s="2" t="inlineStr">
        <is>
          <t>DRE12</t>
        </is>
      </c>
      <c r="B719" s="3" t="n">
        <v>46061.25</v>
      </c>
      <c r="C719" s="3" t="n">
        <v>46061.75</v>
      </c>
      <c r="D719" s="4">
        <f>(C719-B719)*24</f>
        <v/>
      </c>
      <c r="E719" s="5">
        <f>IF(AND(HOUR(B719)&gt;=6,HOUR(B719)&lt;18),"Day Shift","Night Shift")</f>
        <v/>
      </c>
      <c r="F719" s="6">
        <f>INT(B719)</f>
        <v/>
      </c>
      <c r="G719" s="6">
        <f>INT(C719)</f>
        <v/>
      </c>
    </row>
    <row r="720">
      <c r="A720" s="7" t="inlineStr">
        <is>
          <t>DRE12</t>
        </is>
      </c>
      <c r="B720" s="8" t="n">
        <v>46061.75</v>
      </c>
      <c r="C720" s="8" t="n">
        <v>46062.25</v>
      </c>
      <c r="D720" s="9">
        <f>(C720-B720)*24</f>
        <v/>
      </c>
      <c r="E720" s="10">
        <f>IF(AND(HOUR(B720)&gt;=6,HOUR(B720)&lt;18),"Day Shift","Night Shift")</f>
        <v/>
      </c>
      <c r="F720" s="11">
        <f>INT(B720)</f>
        <v/>
      </c>
      <c r="G720" s="11">
        <f>INT(C720)</f>
        <v/>
      </c>
    </row>
    <row r="721">
      <c r="A721" s="2" t="inlineStr">
        <is>
          <t>DRE12</t>
        </is>
      </c>
      <c r="B721" s="3" t="n">
        <v>46062.25</v>
      </c>
      <c r="C721" s="3" t="n">
        <v>46062.25350694444</v>
      </c>
      <c r="D721" s="4">
        <f>(C721-B721)*24</f>
        <v/>
      </c>
      <c r="E721" s="5">
        <f>IF(AND(HOUR(B721)&gt;=6,HOUR(B721)&lt;18),"Day Shift","Night Shift")</f>
        <v/>
      </c>
      <c r="F721" s="6">
        <f>INT(B721)</f>
        <v/>
      </c>
      <c r="G721" s="6">
        <f>INT(C721)</f>
        <v/>
      </c>
    </row>
    <row r="722">
      <c r="A722" s="7" t="inlineStr">
        <is>
          <t>LDW265</t>
        </is>
      </c>
      <c r="B722" s="8" t="n">
        <v>46059.04788194445</v>
      </c>
      <c r="C722" s="8" t="n">
        <v>46059.25</v>
      </c>
      <c r="D722" s="9">
        <f>(C722-B722)*24</f>
        <v/>
      </c>
      <c r="E722" s="10">
        <f>IF(AND(HOUR(B722)&gt;=6,HOUR(B722)&lt;18),"Day Shift","Night Shift")</f>
        <v/>
      </c>
      <c r="F722" s="11">
        <f>INT(B722)</f>
        <v/>
      </c>
      <c r="G722" s="11">
        <f>INT(C722)</f>
        <v/>
      </c>
    </row>
    <row r="723">
      <c r="A723" s="2" t="inlineStr">
        <is>
          <t>LDW265</t>
        </is>
      </c>
      <c r="B723" s="3" t="n">
        <v>46059.25</v>
      </c>
      <c r="C723" s="3" t="n">
        <v>46059.75</v>
      </c>
      <c r="D723" s="4">
        <f>(C723-B723)*24</f>
        <v/>
      </c>
      <c r="E723" s="5">
        <f>IF(AND(HOUR(B723)&gt;=6,HOUR(B723)&lt;18),"Day Shift","Night Shift")</f>
        <v/>
      </c>
      <c r="F723" s="6">
        <f>INT(B723)</f>
        <v/>
      </c>
      <c r="G723" s="6">
        <f>INT(C723)</f>
        <v/>
      </c>
    </row>
    <row r="724">
      <c r="A724" s="7" t="inlineStr">
        <is>
          <t>LDW265</t>
        </is>
      </c>
      <c r="B724" s="8" t="n">
        <v>46059.75</v>
      </c>
      <c r="C724" s="8" t="n">
        <v>46060.25</v>
      </c>
      <c r="D724" s="9">
        <f>(C724-B724)*24</f>
        <v/>
      </c>
      <c r="E724" s="10">
        <f>IF(AND(HOUR(B724)&gt;=6,HOUR(B724)&lt;18),"Day Shift","Night Shift")</f>
        <v/>
      </c>
      <c r="F724" s="11">
        <f>INT(B724)</f>
        <v/>
      </c>
      <c r="G724" s="11">
        <f>INT(C724)</f>
        <v/>
      </c>
    </row>
    <row r="725">
      <c r="A725" s="2" t="inlineStr">
        <is>
          <t>LDW265</t>
        </is>
      </c>
      <c r="B725" s="3" t="n">
        <v>46060.25</v>
      </c>
      <c r="C725" s="3" t="n">
        <v>46060.75</v>
      </c>
      <c r="D725" s="4">
        <f>(C725-B725)*24</f>
        <v/>
      </c>
      <c r="E725" s="5">
        <f>IF(AND(HOUR(B725)&gt;=6,HOUR(B725)&lt;18),"Day Shift","Night Shift")</f>
        <v/>
      </c>
      <c r="F725" s="6">
        <f>INT(B725)</f>
        <v/>
      </c>
      <c r="G725" s="6">
        <f>INT(C725)</f>
        <v/>
      </c>
    </row>
    <row r="726">
      <c r="A726" s="7" t="inlineStr">
        <is>
          <t>LDW265</t>
        </is>
      </c>
      <c r="B726" s="8" t="n">
        <v>46060.75</v>
      </c>
      <c r="C726" s="8" t="n">
        <v>46061.25</v>
      </c>
      <c r="D726" s="9">
        <f>(C726-B726)*24</f>
        <v/>
      </c>
      <c r="E726" s="10">
        <f>IF(AND(HOUR(B726)&gt;=6,HOUR(B726)&lt;18),"Day Shift","Night Shift")</f>
        <v/>
      </c>
      <c r="F726" s="11">
        <f>INT(B726)</f>
        <v/>
      </c>
      <c r="G726" s="11">
        <f>INT(C726)</f>
        <v/>
      </c>
    </row>
    <row r="727">
      <c r="A727" s="2" t="inlineStr">
        <is>
          <t>LDW265</t>
        </is>
      </c>
      <c r="B727" s="3" t="n">
        <v>46061.25</v>
      </c>
      <c r="C727" s="3" t="n">
        <v>46061.49002314815</v>
      </c>
      <c r="D727" s="4">
        <f>(C727-B727)*24</f>
        <v/>
      </c>
      <c r="E727" s="5">
        <f>IF(AND(HOUR(B727)&gt;=6,HOUR(B727)&lt;18),"Day Shift","Night Shift")</f>
        <v/>
      </c>
      <c r="F727" s="6">
        <f>INT(B727)</f>
        <v/>
      </c>
      <c r="G727" s="6">
        <f>INT(C727)</f>
        <v/>
      </c>
    </row>
    <row r="728">
      <c r="A728" s="7" t="inlineStr">
        <is>
          <t>EDD812</t>
        </is>
      </c>
      <c r="B728" s="8" t="n">
        <v>46059.12106481481</v>
      </c>
      <c r="C728" s="8" t="n">
        <v>46059.25</v>
      </c>
      <c r="D728" s="9">
        <f>(C728-B728)*24</f>
        <v/>
      </c>
      <c r="E728" s="10">
        <f>IF(AND(HOUR(B728)&gt;=6,HOUR(B728)&lt;18),"Day Shift","Night Shift")</f>
        <v/>
      </c>
      <c r="F728" s="11">
        <f>INT(B728)</f>
        <v/>
      </c>
      <c r="G728" s="11">
        <f>INT(C728)</f>
        <v/>
      </c>
    </row>
    <row r="729">
      <c r="A729" s="2" t="inlineStr">
        <is>
          <t>EDD812</t>
        </is>
      </c>
      <c r="B729" s="3" t="n">
        <v>46059.25</v>
      </c>
      <c r="C729" s="3" t="n">
        <v>46059.75</v>
      </c>
      <c r="D729" s="4">
        <f>(C729-B729)*24</f>
        <v/>
      </c>
      <c r="E729" s="5">
        <f>IF(AND(HOUR(B729)&gt;=6,HOUR(B729)&lt;18),"Day Shift","Night Shift")</f>
        <v/>
      </c>
      <c r="F729" s="6">
        <f>INT(B729)</f>
        <v/>
      </c>
      <c r="G729" s="6">
        <f>INT(C729)</f>
        <v/>
      </c>
    </row>
    <row r="730">
      <c r="A730" s="7" t="inlineStr">
        <is>
          <t>EDD812</t>
        </is>
      </c>
      <c r="B730" s="8" t="n">
        <v>46059.75</v>
      </c>
      <c r="C730" s="8" t="n">
        <v>46059.90384259259</v>
      </c>
      <c r="D730" s="9">
        <f>(C730-B730)*24</f>
        <v/>
      </c>
      <c r="E730" s="10">
        <f>IF(AND(HOUR(B730)&gt;=6,HOUR(B730)&lt;18),"Day Shift","Night Shift")</f>
        <v/>
      </c>
      <c r="F730" s="11">
        <f>INT(B730)</f>
        <v/>
      </c>
      <c r="G730" s="11">
        <f>INT(C730)</f>
        <v/>
      </c>
    </row>
    <row r="731">
      <c r="A731" s="7" t="inlineStr">
        <is>
          <t>EDD2541</t>
        </is>
      </c>
      <c r="B731" s="8" t="n">
        <v>46059.12868055556</v>
      </c>
      <c r="C731" s="8" t="n">
        <v>46059.25</v>
      </c>
      <c r="D731" s="9">
        <f>(C731-B731)*24</f>
        <v/>
      </c>
      <c r="E731" s="10">
        <f>IF(AND(HOUR(B731)&gt;=6,HOUR(B731)&lt;18),"Day Shift","Night Shift")</f>
        <v/>
      </c>
      <c r="F731" s="11">
        <f>INT(B731)</f>
        <v/>
      </c>
      <c r="G731" s="11">
        <f>INT(C731)</f>
        <v/>
      </c>
    </row>
    <row r="732">
      <c r="A732" s="2" t="inlineStr">
        <is>
          <t>EDD2541</t>
        </is>
      </c>
      <c r="B732" s="3" t="n">
        <v>46059.25</v>
      </c>
      <c r="C732" s="3" t="n">
        <v>46059.4744212963</v>
      </c>
      <c r="D732" s="4">
        <f>(C732-B732)*24</f>
        <v/>
      </c>
      <c r="E732" s="5">
        <f>IF(AND(HOUR(B732)&gt;=6,HOUR(B732)&lt;18),"Day Shift","Night Shift")</f>
        <v/>
      </c>
      <c r="F732" s="6">
        <f>INT(B732)</f>
        <v/>
      </c>
      <c r="G732" s="6">
        <f>INT(C732)</f>
        <v/>
      </c>
    </row>
    <row r="733">
      <c r="A733" s="7" t="inlineStr">
        <is>
          <t>EDD2134;EDD175</t>
        </is>
      </c>
      <c r="B733" s="8" t="n">
        <v>46059.17379629629</v>
      </c>
      <c r="C733" s="8" t="n">
        <v>46059.25</v>
      </c>
      <c r="D733" s="9">
        <f>(C733-B733)*24</f>
        <v/>
      </c>
      <c r="E733" s="10">
        <f>IF(AND(HOUR(B733)&gt;=6,HOUR(B733)&lt;18),"Day Shift","Night Shift")</f>
        <v/>
      </c>
      <c r="F733" s="11">
        <f>INT(B733)</f>
        <v/>
      </c>
      <c r="G733" s="11">
        <f>INT(C733)</f>
        <v/>
      </c>
    </row>
    <row r="734">
      <c r="A734" s="2" t="inlineStr">
        <is>
          <t>EDD2134;EDD175</t>
        </is>
      </c>
      <c r="B734" s="3" t="n">
        <v>46059.25</v>
      </c>
      <c r="C734" s="3" t="n">
        <v>46059.75</v>
      </c>
      <c r="D734" s="4">
        <f>(C734-B734)*24</f>
        <v/>
      </c>
      <c r="E734" s="5">
        <f>IF(AND(HOUR(B734)&gt;=6,HOUR(B734)&lt;18),"Day Shift","Night Shift")</f>
        <v/>
      </c>
      <c r="F734" s="6">
        <f>INT(B734)</f>
        <v/>
      </c>
      <c r="G734" s="6">
        <f>INT(C734)</f>
        <v/>
      </c>
    </row>
    <row r="735">
      <c r="A735" s="7" t="inlineStr">
        <is>
          <t>EDD2134;EDD175</t>
        </is>
      </c>
      <c r="B735" s="8" t="n">
        <v>46059.75</v>
      </c>
      <c r="C735" s="8" t="n">
        <v>46059.79358796297</v>
      </c>
      <c r="D735" s="9">
        <f>(C735-B735)*24</f>
        <v/>
      </c>
      <c r="E735" s="10">
        <f>IF(AND(HOUR(B735)&gt;=6,HOUR(B735)&lt;18),"Day Shift","Night Shift")</f>
        <v/>
      </c>
      <c r="F735" s="11">
        <f>INT(B735)</f>
        <v/>
      </c>
      <c r="G735" s="11">
        <f>INT(C735)</f>
        <v/>
      </c>
    </row>
    <row r="736">
      <c r="A736" s="7" t="inlineStr">
        <is>
          <t>EXD408</t>
        </is>
      </c>
      <c r="B736" s="8" t="n">
        <v>46059.24582175926</v>
      </c>
      <c r="C736" s="8" t="n">
        <v>46059.25</v>
      </c>
      <c r="D736" s="9">
        <f>(C736-B736)*24</f>
        <v/>
      </c>
      <c r="E736" s="10">
        <f>IF(AND(HOUR(B736)&gt;=6,HOUR(B736)&lt;18),"Day Shift","Night Shift")</f>
        <v/>
      </c>
      <c r="F736" s="11">
        <f>INT(B736)</f>
        <v/>
      </c>
      <c r="G736" s="11">
        <f>INT(C736)</f>
        <v/>
      </c>
    </row>
    <row r="737">
      <c r="A737" s="2" t="inlineStr">
        <is>
          <t>EXD408</t>
        </is>
      </c>
      <c r="B737" s="3" t="n">
        <v>46059.25</v>
      </c>
      <c r="C737" s="3" t="n">
        <v>46059.75</v>
      </c>
      <c r="D737" s="4">
        <f>(C737-B737)*24</f>
        <v/>
      </c>
      <c r="E737" s="5">
        <f>IF(AND(HOUR(B737)&gt;=6,HOUR(B737)&lt;18),"Day Shift","Night Shift")</f>
        <v/>
      </c>
      <c r="F737" s="6">
        <f>INT(B737)</f>
        <v/>
      </c>
      <c r="G737" s="6">
        <f>INT(C737)</f>
        <v/>
      </c>
    </row>
    <row r="738">
      <c r="A738" s="7" t="inlineStr">
        <is>
          <t>EXD408</t>
        </is>
      </c>
      <c r="B738" s="8" t="n">
        <v>46059.75</v>
      </c>
      <c r="C738" s="8" t="n">
        <v>46060.25</v>
      </c>
      <c r="D738" s="9">
        <f>(C738-B738)*24</f>
        <v/>
      </c>
      <c r="E738" s="10">
        <f>IF(AND(HOUR(B738)&gt;=6,HOUR(B738)&lt;18),"Day Shift","Night Shift")</f>
        <v/>
      </c>
      <c r="F738" s="11">
        <f>INT(B738)</f>
        <v/>
      </c>
      <c r="G738" s="11">
        <f>INT(C738)</f>
        <v/>
      </c>
    </row>
    <row r="739">
      <c r="A739" s="2" t="inlineStr">
        <is>
          <t>EXD408</t>
        </is>
      </c>
      <c r="B739" s="3" t="n">
        <v>46060.25</v>
      </c>
      <c r="C739" s="3" t="n">
        <v>46060.35873842592</v>
      </c>
      <c r="D739" s="4">
        <f>(C739-B739)*24</f>
        <v/>
      </c>
      <c r="E739" s="5">
        <f>IF(AND(HOUR(B739)&gt;=6,HOUR(B739)&lt;18),"Day Shift","Night Shift")</f>
        <v/>
      </c>
      <c r="F739" s="6">
        <f>INT(B739)</f>
        <v/>
      </c>
      <c r="G739" s="6">
        <f>INT(C739)</f>
        <v/>
      </c>
    </row>
    <row r="740">
      <c r="A740" s="2" t="inlineStr">
        <is>
          <t>EXD98</t>
        </is>
      </c>
      <c r="B740" s="3" t="n">
        <v>46059.29809027778</v>
      </c>
      <c r="C740" s="3" t="n">
        <v>46059.68164351852</v>
      </c>
      <c r="D740" s="4">
        <f>(C740-B740)*24</f>
        <v/>
      </c>
      <c r="E740" s="5">
        <f>IF(AND(HOUR(B740)&gt;=6,HOUR(B740)&lt;18),"Day Shift","Night Shift")</f>
        <v/>
      </c>
      <c r="F740" s="6">
        <f>INT(B740)</f>
        <v/>
      </c>
      <c r="G740" s="6">
        <f>INT(C740)</f>
        <v/>
      </c>
    </row>
    <row r="741">
      <c r="A741" s="2" t="inlineStr">
        <is>
          <t>SHE36;EXD101</t>
        </is>
      </c>
      <c r="B741" s="3" t="n">
        <v>46059.41649305556</v>
      </c>
      <c r="C741" s="3" t="n">
        <v>46059.75</v>
      </c>
      <c r="D741" s="4">
        <f>(C741-B741)*24</f>
        <v/>
      </c>
      <c r="E741" s="5">
        <f>IF(AND(HOUR(B741)&gt;=6,HOUR(B741)&lt;18),"Day Shift","Night Shift")</f>
        <v/>
      </c>
      <c r="F741" s="6">
        <f>INT(B741)</f>
        <v/>
      </c>
      <c r="G741" s="6">
        <f>INT(C741)</f>
        <v/>
      </c>
    </row>
    <row r="742">
      <c r="A742" s="7" t="inlineStr">
        <is>
          <t>SHE36;EXD101</t>
        </is>
      </c>
      <c r="B742" s="8" t="n">
        <v>46059.75</v>
      </c>
      <c r="C742" s="8" t="n">
        <v>46060.25</v>
      </c>
      <c r="D742" s="9">
        <f>(C742-B742)*24</f>
        <v/>
      </c>
      <c r="E742" s="10">
        <f>IF(AND(HOUR(B742)&gt;=6,HOUR(B742)&lt;18),"Day Shift","Night Shift")</f>
        <v/>
      </c>
      <c r="F742" s="11">
        <f>INT(B742)</f>
        <v/>
      </c>
      <c r="G742" s="11">
        <f>INT(C742)</f>
        <v/>
      </c>
    </row>
    <row r="743">
      <c r="A743" s="2" t="inlineStr">
        <is>
          <t>SHE36;EXD101</t>
        </is>
      </c>
      <c r="B743" s="3" t="n">
        <v>46060.25</v>
      </c>
      <c r="C743" s="3" t="n">
        <v>46060.75</v>
      </c>
      <c r="D743" s="4">
        <f>(C743-B743)*24</f>
        <v/>
      </c>
      <c r="E743" s="5">
        <f>IF(AND(HOUR(B743)&gt;=6,HOUR(B743)&lt;18),"Day Shift","Night Shift")</f>
        <v/>
      </c>
      <c r="F743" s="6">
        <f>INT(B743)</f>
        <v/>
      </c>
      <c r="G743" s="6">
        <f>INT(C743)</f>
        <v/>
      </c>
    </row>
    <row r="744">
      <c r="A744" s="7" t="inlineStr">
        <is>
          <t>SHE36;EXD101</t>
        </is>
      </c>
      <c r="B744" s="8" t="n">
        <v>46060.75</v>
      </c>
      <c r="C744" s="8" t="n">
        <v>46061.25</v>
      </c>
      <c r="D744" s="9">
        <f>(C744-B744)*24</f>
        <v/>
      </c>
      <c r="E744" s="10">
        <f>IF(AND(HOUR(B744)&gt;=6,HOUR(B744)&lt;18),"Day Shift","Night Shift")</f>
        <v/>
      </c>
      <c r="F744" s="11">
        <f>INT(B744)</f>
        <v/>
      </c>
      <c r="G744" s="11">
        <f>INT(C744)</f>
        <v/>
      </c>
    </row>
    <row r="745">
      <c r="A745" s="2" t="inlineStr">
        <is>
          <t>SHE36;EXD101</t>
        </is>
      </c>
      <c r="B745" s="3" t="n">
        <v>46061.25</v>
      </c>
      <c r="C745" s="3" t="n">
        <v>46061.75</v>
      </c>
      <c r="D745" s="4">
        <f>(C745-B745)*24</f>
        <v/>
      </c>
      <c r="E745" s="5">
        <f>IF(AND(HOUR(B745)&gt;=6,HOUR(B745)&lt;18),"Day Shift","Night Shift")</f>
        <v/>
      </c>
      <c r="F745" s="6">
        <f>INT(B745)</f>
        <v/>
      </c>
      <c r="G745" s="6">
        <f>INT(C745)</f>
        <v/>
      </c>
    </row>
    <row r="746">
      <c r="A746" s="7" t="inlineStr">
        <is>
          <t>SHE36;EXD101</t>
        </is>
      </c>
      <c r="B746" s="8" t="n">
        <v>46061.75</v>
      </c>
      <c r="C746" s="8" t="n">
        <v>46062.25</v>
      </c>
      <c r="D746" s="9">
        <f>(C746-B746)*24</f>
        <v/>
      </c>
      <c r="E746" s="10">
        <f>IF(AND(HOUR(B746)&gt;=6,HOUR(B746)&lt;18),"Day Shift","Night Shift")</f>
        <v/>
      </c>
      <c r="F746" s="11">
        <f>INT(B746)</f>
        <v/>
      </c>
      <c r="G746" s="11">
        <f>INT(C746)</f>
        <v/>
      </c>
    </row>
    <row r="747">
      <c r="A747" s="2" t="inlineStr">
        <is>
          <t>SHE36;EXD101</t>
        </is>
      </c>
      <c r="B747" s="3" t="n">
        <v>46062.25</v>
      </c>
      <c r="C747" s="3" t="n">
        <v>46062.75</v>
      </c>
      <c r="D747" s="4">
        <f>(C747-B747)*24</f>
        <v/>
      </c>
      <c r="E747" s="5">
        <f>IF(AND(HOUR(B747)&gt;=6,HOUR(B747)&lt;18),"Day Shift","Night Shift")</f>
        <v/>
      </c>
      <c r="F747" s="6">
        <f>INT(B747)</f>
        <v/>
      </c>
      <c r="G747" s="6">
        <f>INT(C747)</f>
        <v/>
      </c>
    </row>
    <row r="748">
      <c r="A748" s="7" t="inlineStr">
        <is>
          <t>SHE36;EXD101</t>
        </is>
      </c>
      <c r="B748" s="8" t="n">
        <v>46062.75</v>
      </c>
      <c r="C748" s="8" t="n">
        <v>46063.25</v>
      </c>
      <c r="D748" s="9">
        <f>(C748-B748)*24</f>
        <v/>
      </c>
      <c r="E748" s="10">
        <f>IF(AND(HOUR(B748)&gt;=6,HOUR(B748)&lt;18),"Day Shift","Night Shift")</f>
        <v/>
      </c>
      <c r="F748" s="11">
        <f>INT(B748)</f>
        <v/>
      </c>
      <c r="G748" s="11">
        <f>INT(C748)</f>
        <v/>
      </c>
    </row>
    <row r="749">
      <c r="A749" s="2" t="inlineStr">
        <is>
          <t>SHE36;EXD101</t>
        </is>
      </c>
      <c r="B749" s="3" t="n">
        <v>46063.25</v>
      </c>
      <c r="C749" s="3" t="n">
        <v>46063.75</v>
      </c>
      <c r="D749" s="4">
        <f>(C749-B749)*24</f>
        <v/>
      </c>
      <c r="E749" s="5">
        <f>IF(AND(HOUR(B749)&gt;=6,HOUR(B749)&lt;18),"Day Shift","Night Shift")</f>
        <v/>
      </c>
      <c r="F749" s="6">
        <f>INT(B749)</f>
        <v/>
      </c>
      <c r="G749" s="6">
        <f>INT(C749)</f>
        <v/>
      </c>
    </row>
    <row r="750">
      <c r="A750" s="7" t="inlineStr">
        <is>
          <t>SHE36;EXD101</t>
        </is>
      </c>
      <c r="B750" s="8" t="n">
        <v>46063.75</v>
      </c>
      <c r="C750" s="8" t="n">
        <v>46064.25</v>
      </c>
      <c r="D750" s="9">
        <f>(C750-B750)*24</f>
        <v/>
      </c>
      <c r="E750" s="10">
        <f>IF(AND(HOUR(B750)&gt;=6,HOUR(B750)&lt;18),"Day Shift","Night Shift")</f>
        <v/>
      </c>
      <c r="F750" s="11">
        <f>INT(B750)</f>
        <v/>
      </c>
      <c r="G750" s="11">
        <f>INT(C750)</f>
        <v/>
      </c>
    </row>
    <row r="751">
      <c r="A751" s="2" t="inlineStr">
        <is>
          <t>SHE36;EXD101</t>
        </is>
      </c>
      <c r="B751" s="3" t="n">
        <v>46064.25</v>
      </c>
      <c r="C751" s="3" t="n">
        <v>46064.75</v>
      </c>
      <c r="D751" s="4">
        <f>(C751-B751)*24</f>
        <v/>
      </c>
      <c r="E751" s="5">
        <f>IF(AND(HOUR(B751)&gt;=6,HOUR(B751)&lt;18),"Day Shift","Night Shift")</f>
        <v/>
      </c>
      <c r="F751" s="6">
        <f>INT(B751)</f>
        <v/>
      </c>
      <c r="G751" s="6">
        <f>INT(C751)</f>
        <v/>
      </c>
    </row>
    <row r="752">
      <c r="A752" s="7" t="inlineStr">
        <is>
          <t>SHE36;EXD101</t>
        </is>
      </c>
      <c r="B752" s="8" t="n">
        <v>46064.75</v>
      </c>
      <c r="C752" s="8" t="n">
        <v>46065.25</v>
      </c>
      <c r="D752" s="9">
        <f>(C752-B752)*24</f>
        <v/>
      </c>
      <c r="E752" s="10">
        <f>IF(AND(HOUR(B752)&gt;=6,HOUR(B752)&lt;18),"Day Shift","Night Shift")</f>
        <v/>
      </c>
      <c r="F752" s="11">
        <f>INT(B752)</f>
        <v/>
      </c>
      <c r="G752" s="11">
        <f>INT(C752)</f>
        <v/>
      </c>
    </row>
    <row r="753">
      <c r="A753" s="2" t="inlineStr">
        <is>
          <t>SHE36;EXD101</t>
        </is>
      </c>
      <c r="B753" s="3" t="n">
        <v>46065.25</v>
      </c>
      <c r="C753" s="3" t="n">
        <v>46065.75</v>
      </c>
      <c r="D753" s="4">
        <f>(C753-B753)*24</f>
        <v/>
      </c>
      <c r="E753" s="5">
        <f>IF(AND(HOUR(B753)&gt;=6,HOUR(B753)&lt;18),"Day Shift","Night Shift")</f>
        <v/>
      </c>
      <c r="F753" s="6">
        <f>INT(B753)</f>
        <v/>
      </c>
      <c r="G753" s="6">
        <f>INT(C753)</f>
        <v/>
      </c>
    </row>
    <row r="754">
      <c r="A754" s="7" t="inlineStr">
        <is>
          <t>SHE36;EXD101</t>
        </is>
      </c>
      <c r="B754" s="8" t="n">
        <v>46065.75</v>
      </c>
      <c r="C754" s="8" t="n">
        <v>46066.25</v>
      </c>
      <c r="D754" s="9">
        <f>(C754-B754)*24</f>
        <v/>
      </c>
      <c r="E754" s="10">
        <f>IF(AND(HOUR(B754)&gt;=6,HOUR(B754)&lt;18),"Day Shift","Night Shift")</f>
        <v/>
      </c>
      <c r="F754" s="11">
        <f>INT(B754)</f>
        <v/>
      </c>
      <c r="G754" s="11">
        <f>INT(C754)</f>
        <v/>
      </c>
    </row>
    <row r="755">
      <c r="A755" s="2" t="inlineStr">
        <is>
          <t>SHE36;EXD101</t>
        </is>
      </c>
      <c r="B755" s="3" t="n">
        <v>46066.25</v>
      </c>
      <c r="C755" s="3" t="n">
        <v>46066.75</v>
      </c>
      <c r="D755" s="4">
        <f>(C755-B755)*24</f>
        <v/>
      </c>
      <c r="E755" s="5">
        <f>IF(AND(HOUR(B755)&gt;=6,HOUR(B755)&lt;18),"Day Shift","Night Shift")</f>
        <v/>
      </c>
      <c r="F755" s="6">
        <f>INT(B755)</f>
        <v/>
      </c>
      <c r="G755" s="6">
        <f>INT(C755)</f>
        <v/>
      </c>
    </row>
    <row r="756">
      <c r="A756" s="7" t="inlineStr">
        <is>
          <t>SHE36;EXD101</t>
        </is>
      </c>
      <c r="B756" s="8" t="n">
        <v>46066.75</v>
      </c>
      <c r="C756" s="8" t="n">
        <v>46067.25</v>
      </c>
      <c r="D756" s="9">
        <f>(C756-B756)*24</f>
        <v/>
      </c>
      <c r="E756" s="10">
        <f>IF(AND(HOUR(B756)&gt;=6,HOUR(B756)&lt;18),"Day Shift","Night Shift")</f>
        <v/>
      </c>
      <c r="F756" s="11">
        <f>INT(B756)</f>
        <v/>
      </c>
      <c r="G756" s="11">
        <f>INT(C756)</f>
        <v/>
      </c>
    </row>
    <row r="757">
      <c r="A757" s="2" t="inlineStr">
        <is>
          <t>SHE36;EXD101</t>
        </is>
      </c>
      <c r="B757" s="3" t="n">
        <v>46067.25</v>
      </c>
      <c r="C757" s="3" t="n">
        <v>46067.75</v>
      </c>
      <c r="D757" s="4">
        <f>(C757-B757)*24</f>
        <v/>
      </c>
      <c r="E757" s="5">
        <f>IF(AND(HOUR(B757)&gt;=6,HOUR(B757)&lt;18),"Day Shift","Night Shift")</f>
        <v/>
      </c>
      <c r="F757" s="6">
        <f>INT(B757)</f>
        <v/>
      </c>
      <c r="G757" s="6">
        <f>INT(C757)</f>
        <v/>
      </c>
    </row>
    <row r="758">
      <c r="A758" s="7" t="inlineStr">
        <is>
          <t>SHE36;EXD101</t>
        </is>
      </c>
      <c r="B758" s="8" t="n">
        <v>46067.75</v>
      </c>
      <c r="C758" s="8" t="n">
        <v>46068.25</v>
      </c>
      <c r="D758" s="9">
        <f>(C758-B758)*24</f>
        <v/>
      </c>
      <c r="E758" s="10">
        <f>IF(AND(HOUR(B758)&gt;=6,HOUR(B758)&lt;18),"Day Shift","Night Shift")</f>
        <v/>
      </c>
      <c r="F758" s="11">
        <f>INT(B758)</f>
        <v/>
      </c>
      <c r="G758" s="11">
        <f>INT(C758)</f>
        <v/>
      </c>
    </row>
    <row r="759">
      <c r="A759" s="2" t="inlineStr">
        <is>
          <t>SHE36;EXD101</t>
        </is>
      </c>
      <c r="B759" s="3" t="n">
        <v>46068.25</v>
      </c>
      <c r="C759" s="3" t="n">
        <v>46068.75</v>
      </c>
      <c r="D759" s="4">
        <f>(C759-B759)*24</f>
        <v/>
      </c>
      <c r="E759" s="5">
        <f>IF(AND(HOUR(B759)&gt;=6,HOUR(B759)&lt;18),"Day Shift","Night Shift")</f>
        <v/>
      </c>
      <c r="F759" s="6">
        <f>INT(B759)</f>
        <v/>
      </c>
      <c r="G759" s="6">
        <f>INT(C759)</f>
        <v/>
      </c>
    </row>
    <row r="760">
      <c r="A760" s="7" t="inlineStr">
        <is>
          <t>SHE36;EXD101</t>
        </is>
      </c>
      <c r="B760" s="8" t="n">
        <v>46068.75</v>
      </c>
      <c r="C760" s="8" t="n">
        <v>46069.25</v>
      </c>
      <c r="D760" s="9">
        <f>(C760-B760)*24</f>
        <v/>
      </c>
      <c r="E760" s="10">
        <f>IF(AND(HOUR(B760)&gt;=6,HOUR(B760)&lt;18),"Day Shift","Night Shift")</f>
        <v/>
      </c>
      <c r="F760" s="11">
        <f>INT(B760)</f>
        <v/>
      </c>
      <c r="G760" s="11">
        <f>INT(C760)</f>
        <v/>
      </c>
    </row>
    <row r="761">
      <c r="A761" s="2" t="inlineStr">
        <is>
          <t>SHE36;EXD101</t>
        </is>
      </c>
      <c r="B761" s="3" t="n">
        <v>46069.25</v>
      </c>
      <c r="C761" s="3" t="n">
        <v>46069.75</v>
      </c>
      <c r="D761" s="4">
        <f>(C761-B761)*24</f>
        <v/>
      </c>
      <c r="E761" s="5">
        <f>IF(AND(HOUR(B761)&gt;=6,HOUR(B761)&lt;18),"Day Shift","Night Shift")</f>
        <v/>
      </c>
      <c r="F761" s="6">
        <f>INT(B761)</f>
        <v/>
      </c>
      <c r="G761" s="6">
        <f>INT(C761)</f>
        <v/>
      </c>
    </row>
    <row r="762">
      <c r="A762" s="7" t="inlineStr">
        <is>
          <t>SHE36;EXD101</t>
        </is>
      </c>
      <c r="B762" s="8" t="n">
        <v>46069.75</v>
      </c>
      <c r="C762" s="8" t="n">
        <v>46070.25</v>
      </c>
      <c r="D762" s="9">
        <f>(C762-B762)*24</f>
        <v/>
      </c>
      <c r="E762" s="10">
        <f>IF(AND(HOUR(B762)&gt;=6,HOUR(B762)&lt;18),"Day Shift","Night Shift")</f>
        <v/>
      </c>
      <c r="F762" s="11">
        <f>INT(B762)</f>
        <v/>
      </c>
      <c r="G762" s="11">
        <f>INT(C762)</f>
        <v/>
      </c>
    </row>
    <row r="763">
      <c r="A763" s="2" t="inlineStr">
        <is>
          <t>SHE36;EXD101</t>
        </is>
      </c>
      <c r="B763" s="3" t="n">
        <v>46070.25</v>
      </c>
      <c r="C763" s="3" t="n">
        <v>46070.75</v>
      </c>
      <c r="D763" s="4">
        <f>(C763-B763)*24</f>
        <v/>
      </c>
      <c r="E763" s="5">
        <f>IF(AND(HOUR(B763)&gt;=6,HOUR(B763)&lt;18),"Day Shift","Night Shift")</f>
        <v/>
      </c>
      <c r="F763" s="6">
        <f>INT(B763)</f>
        <v/>
      </c>
      <c r="G763" s="6">
        <f>INT(C763)</f>
        <v/>
      </c>
    </row>
    <row r="764">
      <c r="A764" s="7" t="inlineStr">
        <is>
          <t>SHE36;EXD101</t>
        </is>
      </c>
      <c r="B764" s="8" t="n">
        <v>46070.75</v>
      </c>
      <c r="C764" s="8" t="n">
        <v>46071.25</v>
      </c>
      <c r="D764" s="9">
        <f>(C764-B764)*24</f>
        <v/>
      </c>
      <c r="E764" s="10">
        <f>IF(AND(HOUR(B764)&gt;=6,HOUR(B764)&lt;18),"Day Shift","Night Shift")</f>
        <v/>
      </c>
      <c r="F764" s="11">
        <f>INT(B764)</f>
        <v/>
      </c>
      <c r="G764" s="11">
        <f>INT(C764)</f>
        <v/>
      </c>
    </row>
    <row r="765">
      <c r="A765" s="2" t="inlineStr">
        <is>
          <t>SHE36;EXD101</t>
        </is>
      </c>
      <c r="B765" s="3" t="n">
        <v>46071.25</v>
      </c>
      <c r="C765" s="3" t="n">
        <v>46071.75</v>
      </c>
      <c r="D765" s="4">
        <f>(C765-B765)*24</f>
        <v/>
      </c>
      <c r="E765" s="5">
        <f>IF(AND(HOUR(B765)&gt;=6,HOUR(B765)&lt;18),"Day Shift","Night Shift")</f>
        <v/>
      </c>
      <c r="F765" s="6">
        <f>INT(B765)</f>
        <v/>
      </c>
      <c r="G765" s="6">
        <f>INT(C765)</f>
        <v/>
      </c>
    </row>
    <row r="766">
      <c r="A766" s="7" t="inlineStr">
        <is>
          <t>SHE36;EXD101</t>
        </is>
      </c>
      <c r="B766" s="8" t="n">
        <v>46071.75</v>
      </c>
      <c r="C766" s="8" t="n">
        <v>46072.25</v>
      </c>
      <c r="D766" s="9">
        <f>(C766-B766)*24</f>
        <v/>
      </c>
      <c r="E766" s="10">
        <f>IF(AND(HOUR(B766)&gt;=6,HOUR(B766)&lt;18),"Day Shift","Night Shift")</f>
        <v/>
      </c>
      <c r="F766" s="11">
        <f>INT(B766)</f>
        <v/>
      </c>
      <c r="G766" s="11">
        <f>INT(C766)</f>
        <v/>
      </c>
    </row>
    <row r="767">
      <c r="A767" s="2" t="inlineStr">
        <is>
          <t>SHE36;EXD101</t>
        </is>
      </c>
      <c r="B767" s="3" t="n">
        <v>46072.25</v>
      </c>
      <c r="C767" s="3" t="n">
        <v>46072.75</v>
      </c>
      <c r="D767" s="4">
        <f>(C767-B767)*24</f>
        <v/>
      </c>
      <c r="E767" s="5">
        <f>IF(AND(HOUR(B767)&gt;=6,HOUR(B767)&lt;18),"Day Shift","Night Shift")</f>
        <v/>
      </c>
      <c r="F767" s="6">
        <f>INT(B767)</f>
        <v/>
      </c>
      <c r="G767" s="6">
        <f>INT(C767)</f>
        <v/>
      </c>
    </row>
    <row r="768">
      <c r="A768" s="7" t="inlineStr">
        <is>
          <t>SHE36;EXD101</t>
        </is>
      </c>
      <c r="B768" s="8" t="n">
        <v>46072.75</v>
      </c>
      <c r="C768" s="8" t="n">
        <v>46073.25</v>
      </c>
      <c r="D768" s="9">
        <f>(C768-B768)*24</f>
        <v/>
      </c>
      <c r="E768" s="10">
        <f>IF(AND(HOUR(B768)&gt;=6,HOUR(B768)&lt;18),"Day Shift","Night Shift")</f>
        <v/>
      </c>
      <c r="F768" s="11">
        <f>INT(B768)</f>
        <v/>
      </c>
      <c r="G768" s="11">
        <f>INT(C768)</f>
        <v/>
      </c>
    </row>
    <row r="769">
      <c r="A769" s="2" t="inlineStr">
        <is>
          <t>SHE36;EXD101</t>
        </is>
      </c>
      <c r="B769" s="3" t="n">
        <v>46073.25</v>
      </c>
      <c r="C769" s="3" t="n">
        <v>46073.75</v>
      </c>
      <c r="D769" s="4">
        <f>(C769-B769)*24</f>
        <v/>
      </c>
      <c r="E769" s="5">
        <f>IF(AND(HOUR(B769)&gt;=6,HOUR(B769)&lt;18),"Day Shift","Night Shift")</f>
        <v/>
      </c>
      <c r="F769" s="6">
        <f>INT(B769)</f>
        <v/>
      </c>
      <c r="G769" s="6">
        <f>INT(C769)</f>
        <v/>
      </c>
    </row>
    <row r="770">
      <c r="A770" s="7" t="inlineStr">
        <is>
          <t>SHE36;EXD101</t>
        </is>
      </c>
      <c r="B770" s="8" t="n">
        <v>46073.75</v>
      </c>
      <c r="C770" s="8" t="n">
        <v>46074.25</v>
      </c>
      <c r="D770" s="9">
        <f>(C770-B770)*24</f>
        <v/>
      </c>
      <c r="E770" s="10">
        <f>IF(AND(HOUR(B770)&gt;=6,HOUR(B770)&lt;18),"Day Shift","Night Shift")</f>
        <v/>
      </c>
      <c r="F770" s="11">
        <f>INT(B770)</f>
        <v/>
      </c>
      <c r="G770" s="11">
        <f>INT(C770)</f>
        <v/>
      </c>
    </row>
    <row r="771">
      <c r="A771" s="2" t="inlineStr">
        <is>
          <t>SHE36;EXD101</t>
        </is>
      </c>
      <c r="B771" s="3" t="n">
        <v>46074.25</v>
      </c>
      <c r="C771" s="3" t="n">
        <v>46074.75</v>
      </c>
      <c r="D771" s="4">
        <f>(C771-B771)*24</f>
        <v/>
      </c>
      <c r="E771" s="5">
        <f>IF(AND(HOUR(B771)&gt;=6,HOUR(B771)&lt;18),"Day Shift","Night Shift")</f>
        <v/>
      </c>
      <c r="F771" s="6">
        <f>INT(B771)</f>
        <v/>
      </c>
      <c r="G771" s="6">
        <f>INT(C771)</f>
        <v/>
      </c>
    </row>
    <row r="772">
      <c r="A772" s="7" t="inlineStr">
        <is>
          <t>SHE36;EXD101</t>
        </is>
      </c>
      <c r="B772" s="8" t="n">
        <v>46074.75</v>
      </c>
      <c r="C772" s="8" t="n">
        <v>46075.25</v>
      </c>
      <c r="D772" s="9">
        <f>(C772-B772)*24</f>
        <v/>
      </c>
      <c r="E772" s="10">
        <f>IF(AND(HOUR(B772)&gt;=6,HOUR(B772)&lt;18),"Day Shift","Night Shift")</f>
        <v/>
      </c>
      <c r="F772" s="11">
        <f>INT(B772)</f>
        <v/>
      </c>
      <c r="G772" s="11">
        <f>INT(C772)</f>
        <v/>
      </c>
    </row>
    <row r="773">
      <c r="A773" s="2" t="inlineStr">
        <is>
          <t>SHE36;EXD101</t>
        </is>
      </c>
      <c r="B773" s="3" t="n">
        <v>46075.25</v>
      </c>
      <c r="C773" s="3" t="n">
        <v>46075.75</v>
      </c>
      <c r="D773" s="4">
        <f>(C773-B773)*24</f>
        <v/>
      </c>
      <c r="E773" s="5">
        <f>IF(AND(HOUR(B773)&gt;=6,HOUR(B773)&lt;18),"Day Shift","Night Shift")</f>
        <v/>
      </c>
      <c r="F773" s="6">
        <f>INT(B773)</f>
        <v/>
      </c>
      <c r="G773" s="6">
        <f>INT(C773)</f>
        <v/>
      </c>
    </row>
    <row r="774">
      <c r="A774" s="7" t="inlineStr">
        <is>
          <t>SHE36;EXD101</t>
        </is>
      </c>
      <c r="B774" s="8" t="n">
        <v>46075.75</v>
      </c>
      <c r="C774" s="8" t="n">
        <v>46076.25</v>
      </c>
      <c r="D774" s="9">
        <f>(C774-B774)*24</f>
        <v/>
      </c>
      <c r="E774" s="10">
        <f>IF(AND(HOUR(B774)&gt;=6,HOUR(B774)&lt;18),"Day Shift","Night Shift")</f>
        <v/>
      </c>
      <c r="F774" s="11">
        <f>INT(B774)</f>
        <v/>
      </c>
      <c r="G774" s="11">
        <f>INT(C774)</f>
        <v/>
      </c>
    </row>
    <row r="775">
      <c r="A775" s="2" t="inlineStr">
        <is>
          <t>SHE36;EXD101</t>
        </is>
      </c>
      <c r="B775" s="3" t="n">
        <v>46076.25</v>
      </c>
      <c r="C775" s="3" t="n">
        <v>46076.75</v>
      </c>
      <c r="D775" s="4">
        <f>(C775-B775)*24</f>
        <v/>
      </c>
      <c r="E775" s="5">
        <f>IF(AND(HOUR(B775)&gt;=6,HOUR(B775)&lt;18),"Day Shift","Night Shift")</f>
        <v/>
      </c>
      <c r="F775" s="6">
        <f>INT(B775)</f>
        <v/>
      </c>
      <c r="G775" s="6">
        <f>INT(C775)</f>
        <v/>
      </c>
    </row>
    <row r="776">
      <c r="A776" s="7" t="inlineStr">
        <is>
          <t>SHE36;EXD101</t>
        </is>
      </c>
      <c r="B776" s="8" t="n">
        <v>46076.75</v>
      </c>
      <c r="C776" s="8" t="n">
        <v>46077.25</v>
      </c>
      <c r="D776" s="9">
        <f>(C776-B776)*24</f>
        <v/>
      </c>
      <c r="E776" s="10">
        <f>IF(AND(HOUR(B776)&gt;=6,HOUR(B776)&lt;18),"Day Shift","Night Shift")</f>
        <v/>
      </c>
      <c r="F776" s="11">
        <f>INT(B776)</f>
        <v/>
      </c>
      <c r="G776" s="11">
        <f>INT(C776)</f>
        <v/>
      </c>
    </row>
    <row r="777">
      <c r="A777" s="2" t="inlineStr">
        <is>
          <t>SHE36;EXD101</t>
        </is>
      </c>
      <c r="B777" s="3" t="n">
        <v>46077.25</v>
      </c>
      <c r="C777" s="3" t="n">
        <v>46077.75</v>
      </c>
      <c r="D777" s="4">
        <f>(C777-B777)*24</f>
        <v/>
      </c>
      <c r="E777" s="5">
        <f>IF(AND(HOUR(B777)&gt;=6,HOUR(B777)&lt;18),"Day Shift","Night Shift")</f>
        <v/>
      </c>
      <c r="F777" s="6">
        <f>INT(B777)</f>
        <v/>
      </c>
      <c r="G777" s="6">
        <f>INT(C777)</f>
        <v/>
      </c>
    </row>
    <row r="778">
      <c r="A778" s="7" t="inlineStr">
        <is>
          <t>SHE36;EXD101</t>
        </is>
      </c>
      <c r="B778" s="8" t="n">
        <v>46077.75</v>
      </c>
      <c r="C778" s="8" t="n">
        <v>46078.25</v>
      </c>
      <c r="D778" s="9">
        <f>(C778-B778)*24</f>
        <v/>
      </c>
      <c r="E778" s="10">
        <f>IF(AND(HOUR(B778)&gt;=6,HOUR(B778)&lt;18),"Day Shift","Night Shift")</f>
        <v/>
      </c>
      <c r="F778" s="11">
        <f>INT(B778)</f>
        <v/>
      </c>
      <c r="G778" s="11">
        <f>INT(C778)</f>
        <v/>
      </c>
    </row>
    <row r="779">
      <c r="A779" s="2" t="inlineStr">
        <is>
          <t>SHE36;EXD101</t>
        </is>
      </c>
      <c r="B779" s="3" t="n">
        <v>46078.25</v>
      </c>
      <c r="C779" s="3" t="n">
        <v>46078.75</v>
      </c>
      <c r="D779" s="4">
        <f>(C779-B779)*24</f>
        <v/>
      </c>
      <c r="E779" s="5">
        <f>IF(AND(HOUR(B779)&gt;=6,HOUR(B779)&lt;18),"Day Shift","Night Shift")</f>
        <v/>
      </c>
      <c r="F779" s="6">
        <f>INT(B779)</f>
        <v/>
      </c>
      <c r="G779" s="6">
        <f>INT(C779)</f>
        <v/>
      </c>
    </row>
    <row r="780">
      <c r="A780" s="7" t="inlineStr">
        <is>
          <t>SHE36;EXD101</t>
        </is>
      </c>
      <c r="B780" s="8" t="n">
        <v>46078.75</v>
      </c>
      <c r="C780" s="8" t="n">
        <v>46079.25</v>
      </c>
      <c r="D780" s="9">
        <f>(C780-B780)*24</f>
        <v/>
      </c>
      <c r="E780" s="10">
        <f>IF(AND(HOUR(B780)&gt;=6,HOUR(B780)&lt;18),"Day Shift","Night Shift")</f>
        <v/>
      </c>
      <c r="F780" s="11">
        <f>INT(B780)</f>
        <v/>
      </c>
      <c r="G780" s="11">
        <f>INT(C780)</f>
        <v/>
      </c>
    </row>
    <row r="781">
      <c r="A781" s="2" t="inlineStr">
        <is>
          <t>SHE36;EXD101</t>
        </is>
      </c>
      <c r="B781" s="3" t="n">
        <v>46079.25</v>
      </c>
      <c r="C781" s="3" t="n">
        <v>46079.75</v>
      </c>
      <c r="D781" s="4">
        <f>(C781-B781)*24</f>
        <v/>
      </c>
      <c r="E781" s="5">
        <f>IF(AND(HOUR(B781)&gt;=6,HOUR(B781)&lt;18),"Day Shift","Night Shift")</f>
        <v/>
      </c>
      <c r="F781" s="6">
        <f>INT(B781)</f>
        <v/>
      </c>
      <c r="G781" s="6">
        <f>INT(C781)</f>
        <v/>
      </c>
    </row>
    <row r="782">
      <c r="A782" s="7" t="inlineStr">
        <is>
          <t>SHE36;EXD101</t>
        </is>
      </c>
      <c r="B782" s="8" t="n">
        <v>46079.75</v>
      </c>
      <c r="C782" s="8" t="n">
        <v>46080.25</v>
      </c>
      <c r="D782" s="9">
        <f>(C782-B782)*24</f>
        <v/>
      </c>
      <c r="E782" s="10">
        <f>IF(AND(HOUR(B782)&gt;=6,HOUR(B782)&lt;18),"Day Shift","Night Shift")</f>
        <v/>
      </c>
      <c r="F782" s="11">
        <f>INT(B782)</f>
        <v/>
      </c>
      <c r="G782" s="11">
        <f>INT(C782)</f>
        <v/>
      </c>
    </row>
    <row r="783">
      <c r="A783" s="2" t="inlineStr">
        <is>
          <t>SHE36;EXD101</t>
        </is>
      </c>
      <c r="B783" s="3" t="n">
        <v>46080.25</v>
      </c>
      <c r="C783" s="3" t="n">
        <v>46080.75</v>
      </c>
      <c r="D783" s="4">
        <f>(C783-B783)*24</f>
        <v/>
      </c>
      <c r="E783" s="5">
        <f>IF(AND(HOUR(B783)&gt;=6,HOUR(B783)&lt;18),"Day Shift","Night Shift")</f>
        <v/>
      </c>
      <c r="F783" s="6">
        <f>INT(B783)</f>
        <v/>
      </c>
      <c r="G783" s="6">
        <f>INT(C783)</f>
        <v/>
      </c>
    </row>
    <row r="784">
      <c r="A784" s="7" t="inlineStr">
        <is>
          <t>SHE36;EXD101</t>
        </is>
      </c>
      <c r="B784" s="8" t="n">
        <v>46080.75</v>
      </c>
      <c r="C784" s="8" t="n">
        <v>46081.25</v>
      </c>
      <c r="D784" s="9">
        <f>(C784-B784)*24</f>
        <v/>
      </c>
      <c r="E784" s="10">
        <f>IF(AND(HOUR(B784)&gt;=6,HOUR(B784)&lt;18),"Day Shift","Night Shift")</f>
        <v/>
      </c>
      <c r="F784" s="11">
        <f>INT(B784)</f>
        <v/>
      </c>
      <c r="G784" s="11">
        <f>INT(C784)</f>
        <v/>
      </c>
    </row>
    <row r="785">
      <c r="A785" s="2" t="inlineStr">
        <is>
          <t>SHE36;EXD101</t>
        </is>
      </c>
      <c r="B785" s="3" t="n">
        <v>46081.25</v>
      </c>
      <c r="C785" s="3" t="n">
        <v>46081.75</v>
      </c>
      <c r="D785" s="4">
        <f>(C785-B785)*24</f>
        <v/>
      </c>
      <c r="E785" s="5">
        <f>IF(AND(HOUR(B785)&gt;=6,HOUR(B785)&lt;18),"Day Shift","Night Shift")</f>
        <v/>
      </c>
      <c r="F785" s="6">
        <f>INT(B785)</f>
        <v/>
      </c>
      <c r="G785" s="6">
        <f>INT(C785)</f>
        <v/>
      </c>
    </row>
    <row r="786">
      <c r="A786" s="7" t="inlineStr">
        <is>
          <t>SHE36;EXD101</t>
        </is>
      </c>
      <c r="B786" s="8" t="n">
        <v>46081.75</v>
      </c>
      <c r="C786" s="8" t="n">
        <v>46082.25</v>
      </c>
      <c r="D786" s="9">
        <f>(C786-B786)*24</f>
        <v/>
      </c>
      <c r="E786" s="10">
        <f>IF(AND(HOUR(B786)&gt;=6,HOUR(B786)&lt;18),"Day Shift","Night Shift")</f>
        <v/>
      </c>
      <c r="F786" s="11">
        <f>INT(B786)</f>
        <v/>
      </c>
      <c r="G786" s="11">
        <f>INT(C786)</f>
        <v/>
      </c>
    </row>
    <row r="787">
      <c r="A787" s="2" t="inlineStr">
        <is>
          <t>SHE36;EXD101</t>
        </is>
      </c>
      <c r="B787" s="3" t="n">
        <v>46082.25</v>
      </c>
      <c r="C787" s="3" t="n">
        <v>46082.75</v>
      </c>
      <c r="D787" s="4">
        <f>(C787-B787)*24</f>
        <v/>
      </c>
      <c r="E787" s="5">
        <f>IF(AND(HOUR(B787)&gt;=6,HOUR(B787)&lt;18),"Day Shift","Night Shift")</f>
        <v/>
      </c>
      <c r="F787" s="6">
        <f>INT(B787)</f>
        <v/>
      </c>
      <c r="G787" s="6">
        <f>INT(C787)</f>
        <v/>
      </c>
    </row>
    <row r="788">
      <c r="A788" s="7" t="inlineStr">
        <is>
          <t>SHE36;EXD101</t>
        </is>
      </c>
      <c r="B788" s="8" t="n">
        <v>46082.75</v>
      </c>
      <c r="C788" s="8" t="n">
        <v>46083.25</v>
      </c>
      <c r="D788" s="9">
        <f>(C788-B788)*24</f>
        <v/>
      </c>
      <c r="E788" s="10">
        <f>IF(AND(HOUR(B788)&gt;=6,HOUR(B788)&lt;18),"Day Shift","Night Shift")</f>
        <v/>
      </c>
      <c r="F788" s="11">
        <f>INT(B788)</f>
        <v/>
      </c>
      <c r="G788" s="11">
        <f>INT(C788)</f>
        <v/>
      </c>
    </row>
    <row r="789">
      <c r="A789" s="2" t="inlineStr">
        <is>
          <t>SHE36;EXD101</t>
        </is>
      </c>
      <c r="B789" s="3" t="n">
        <v>46083.25</v>
      </c>
      <c r="C789" s="3" t="n">
        <v>46083.75</v>
      </c>
      <c r="D789" s="4">
        <f>(C789-B789)*24</f>
        <v/>
      </c>
      <c r="E789" s="5">
        <f>IF(AND(HOUR(B789)&gt;=6,HOUR(B789)&lt;18),"Day Shift","Night Shift")</f>
        <v/>
      </c>
      <c r="F789" s="6">
        <f>INT(B789)</f>
        <v/>
      </c>
      <c r="G789" s="6">
        <f>INT(C789)</f>
        <v/>
      </c>
    </row>
    <row r="790">
      <c r="A790" s="7" t="inlineStr">
        <is>
          <t>SHE36;EXD101</t>
        </is>
      </c>
      <c r="B790" s="8" t="n">
        <v>46083.75</v>
      </c>
      <c r="C790" s="8" t="n">
        <v>46084.25</v>
      </c>
      <c r="D790" s="9">
        <f>(C790-B790)*24</f>
        <v/>
      </c>
      <c r="E790" s="10">
        <f>IF(AND(HOUR(B790)&gt;=6,HOUR(B790)&lt;18),"Day Shift","Night Shift")</f>
        <v/>
      </c>
      <c r="F790" s="11">
        <f>INT(B790)</f>
        <v/>
      </c>
      <c r="G790" s="11">
        <f>INT(C790)</f>
        <v/>
      </c>
    </row>
    <row r="791">
      <c r="A791" s="2" t="inlineStr">
        <is>
          <t>SHE36;EXD101</t>
        </is>
      </c>
      <c r="B791" s="3" t="n">
        <v>46084.25</v>
      </c>
      <c r="C791" s="3" t="n">
        <v>46084.35456018519</v>
      </c>
      <c r="D791" s="4">
        <f>(C791-B791)*24</f>
        <v/>
      </c>
      <c r="E791" s="5">
        <f>IF(AND(HOUR(B791)&gt;=6,HOUR(B791)&lt;18),"Day Shift","Night Shift")</f>
        <v/>
      </c>
      <c r="F791" s="6">
        <f>INT(B791)</f>
        <v/>
      </c>
      <c r="G791" s="6">
        <f>INT(C791)</f>
        <v/>
      </c>
    </row>
    <row r="792">
      <c r="A792" s="2" t="inlineStr">
        <is>
          <t>EXD100</t>
        </is>
      </c>
      <c r="B792" s="3" t="n">
        <v>46059.44599537037</v>
      </c>
      <c r="C792" s="3" t="n">
        <v>46059.75</v>
      </c>
      <c r="D792" s="4">
        <f>(C792-B792)*24</f>
        <v/>
      </c>
      <c r="E792" s="5">
        <f>IF(AND(HOUR(B792)&gt;=6,HOUR(B792)&lt;18),"Day Shift","Night Shift")</f>
        <v/>
      </c>
      <c r="F792" s="6">
        <f>INT(B792)</f>
        <v/>
      </c>
      <c r="G792" s="6">
        <f>INT(C792)</f>
        <v/>
      </c>
    </row>
    <row r="793">
      <c r="A793" s="7" t="inlineStr">
        <is>
          <t>EXD100</t>
        </is>
      </c>
      <c r="B793" s="8" t="n">
        <v>46059.75</v>
      </c>
      <c r="C793" s="8" t="n">
        <v>46060.13168981481</v>
      </c>
      <c r="D793" s="9">
        <f>(C793-B793)*24</f>
        <v/>
      </c>
      <c r="E793" s="10">
        <f>IF(AND(HOUR(B793)&gt;=6,HOUR(B793)&lt;18),"Day Shift","Night Shift")</f>
        <v/>
      </c>
      <c r="F793" s="11">
        <f>INT(B793)</f>
        <v/>
      </c>
      <c r="G793" s="11">
        <f>INT(C793)</f>
        <v/>
      </c>
    </row>
    <row r="794">
      <c r="A794" s="2" t="inlineStr">
        <is>
          <t>EXD409</t>
        </is>
      </c>
      <c r="B794" s="3" t="n">
        <v>46059.45761574074</v>
      </c>
      <c r="C794" s="3" t="n">
        <v>46059.75</v>
      </c>
      <c r="D794" s="4">
        <f>(C794-B794)*24</f>
        <v/>
      </c>
      <c r="E794" s="5">
        <f>IF(AND(HOUR(B794)&gt;=6,HOUR(B794)&lt;18),"Day Shift","Night Shift")</f>
        <v/>
      </c>
      <c r="F794" s="6">
        <f>INT(B794)</f>
        <v/>
      </c>
      <c r="G794" s="6">
        <f>INT(C794)</f>
        <v/>
      </c>
    </row>
    <row r="795">
      <c r="A795" s="7" t="inlineStr">
        <is>
          <t>EXD409</t>
        </is>
      </c>
      <c r="B795" s="8" t="n">
        <v>46059.75</v>
      </c>
      <c r="C795" s="8" t="n">
        <v>46060.19733796296</v>
      </c>
      <c r="D795" s="9">
        <f>(C795-B795)*24</f>
        <v/>
      </c>
      <c r="E795" s="10">
        <f>IF(AND(HOUR(B795)&gt;=6,HOUR(B795)&lt;18),"Day Shift","Night Shift")</f>
        <v/>
      </c>
      <c r="F795" s="11">
        <f>INT(B795)</f>
        <v/>
      </c>
      <c r="G795" s="11">
        <f>INT(C795)</f>
        <v/>
      </c>
    </row>
    <row r="796">
      <c r="A796" s="2" t="inlineStr">
        <is>
          <t>EXD101</t>
        </is>
      </c>
      <c r="B796" s="3" t="n">
        <v>46059.51167824074</v>
      </c>
      <c r="C796" s="3" t="n">
        <v>46059.75</v>
      </c>
      <c r="D796" s="4">
        <f>(C796-B796)*24</f>
        <v/>
      </c>
      <c r="E796" s="5">
        <f>IF(AND(HOUR(B796)&gt;=6,HOUR(B796)&lt;18),"Day Shift","Night Shift")</f>
        <v/>
      </c>
      <c r="F796" s="6">
        <f>INT(B796)</f>
        <v/>
      </c>
      <c r="G796" s="6">
        <f>INT(C796)</f>
        <v/>
      </c>
    </row>
    <row r="797">
      <c r="A797" s="7" t="inlineStr">
        <is>
          <t>EXD101</t>
        </is>
      </c>
      <c r="B797" s="8" t="n">
        <v>46059.75</v>
      </c>
      <c r="C797" s="8" t="n">
        <v>46060.25</v>
      </c>
      <c r="D797" s="9">
        <f>(C797-B797)*24</f>
        <v/>
      </c>
      <c r="E797" s="10">
        <f>IF(AND(HOUR(B797)&gt;=6,HOUR(B797)&lt;18),"Day Shift","Night Shift")</f>
        <v/>
      </c>
      <c r="F797" s="11">
        <f>INT(B797)</f>
        <v/>
      </c>
      <c r="G797" s="11">
        <f>INT(C797)</f>
        <v/>
      </c>
    </row>
    <row r="798">
      <c r="A798" s="2" t="inlineStr">
        <is>
          <t>EXD101</t>
        </is>
      </c>
      <c r="B798" s="3" t="n">
        <v>46060.25</v>
      </c>
      <c r="C798" s="3" t="n">
        <v>46060.58334490741</v>
      </c>
      <c r="D798" s="4">
        <f>(C798-B798)*24</f>
        <v/>
      </c>
      <c r="E798" s="5">
        <f>IF(AND(HOUR(B798)&gt;=6,HOUR(B798)&lt;18),"Day Shift","Night Shift")</f>
        <v/>
      </c>
      <c r="F798" s="6">
        <f>INT(B798)</f>
        <v/>
      </c>
      <c r="G798" s="6">
        <f>INT(C798)</f>
        <v/>
      </c>
    </row>
    <row r="799">
      <c r="A799" s="2" t="inlineStr">
        <is>
          <t>EDD2541</t>
        </is>
      </c>
      <c r="B799" s="3" t="n">
        <v>46059.56453703704</v>
      </c>
      <c r="C799" s="3" t="n">
        <v>46059.75</v>
      </c>
      <c r="D799" s="4">
        <f>(C799-B799)*24</f>
        <v/>
      </c>
      <c r="E799" s="5">
        <f>IF(AND(HOUR(B799)&gt;=6,HOUR(B799)&lt;18),"Day Shift","Night Shift")</f>
        <v/>
      </c>
      <c r="F799" s="6">
        <f>INT(B799)</f>
        <v/>
      </c>
      <c r="G799" s="6">
        <f>INT(C799)</f>
        <v/>
      </c>
    </row>
    <row r="800">
      <c r="A800" s="7" t="inlineStr">
        <is>
          <t>EDD2541</t>
        </is>
      </c>
      <c r="B800" s="8" t="n">
        <v>46059.75</v>
      </c>
      <c r="C800" s="8" t="n">
        <v>46059.89930555555</v>
      </c>
      <c r="D800" s="9">
        <f>(C800-B800)*24</f>
        <v/>
      </c>
      <c r="E800" s="10">
        <f>IF(AND(HOUR(B800)&gt;=6,HOUR(B800)&lt;18),"Day Shift","Night Shift")</f>
        <v/>
      </c>
      <c r="F800" s="11">
        <f>INT(B800)</f>
        <v/>
      </c>
      <c r="G800" s="11">
        <f>INT(C800)</f>
        <v/>
      </c>
    </row>
    <row r="801">
      <c r="A801" s="2" t="inlineStr">
        <is>
          <t>EDD1932</t>
        </is>
      </c>
      <c r="B801" s="3" t="n">
        <v>46059.57824074074</v>
      </c>
      <c r="C801" s="3" t="n">
        <v>46059.75</v>
      </c>
      <c r="D801" s="4">
        <f>(C801-B801)*24</f>
        <v/>
      </c>
      <c r="E801" s="5">
        <f>IF(AND(HOUR(B801)&gt;=6,HOUR(B801)&lt;18),"Day Shift","Night Shift")</f>
        <v/>
      </c>
      <c r="F801" s="6">
        <f>INT(B801)</f>
        <v/>
      </c>
      <c r="G801" s="6">
        <f>INT(C801)</f>
        <v/>
      </c>
    </row>
    <row r="802">
      <c r="A802" s="7" t="inlineStr">
        <is>
          <t>EDD1932</t>
        </is>
      </c>
      <c r="B802" s="8" t="n">
        <v>46059.75</v>
      </c>
      <c r="C802" s="8" t="n">
        <v>46059.7612037037</v>
      </c>
      <c r="D802" s="9">
        <f>(C802-B802)*24</f>
        <v/>
      </c>
      <c r="E802" s="10">
        <f>IF(AND(HOUR(B802)&gt;=6,HOUR(B802)&lt;18),"Day Shift","Night Shift")</f>
        <v/>
      </c>
      <c r="F802" s="11">
        <f>INT(B802)</f>
        <v/>
      </c>
      <c r="G802" s="11">
        <f>INT(C802)</f>
        <v/>
      </c>
    </row>
    <row r="803">
      <c r="A803" s="2" t="inlineStr">
        <is>
          <t>EXD98</t>
        </is>
      </c>
      <c r="B803" s="3" t="n">
        <v>46059.68164351852</v>
      </c>
      <c r="C803" s="3" t="n">
        <v>46059.75</v>
      </c>
      <c r="D803" s="4">
        <f>(C803-B803)*24</f>
        <v/>
      </c>
      <c r="E803" s="5">
        <f>IF(AND(HOUR(B803)&gt;=6,HOUR(B803)&lt;18),"Day Shift","Night Shift")</f>
        <v/>
      </c>
      <c r="F803" s="6">
        <f>INT(B803)</f>
        <v/>
      </c>
      <c r="G803" s="6">
        <f>INT(C803)</f>
        <v/>
      </c>
    </row>
    <row r="804">
      <c r="A804" s="7" t="inlineStr">
        <is>
          <t>EXD98</t>
        </is>
      </c>
      <c r="B804" s="8" t="n">
        <v>46059.75</v>
      </c>
      <c r="C804" s="8" t="n">
        <v>46060.03178240741</v>
      </c>
      <c r="D804" s="9">
        <f>(C804-B804)*24</f>
        <v/>
      </c>
      <c r="E804" s="10">
        <f>IF(AND(HOUR(B804)&gt;=6,HOUR(B804)&lt;18),"Day Shift","Night Shift")</f>
        <v/>
      </c>
      <c r="F804" s="11">
        <f>INT(B804)</f>
        <v/>
      </c>
      <c r="G804" s="11">
        <f>INT(C804)</f>
        <v/>
      </c>
    </row>
    <row r="805">
      <c r="A805" s="7" t="inlineStr">
        <is>
          <t>EDD1932</t>
        </is>
      </c>
      <c r="B805" s="8" t="n">
        <v>46059.77496527778</v>
      </c>
      <c r="C805" s="8" t="n">
        <v>46059.99875</v>
      </c>
      <c r="D805" s="9">
        <f>(C805-B805)*24</f>
        <v/>
      </c>
      <c r="E805" s="10">
        <f>IF(AND(HOUR(B805)&gt;=6,HOUR(B805)&lt;18),"Day Shift","Night Shift")</f>
        <v/>
      </c>
      <c r="F805" s="11">
        <f>INT(B805)</f>
        <v/>
      </c>
      <c r="G805" s="11">
        <f>INT(C805)</f>
        <v/>
      </c>
    </row>
    <row r="806">
      <c r="A806" s="7" t="inlineStr">
        <is>
          <t>EDD175;EDD2134</t>
        </is>
      </c>
      <c r="B806" s="8" t="n">
        <v>46059.79358796297</v>
      </c>
      <c r="C806" s="8" t="n">
        <v>46060.12230324074</v>
      </c>
      <c r="D806" s="9">
        <f>(C806-B806)*24</f>
        <v/>
      </c>
      <c r="E806" s="10">
        <f>IF(AND(HOUR(B806)&gt;=6,HOUR(B806)&lt;18),"Day Shift","Night Shift")</f>
        <v/>
      </c>
      <c r="F806" s="11">
        <f>INT(B806)</f>
        <v/>
      </c>
      <c r="G806" s="11">
        <f>INT(C806)</f>
        <v/>
      </c>
    </row>
    <row r="807">
      <c r="A807" s="7" t="inlineStr">
        <is>
          <t>EXD56</t>
        </is>
      </c>
      <c r="B807" s="8" t="n">
        <v>46059.87061342593</v>
      </c>
      <c r="C807" s="8" t="n">
        <v>46060.25</v>
      </c>
      <c r="D807" s="9">
        <f>(C807-B807)*24</f>
        <v/>
      </c>
      <c r="E807" s="10">
        <f>IF(AND(HOUR(B807)&gt;=6,HOUR(B807)&lt;18),"Day Shift","Night Shift")</f>
        <v/>
      </c>
      <c r="F807" s="11">
        <f>INT(B807)</f>
        <v/>
      </c>
      <c r="G807" s="11">
        <f>INT(C807)</f>
        <v/>
      </c>
    </row>
    <row r="808">
      <c r="A808" s="2" t="inlineStr">
        <is>
          <t>EXD56</t>
        </is>
      </c>
      <c r="B808" s="3" t="n">
        <v>46060.25</v>
      </c>
      <c r="C808" s="3" t="n">
        <v>46060.75</v>
      </c>
      <c r="D808" s="4">
        <f>(C808-B808)*24</f>
        <v/>
      </c>
      <c r="E808" s="5">
        <f>IF(AND(HOUR(B808)&gt;=6,HOUR(B808)&lt;18),"Day Shift","Night Shift")</f>
        <v/>
      </c>
      <c r="F808" s="6">
        <f>INT(B808)</f>
        <v/>
      </c>
      <c r="G808" s="6">
        <f>INT(C808)</f>
        <v/>
      </c>
    </row>
    <row r="809">
      <c r="A809" s="7" t="inlineStr">
        <is>
          <t>EXD56</t>
        </is>
      </c>
      <c r="B809" s="8" t="n">
        <v>46060.75</v>
      </c>
      <c r="C809" s="8" t="n">
        <v>46061.21805555555</v>
      </c>
      <c r="D809" s="9">
        <f>(C809-B809)*24</f>
        <v/>
      </c>
      <c r="E809" s="10">
        <f>IF(AND(HOUR(B809)&gt;=6,HOUR(B809)&lt;18),"Day Shift","Night Shift")</f>
        <v/>
      </c>
      <c r="F809" s="11">
        <f>INT(B809)</f>
        <v/>
      </c>
      <c r="G809" s="11">
        <f>INT(C809)</f>
        <v/>
      </c>
    </row>
    <row r="810">
      <c r="A810" s="7" t="inlineStr">
        <is>
          <t>EDD2541</t>
        </is>
      </c>
      <c r="B810" s="8" t="n">
        <v>46059.89930555555</v>
      </c>
      <c r="C810" s="8" t="n">
        <v>46060.24100694444</v>
      </c>
      <c r="D810" s="9">
        <f>(C810-B810)*24</f>
        <v/>
      </c>
      <c r="E810" s="10">
        <f>IF(AND(HOUR(B810)&gt;=6,HOUR(B810)&lt;18),"Day Shift","Night Shift")</f>
        <v/>
      </c>
      <c r="F810" s="11">
        <f>INT(B810)</f>
        <v/>
      </c>
      <c r="G810" s="11">
        <f>INT(C810)</f>
        <v/>
      </c>
    </row>
    <row r="811">
      <c r="A811" s="7" t="inlineStr">
        <is>
          <t>EXD51</t>
        </is>
      </c>
      <c r="B811" s="8" t="n">
        <v>46059.96351851852</v>
      </c>
      <c r="C811" s="8" t="n">
        <v>46060.25</v>
      </c>
      <c r="D811" s="9">
        <f>(C811-B811)*24</f>
        <v/>
      </c>
      <c r="E811" s="10">
        <f>IF(AND(HOUR(B811)&gt;=6,HOUR(B811)&lt;18),"Day Shift","Night Shift")</f>
        <v/>
      </c>
      <c r="F811" s="11">
        <f>INT(B811)</f>
        <v/>
      </c>
      <c r="G811" s="11">
        <f>INT(C811)</f>
        <v/>
      </c>
    </row>
    <row r="812">
      <c r="A812" s="2" t="inlineStr">
        <is>
          <t>EXD51</t>
        </is>
      </c>
      <c r="B812" s="3" t="n">
        <v>46060.25</v>
      </c>
      <c r="C812" s="3" t="n">
        <v>46060.75</v>
      </c>
      <c r="D812" s="4">
        <f>(C812-B812)*24</f>
        <v/>
      </c>
      <c r="E812" s="5">
        <f>IF(AND(HOUR(B812)&gt;=6,HOUR(B812)&lt;18),"Day Shift","Night Shift")</f>
        <v/>
      </c>
      <c r="F812" s="6">
        <f>INT(B812)</f>
        <v/>
      </c>
      <c r="G812" s="6">
        <f>INT(C812)</f>
        <v/>
      </c>
    </row>
    <row r="813">
      <c r="A813" s="7" t="inlineStr">
        <is>
          <t>EXD51</t>
        </is>
      </c>
      <c r="B813" s="8" t="n">
        <v>46060.75</v>
      </c>
      <c r="C813" s="8" t="n">
        <v>46061.25</v>
      </c>
      <c r="D813" s="9">
        <f>(C813-B813)*24</f>
        <v/>
      </c>
      <c r="E813" s="10">
        <f>IF(AND(HOUR(B813)&gt;=6,HOUR(B813)&lt;18),"Day Shift","Night Shift")</f>
        <v/>
      </c>
      <c r="F813" s="11">
        <f>INT(B813)</f>
        <v/>
      </c>
      <c r="G813" s="11">
        <f>INT(C813)</f>
        <v/>
      </c>
    </row>
    <row r="814">
      <c r="A814" s="2" t="inlineStr">
        <is>
          <t>EXD51</t>
        </is>
      </c>
      <c r="B814" s="3" t="n">
        <v>46061.25</v>
      </c>
      <c r="C814" s="3" t="n">
        <v>46061.33253472222</v>
      </c>
      <c r="D814" s="4">
        <f>(C814-B814)*24</f>
        <v/>
      </c>
      <c r="E814" s="5">
        <f>IF(AND(HOUR(B814)&gt;=6,HOUR(B814)&lt;18),"Day Shift","Night Shift")</f>
        <v/>
      </c>
      <c r="F814" s="6">
        <f>INT(B814)</f>
        <v/>
      </c>
      <c r="G814" s="6">
        <f>INT(C814)</f>
        <v/>
      </c>
    </row>
    <row r="815">
      <c r="A815" s="7" t="inlineStr">
        <is>
          <t>EXD407</t>
        </is>
      </c>
      <c r="B815" s="8" t="n">
        <v>46059.98210648148</v>
      </c>
      <c r="C815" s="8" t="n">
        <v>46060.25</v>
      </c>
      <c r="D815" s="9">
        <f>(C815-B815)*24</f>
        <v/>
      </c>
      <c r="E815" s="10">
        <f>IF(AND(HOUR(B815)&gt;=6,HOUR(B815)&lt;18),"Day Shift","Night Shift")</f>
        <v/>
      </c>
      <c r="F815" s="11">
        <f>INT(B815)</f>
        <v/>
      </c>
      <c r="G815" s="11">
        <f>INT(C815)</f>
        <v/>
      </c>
    </row>
    <row r="816">
      <c r="A816" s="2" t="inlineStr">
        <is>
          <t>EXD407</t>
        </is>
      </c>
      <c r="B816" s="3" t="n">
        <v>46060.25</v>
      </c>
      <c r="C816" s="3" t="n">
        <v>46060.42328703704</v>
      </c>
      <c r="D816" s="4">
        <f>(C816-B816)*24</f>
        <v/>
      </c>
      <c r="E816" s="5">
        <f>IF(AND(HOUR(B816)&gt;=6,HOUR(B816)&lt;18),"Day Shift","Night Shift")</f>
        <v/>
      </c>
      <c r="F816" s="6">
        <f>INT(B816)</f>
        <v/>
      </c>
      <c r="G816" s="6">
        <f>INT(C816)</f>
        <v/>
      </c>
    </row>
    <row r="817">
      <c r="A817" s="7" t="inlineStr">
        <is>
          <t>EXD60</t>
        </is>
      </c>
      <c r="B817" s="8" t="n">
        <v>46060.03945601852</v>
      </c>
      <c r="C817" s="8" t="n">
        <v>46060.25</v>
      </c>
      <c r="D817" s="9">
        <f>(C817-B817)*24</f>
        <v/>
      </c>
      <c r="E817" s="10">
        <f>IF(AND(HOUR(B817)&gt;=6,HOUR(B817)&lt;18),"Day Shift","Night Shift")</f>
        <v/>
      </c>
      <c r="F817" s="11">
        <f>INT(B817)</f>
        <v/>
      </c>
      <c r="G817" s="11">
        <f>INT(C817)</f>
        <v/>
      </c>
    </row>
    <row r="818">
      <c r="A818" s="2" t="inlineStr">
        <is>
          <t>EXD60</t>
        </is>
      </c>
      <c r="B818" s="3" t="n">
        <v>46060.25</v>
      </c>
      <c r="C818" s="3" t="n">
        <v>46060.75</v>
      </c>
      <c r="D818" s="4">
        <f>(C818-B818)*24</f>
        <v/>
      </c>
      <c r="E818" s="5">
        <f>IF(AND(HOUR(B818)&gt;=6,HOUR(B818)&lt;18),"Day Shift","Night Shift")</f>
        <v/>
      </c>
      <c r="F818" s="6">
        <f>INT(B818)</f>
        <v/>
      </c>
      <c r="G818" s="6">
        <f>INT(C818)</f>
        <v/>
      </c>
    </row>
    <row r="819">
      <c r="A819" s="7" t="inlineStr">
        <is>
          <t>EXD60</t>
        </is>
      </c>
      <c r="B819" s="8" t="n">
        <v>46060.75</v>
      </c>
      <c r="C819" s="8" t="n">
        <v>46061.16347222222</v>
      </c>
      <c r="D819" s="9">
        <f>(C819-B819)*24</f>
        <v/>
      </c>
      <c r="E819" s="10">
        <f>IF(AND(HOUR(B819)&gt;=6,HOUR(B819)&lt;18),"Day Shift","Night Shift")</f>
        <v/>
      </c>
      <c r="F819" s="11">
        <f>INT(B819)</f>
        <v/>
      </c>
      <c r="G819" s="11">
        <f>INT(C819)</f>
        <v/>
      </c>
    </row>
    <row r="820">
      <c r="A820" s="7" t="inlineStr">
        <is>
          <t>EDD812;EDD175;EDD2134</t>
        </is>
      </c>
      <c r="B820" s="8" t="n">
        <v>46060.04346064815</v>
      </c>
      <c r="C820" s="8" t="n">
        <v>46060.25</v>
      </c>
      <c r="D820" s="9">
        <f>(C820-B820)*24</f>
        <v/>
      </c>
      <c r="E820" s="10">
        <f>IF(AND(HOUR(B820)&gt;=6,HOUR(B820)&lt;18),"Day Shift","Night Shift")</f>
        <v/>
      </c>
      <c r="F820" s="11">
        <f>INT(B820)</f>
        <v/>
      </c>
      <c r="G820" s="11">
        <f>INT(C820)</f>
        <v/>
      </c>
    </row>
    <row r="821">
      <c r="A821" s="2" t="inlineStr">
        <is>
          <t>EDD812;EDD175;EDD2134</t>
        </is>
      </c>
      <c r="B821" s="3" t="n">
        <v>46060.25</v>
      </c>
      <c r="C821" s="3" t="n">
        <v>46060.30480324074</v>
      </c>
      <c r="D821" s="4">
        <f>(C821-B821)*24</f>
        <v/>
      </c>
      <c r="E821" s="5">
        <f>IF(AND(HOUR(B821)&gt;=6,HOUR(B821)&lt;18),"Day Shift","Night Shift")</f>
        <v/>
      </c>
      <c r="F821" s="6">
        <f>INT(B821)</f>
        <v/>
      </c>
      <c r="G821" s="6">
        <f>INT(C821)</f>
        <v/>
      </c>
    </row>
    <row r="822">
      <c r="A822" s="7" t="inlineStr">
        <is>
          <t>EDD1932</t>
        </is>
      </c>
      <c r="B822" s="8" t="n">
        <v>46060.06828703704</v>
      </c>
      <c r="C822" s="8" t="n">
        <v>46060.25</v>
      </c>
      <c r="D822" s="9">
        <f>(C822-B822)*24</f>
        <v/>
      </c>
      <c r="E822" s="10">
        <f>IF(AND(HOUR(B822)&gt;=6,HOUR(B822)&lt;18),"Day Shift","Night Shift")</f>
        <v/>
      </c>
      <c r="F822" s="11">
        <f>INT(B822)</f>
        <v/>
      </c>
      <c r="G822" s="11">
        <f>INT(C822)</f>
        <v/>
      </c>
    </row>
    <row r="823">
      <c r="A823" s="2" t="inlineStr">
        <is>
          <t>EDD1932</t>
        </is>
      </c>
      <c r="B823" s="3" t="n">
        <v>46060.25</v>
      </c>
      <c r="C823" s="3" t="n">
        <v>46060.35216435185</v>
      </c>
      <c r="D823" s="4">
        <f>(C823-B823)*24</f>
        <v/>
      </c>
      <c r="E823" s="5">
        <f>IF(AND(HOUR(B823)&gt;=6,HOUR(B823)&lt;18),"Day Shift","Night Shift")</f>
        <v/>
      </c>
      <c r="F823" s="6">
        <f>INT(B823)</f>
        <v/>
      </c>
      <c r="G823" s="6">
        <f>INT(C823)</f>
        <v/>
      </c>
    </row>
    <row r="824">
      <c r="A824" s="7" t="inlineStr">
        <is>
          <t>EXD100</t>
        </is>
      </c>
      <c r="B824" s="8" t="n">
        <v>46060.14665509259</v>
      </c>
      <c r="C824" s="8" t="n">
        <v>46060.25</v>
      </c>
      <c r="D824" s="9">
        <f>(C824-B824)*24</f>
        <v/>
      </c>
      <c r="E824" s="10">
        <f>IF(AND(HOUR(B824)&gt;=6,HOUR(B824)&lt;18),"Day Shift","Night Shift")</f>
        <v/>
      </c>
      <c r="F824" s="11">
        <f>INT(B824)</f>
        <v/>
      </c>
      <c r="G824" s="11">
        <f>INT(C824)</f>
        <v/>
      </c>
    </row>
    <row r="825">
      <c r="A825" s="2" t="inlineStr">
        <is>
          <t>EXD100</t>
        </is>
      </c>
      <c r="B825" s="3" t="n">
        <v>46060.25</v>
      </c>
      <c r="C825" s="3" t="n">
        <v>46060.75</v>
      </c>
      <c r="D825" s="4">
        <f>(C825-B825)*24</f>
        <v/>
      </c>
      <c r="E825" s="5">
        <f>IF(AND(HOUR(B825)&gt;=6,HOUR(B825)&lt;18),"Day Shift","Night Shift")</f>
        <v/>
      </c>
      <c r="F825" s="6">
        <f>INT(B825)</f>
        <v/>
      </c>
      <c r="G825" s="6">
        <f>INT(C825)</f>
        <v/>
      </c>
    </row>
    <row r="826">
      <c r="A826" s="7" t="inlineStr">
        <is>
          <t>EXD100</t>
        </is>
      </c>
      <c r="B826" s="8" t="n">
        <v>46060.75</v>
      </c>
      <c r="C826" s="8" t="n">
        <v>46060.77427083333</v>
      </c>
      <c r="D826" s="9">
        <f>(C826-B826)*24</f>
        <v/>
      </c>
      <c r="E826" s="10">
        <f>IF(AND(HOUR(B826)&gt;=6,HOUR(B826)&lt;18),"Day Shift","Night Shift")</f>
        <v/>
      </c>
      <c r="F826" s="11">
        <f>INT(B826)</f>
        <v/>
      </c>
      <c r="G826" s="11">
        <f>INT(C826)</f>
        <v/>
      </c>
    </row>
    <row r="827">
      <c r="A827" s="7" t="inlineStr">
        <is>
          <t>EXD73</t>
        </is>
      </c>
      <c r="B827" s="8" t="n">
        <v>46060.15299768518</v>
      </c>
      <c r="C827" s="8" t="n">
        <v>46060.25</v>
      </c>
      <c r="D827" s="9">
        <f>(C827-B827)*24</f>
        <v/>
      </c>
      <c r="E827" s="10">
        <f>IF(AND(HOUR(B827)&gt;=6,HOUR(B827)&lt;18),"Day Shift","Night Shift")</f>
        <v/>
      </c>
      <c r="F827" s="11">
        <f>INT(B827)</f>
        <v/>
      </c>
      <c r="G827" s="11">
        <f>INT(C827)</f>
        <v/>
      </c>
    </row>
    <row r="828">
      <c r="A828" s="2" t="inlineStr">
        <is>
          <t>EXD73</t>
        </is>
      </c>
      <c r="B828" s="3" t="n">
        <v>46060.25</v>
      </c>
      <c r="C828" s="3" t="n">
        <v>46060.75</v>
      </c>
      <c r="D828" s="4">
        <f>(C828-B828)*24</f>
        <v/>
      </c>
      <c r="E828" s="5">
        <f>IF(AND(HOUR(B828)&gt;=6,HOUR(B828)&lt;18),"Day Shift","Night Shift")</f>
        <v/>
      </c>
      <c r="F828" s="6">
        <f>INT(B828)</f>
        <v/>
      </c>
      <c r="G828" s="6">
        <f>INT(C828)</f>
        <v/>
      </c>
    </row>
    <row r="829">
      <c r="A829" s="7" t="inlineStr">
        <is>
          <t>EXD73</t>
        </is>
      </c>
      <c r="B829" s="8" t="n">
        <v>46060.75</v>
      </c>
      <c r="C829" s="8" t="n">
        <v>46061.25</v>
      </c>
      <c r="D829" s="9">
        <f>(C829-B829)*24</f>
        <v/>
      </c>
      <c r="E829" s="10">
        <f>IF(AND(HOUR(B829)&gt;=6,HOUR(B829)&lt;18),"Day Shift","Night Shift")</f>
        <v/>
      </c>
      <c r="F829" s="11">
        <f>INT(B829)</f>
        <v/>
      </c>
      <c r="G829" s="11">
        <f>INT(C829)</f>
        <v/>
      </c>
    </row>
    <row r="830">
      <c r="A830" s="2" t="inlineStr">
        <is>
          <t>EXD73</t>
        </is>
      </c>
      <c r="B830" s="3" t="n">
        <v>46061.25</v>
      </c>
      <c r="C830" s="3" t="n">
        <v>46061.5450462963</v>
      </c>
      <c r="D830" s="4">
        <f>(C830-B830)*24</f>
        <v/>
      </c>
      <c r="E830" s="5">
        <f>IF(AND(HOUR(B830)&gt;=6,HOUR(B830)&lt;18),"Day Shift","Night Shift")</f>
        <v/>
      </c>
      <c r="F830" s="6">
        <f>INT(B830)</f>
        <v/>
      </c>
      <c r="G830" s="6">
        <f>INT(C830)</f>
        <v/>
      </c>
    </row>
    <row r="831">
      <c r="A831" s="7" t="inlineStr">
        <is>
          <t>EXD98</t>
        </is>
      </c>
      <c r="B831" s="8" t="n">
        <v>46060.18027777778</v>
      </c>
      <c r="C831" s="8" t="n">
        <v>46060.25</v>
      </c>
      <c r="D831" s="9">
        <f>(C831-B831)*24</f>
        <v/>
      </c>
      <c r="E831" s="10">
        <f>IF(AND(HOUR(B831)&gt;=6,HOUR(B831)&lt;18),"Day Shift","Night Shift")</f>
        <v/>
      </c>
      <c r="F831" s="11">
        <f>INT(B831)</f>
        <v/>
      </c>
      <c r="G831" s="11">
        <f>INT(C831)</f>
        <v/>
      </c>
    </row>
    <row r="832">
      <c r="A832" s="2" t="inlineStr">
        <is>
          <t>EXD98</t>
        </is>
      </c>
      <c r="B832" s="3" t="n">
        <v>46060.25</v>
      </c>
      <c r="C832" s="3" t="n">
        <v>46060.72753472222</v>
      </c>
      <c r="D832" s="4">
        <f>(C832-B832)*24</f>
        <v/>
      </c>
      <c r="E832" s="5">
        <f>IF(AND(HOUR(B832)&gt;=6,HOUR(B832)&lt;18),"Day Shift","Night Shift")</f>
        <v/>
      </c>
      <c r="F832" s="6">
        <f>INT(B832)</f>
        <v/>
      </c>
      <c r="G832" s="6">
        <f>INT(C832)</f>
        <v/>
      </c>
    </row>
    <row r="833">
      <c r="A833" s="7" t="inlineStr">
        <is>
          <t>EXD409</t>
        </is>
      </c>
      <c r="B833" s="8" t="n">
        <v>46060.19733796296</v>
      </c>
      <c r="C833" s="8" t="n">
        <v>46060.25</v>
      </c>
      <c r="D833" s="9">
        <f>(C833-B833)*24</f>
        <v/>
      </c>
      <c r="E833" s="10">
        <f>IF(AND(HOUR(B833)&gt;=6,HOUR(B833)&lt;18),"Day Shift","Night Shift")</f>
        <v/>
      </c>
      <c r="F833" s="11">
        <f>INT(B833)</f>
        <v/>
      </c>
      <c r="G833" s="11">
        <f>INT(C833)</f>
        <v/>
      </c>
    </row>
    <row r="834">
      <c r="A834" s="2" t="inlineStr">
        <is>
          <t>EXD409</t>
        </is>
      </c>
      <c r="B834" s="3" t="n">
        <v>46060.25</v>
      </c>
      <c r="C834" s="3" t="n">
        <v>46060.75</v>
      </c>
      <c r="D834" s="4">
        <f>(C834-B834)*24</f>
        <v/>
      </c>
      <c r="E834" s="5">
        <f>IF(AND(HOUR(B834)&gt;=6,HOUR(B834)&lt;18),"Day Shift","Night Shift")</f>
        <v/>
      </c>
      <c r="F834" s="6">
        <f>INT(B834)</f>
        <v/>
      </c>
      <c r="G834" s="6">
        <f>INT(C834)</f>
        <v/>
      </c>
    </row>
    <row r="835">
      <c r="A835" s="7" t="inlineStr">
        <is>
          <t>EXD409</t>
        </is>
      </c>
      <c r="B835" s="8" t="n">
        <v>46060.75</v>
      </c>
      <c r="C835" s="8" t="n">
        <v>46060.8391087963</v>
      </c>
      <c r="D835" s="9">
        <f>(C835-B835)*24</f>
        <v/>
      </c>
      <c r="E835" s="10">
        <f>IF(AND(HOUR(B835)&gt;=6,HOUR(B835)&lt;18),"Day Shift","Night Shift")</f>
        <v/>
      </c>
      <c r="F835" s="11">
        <f>INT(B835)</f>
        <v/>
      </c>
      <c r="G835" s="11">
        <f>INT(C835)</f>
        <v/>
      </c>
    </row>
    <row r="836">
      <c r="A836" s="7" t="inlineStr">
        <is>
          <t>EDD2541</t>
        </is>
      </c>
      <c r="B836" s="8" t="n">
        <v>46060.24100694444</v>
      </c>
      <c r="C836" s="8" t="n">
        <v>46060.25</v>
      </c>
      <c r="D836" s="9">
        <f>(C836-B836)*24</f>
        <v/>
      </c>
      <c r="E836" s="10">
        <f>IF(AND(HOUR(B836)&gt;=6,HOUR(B836)&lt;18),"Day Shift","Night Shift")</f>
        <v/>
      </c>
      <c r="F836" s="11">
        <f>INT(B836)</f>
        <v/>
      </c>
      <c r="G836" s="11">
        <f>INT(C836)</f>
        <v/>
      </c>
    </row>
    <row r="837">
      <c r="A837" s="2" t="inlineStr">
        <is>
          <t>EDD2541</t>
        </is>
      </c>
      <c r="B837" s="3" t="n">
        <v>46060.25</v>
      </c>
      <c r="C837" s="3" t="n">
        <v>46060.59311342592</v>
      </c>
      <c r="D837" s="4">
        <f>(C837-B837)*24</f>
        <v/>
      </c>
      <c r="E837" s="5">
        <f>IF(AND(HOUR(B837)&gt;=6,HOUR(B837)&lt;18),"Day Shift","Night Shift")</f>
        <v/>
      </c>
      <c r="F837" s="6">
        <f>INT(B837)</f>
        <v/>
      </c>
      <c r="G837" s="6">
        <f>INT(C837)</f>
        <v/>
      </c>
    </row>
    <row r="838">
      <c r="A838" s="2" t="inlineStr">
        <is>
          <t>SHE36;EXD101</t>
        </is>
      </c>
      <c r="B838" s="3" t="n">
        <v>46060.29167824074</v>
      </c>
      <c r="C838" s="3" t="n">
        <v>46060.75</v>
      </c>
      <c r="D838" s="4">
        <f>(C838-B838)*24</f>
        <v/>
      </c>
      <c r="E838" s="5">
        <f>IF(AND(HOUR(B838)&gt;=6,HOUR(B838)&lt;18),"Day Shift","Night Shift")</f>
        <v/>
      </c>
      <c r="F838" s="6">
        <f>INT(B838)</f>
        <v/>
      </c>
      <c r="G838" s="6">
        <f>INT(C838)</f>
        <v/>
      </c>
    </row>
    <row r="839">
      <c r="A839" s="7" t="inlineStr">
        <is>
          <t>SHE36;EXD101</t>
        </is>
      </c>
      <c r="B839" s="8" t="n">
        <v>46060.75</v>
      </c>
      <c r="C839" s="8" t="n">
        <v>46061.25</v>
      </c>
      <c r="D839" s="9">
        <f>(C839-B839)*24</f>
        <v/>
      </c>
      <c r="E839" s="10">
        <f>IF(AND(HOUR(B839)&gt;=6,HOUR(B839)&lt;18),"Day Shift","Night Shift")</f>
        <v/>
      </c>
      <c r="F839" s="11">
        <f>INT(B839)</f>
        <v/>
      </c>
      <c r="G839" s="11">
        <f>INT(C839)</f>
        <v/>
      </c>
    </row>
    <row r="840">
      <c r="A840" s="2" t="inlineStr">
        <is>
          <t>SHE36;EXD101</t>
        </is>
      </c>
      <c r="B840" s="3" t="n">
        <v>46061.25</v>
      </c>
      <c r="C840" s="3" t="n">
        <v>46061.75</v>
      </c>
      <c r="D840" s="4">
        <f>(C840-B840)*24</f>
        <v/>
      </c>
      <c r="E840" s="5">
        <f>IF(AND(HOUR(B840)&gt;=6,HOUR(B840)&lt;18),"Day Shift","Night Shift")</f>
        <v/>
      </c>
      <c r="F840" s="6">
        <f>INT(B840)</f>
        <v/>
      </c>
      <c r="G840" s="6">
        <f>INT(C840)</f>
        <v/>
      </c>
    </row>
    <row r="841">
      <c r="A841" s="7" t="inlineStr">
        <is>
          <t>SHE36;EXD101</t>
        </is>
      </c>
      <c r="B841" s="8" t="n">
        <v>46061.75</v>
      </c>
      <c r="C841" s="8" t="n">
        <v>46062.25</v>
      </c>
      <c r="D841" s="9">
        <f>(C841-B841)*24</f>
        <v/>
      </c>
      <c r="E841" s="10">
        <f>IF(AND(HOUR(B841)&gt;=6,HOUR(B841)&lt;18),"Day Shift","Night Shift")</f>
        <v/>
      </c>
      <c r="F841" s="11">
        <f>INT(B841)</f>
        <v/>
      </c>
      <c r="G841" s="11">
        <f>INT(C841)</f>
        <v/>
      </c>
    </row>
    <row r="842">
      <c r="A842" s="2" t="inlineStr">
        <is>
          <t>SHE36;EXD101</t>
        </is>
      </c>
      <c r="B842" s="3" t="n">
        <v>46062.25</v>
      </c>
      <c r="C842" s="3" t="n">
        <v>46062.75</v>
      </c>
      <c r="D842" s="4">
        <f>(C842-B842)*24</f>
        <v/>
      </c>
      <c r="E842" s="5">
        <f>IF(AND(HOUR(B842)&gt;=6,HOUR(B842)&lt;18),"Day Shift","Night Shift")</f>
        <v/>
      </c>
      <c r="F842" s="6">
        <f>INT(B842)</f>
        <v/>
      </c>
      <c r="G842" s="6">
        <f>INT(C842)</f>
        <v/>
      </c>
    </row>
    <row r="843">
      <c r="A843" s="7" t="inlineStr">
        <is>
          <t>SHE36;EXD101</t>
        </is>
      </c>
      <c r="B843" s="8" t="n">
        <v>46062.75</v>
      </c>
      <c r="C843" s="8" t="n">
        <v>46063.25</v>
      </c>
      <c r="D843" s="9">
        <f>(C843-B843)*24</f>
        <v/>
      </c>
      <c r="E843" s="10">
        <f>IF(AND(HOUR(B843)&gt;=6,HOUR(B843)&lt;18),"Day Shift","Night Shift")</f>
        <v/>
      </c>
      <c r="F843" s="11">
        <f>INT(B843)</f>
        <v/>
      </c>
      <c r="G843" s="11">
        <f>INT(C843)</f>
        <v/>
      </c>
    </row>
    <row r="844">
      <c r="A844" s="2" t="inlineStr">
        <is>
          <t>SHE36;EXD101</t>
        </is>
      </c>
      <c r="B844" s="3" t="n">
        <v>46063.25</v>
      </c>
      <c r="C844" s="3" t="n">
        <v>46063.75</v>
      </c>
      <c r="D844" s="4">
        <f>(C844-B844)*24</f>
        <v/>
      </c>
      <c r="E844" s="5">
        <f>IF(AND(HOUR(B844)&gt;=6,HOUR(B844)&lt;18),"Day Shift","Night Shift")</f>
        <v/>
      </c>
      <c r="F844" s="6">
        <f>INT(B844)</f>
        <v/>
      </c>
      <c r="G844" s="6">
        <f>INT(C844)</f>
        <v/>
      </c>
    </row>
    <row r="845">
      <c r="A845" s="7" t="inlineStr">
        <is>
          <t>SHE36;EXD101</t>
        </is>
      </c>
      <c r="B845" s="8" t="n">
        <v>46063.75</v>
      </c>
      <c r="C845" s="8" t="n">
        <v>46064.25</v>
      </c>
      <c r="D845" s="9">
        <f>(C845-B845)*24</f>
        <v/>
      </c>
      <c r="E845" s="10">
        <f>IF(AND(HOUR(B845)&gt;=6,HOUR(B845)&lt;18),"Day Shift","Night Shift")</f>
        <v/>
      </c>
      <c r="F845" s="11">
        <f>INT(B845)</f>
        <v/>
      </c>
      <c r="G845" s="11">
        <f>INT(C845)</f>
        <v/>
      </c>
    </row>
    <row r="846">
      <c r="A846" s="2" t="inlineStr">
        <is>
          <t>SHE36;EXD101</t>
        </is>
      </c>
      <c r="B846" s="3" t="n">
        <v>46064.25</v>
      </c>
      <c r="C846" s="3" t="n">
        <v>46064.75</v>
      </c>
      <c r="D846" s="4">
        <f>(C846-B846)*24</f>
        <v/>
      </c>
      <c r="E846" s="5">
        <f>IF(AND(HOUR(B846)&gt;=6,HOUR(B846)&lt;18),"Day Shift","Night Shift")</f>
        <v/>
      </c>
      <c r="F846" s="6">
        <f>INT(B846)</f>
        <v/>
      </c>
      <c r="G846" s="6">
        <f>INT(C846)</f>
        <v/>
      </c>
    </row>
    <row r="847">
      <c r="A847" s="7" t="inlineStr">
        <is>
          <t>SHE36;EXD101</t>
        </is>
      </c>
      <c r="B847" s="8" t="n">
        <v>46064.75</v>
      </c>
      <c r="C847" s="8" t="n">
        <v>46065.25</v>
      </c>
      <c r="D847" s="9">
        <f>(C847-B847)*24</f>
        <v/>
      </c>
      <c r="E847" s="10">
        <f>IF(AND(HOUR(B847)&gt;=6,HOUR(B847)&lt;18),"Day Shift","Night Shift")</f>
        <v/>
      </c>
      <c r="F847" s="11">
        <f>INT(B847)</f>
        <v/>
      </c>
      <c r="G847" s="11">
        <f>INT(C847)</f>
        <v/>
      </c>
    </row>
    <row r="848">
      <c r="A848" s="2" t="inlineStr">
        <is>
          <t>SHE36;EXD101</t>
        </is>
      </c>
      <c r="B848" s="3" t="n">
        <v>46065.25</v>
      </c>
      <c r="C848" s="3" t="n">
        <v>46065.75</v>
      </c>
      <c r="D848" s="4">
        <f>(C848-B848)*24</f>
        <v/>
      </c>
      <c r="E848" s="5">
        <f>IF(AND(HOUR(B848)&gt;=6,HOUR(B848)&lt;18),"Day Shift","Night Shift")</f>
        <v/>
      </c>
      <c r="F848" s="6">
        <f>INT(B848)</f>
        <v/>
      </c>
      <c r="G848" s="6">
        <f>INT(C848)</f>
        <v/>
      </c>
    </row>
    <row r="849">
      <c r="A849" s="7" t="inlineStr">
        <is>
          <t>SHE36;EXD101</t>
        </is>
      </c>
      <c r="B849" s="8" t="n">
        <v>46065.75</v>
      </c>
      <c r="C849" s="8" t="n">
        <v>46066.25</v>
      </c>
      <c r="D849" s="9">
        <f>(C849-B849)*24</f>
        <v/>
      </c>
      <c r="E849" s="10">
        <f>IF(AND(HOUR(B849)&gt;=6,HOUR(B849)&lt;18),"Day Shift","Night Shift")</f>
        <v/>
      </c>
      <c r="F849" s="11">
        <f>INT(B849)</f>
        <v/>
      </c>
      <c r="G849" s="11">
        <f>INT(C849)</f>
        <v/>
      </c>
    </row>
    <row r="850">
      <c r="A850" s="2" t="inlineStr">
        <is>
          <t>SHE36;EXD101</t>
        </is>
      </c>
      <c r="B850" s="3" t="n">
        <v>46066.25</v>
      </c>
      <c r="C850" s="3" t="n">
        <v>46066.75</v>
      </c>
      <c r="D850" s="4">
        <f>(C850-B850)*24</f>
        <v/>
      </c>
      <c r="E850" s="5">
        <f>IF(AND(HOUR(B850)&gt;=6,HOUR(B850)&lt;18),"Day Shift","Night Shift")</f>
        <v/>
      </c>
      <c r="F850" s="6">
        <f>INT(B850)</f>
        <v/>
      </c>
      <c r="G850" s="6">
        <f>INT(C850)</f>
        <v/>
      </c>
    </row>
    <row r="851">
      <c r="A851" s="7" t="inlineStr">
        <is>
          <t>SHE36;EXD101</t>
        </is>
      </c>
      <c r="B851" s="8" t="n">
        <v>46066.75</v>
      </c>
      <c r="C851" s="8" t="n">
        <v>46067.25</v>
      </c>
      <c r="D851" s="9">
        <f>(C851-B851)*24</f>
        <v/>
      </c>
      <c r="E851" s="10">
        <f>IF(AND(HOUR(B851)&gt;=6,HOUR(B851)&lt;18),"Day Shift","Night Shift")</f>
        <v/>
      </c>
      <c r="F851" s="11">
        <f>INT(B851)</f>
        <v/>
      </c>
      <c r="G851" s="11">
        <f>INT(C851)</f>
        <v/>
      </c>
    </row>
    <row r="852">
      <c r="A852" s="2" t="inlineStr">
        <is>
          <t>SHE36;EXD101</t>
        </is>
      </c>
      <c r="B852" s="3" t="n">
        <v>46067.25</v>
      </c>
      <c r="C852" s="3" t="n">
        <v>46067.75</v>
      </c>
      <c r="D852" s="4">
        <f>(C852-B852)*24</f>
        <v/>
      </c>
      <c r="E852" s="5">
        <f>IF(AND(HOUR(B852)&gt;=6,HOUR(B852)&lt;18),"Day Shift","Night Shift")</f>
        <v/>
      </c>
      <c r="F852" s="6">
        <f>INT(B852)</f>
        <v/>
      </c>
      <c r="G852" s="6">
        <f>INT(C852)</f>
        <v/>
      </c>
    </row>
    <row r="853">
      <c r="A853" s="7" t="inlineStr">
        <is>
          <t>SHE36;EXD101</t>
        </is>
      </c>
      <c r="B853" s="8" t="n">
        <v>46067.75</v>
      </c>
      <c r="C853" s="8" t="n">
        <v>46068.25</v>
      </c>
      <c r="D853" s="9">
        <f>(C853-B853)*24</f>
        <v/>
      </c>
      <c r="E853" s="10">
        <f>IF(AND(HOUR(B853)&gt;=6,HOUR(B853)&lt;18),"Day Shift","Night Shift")</f>
        <v/>
      </c>
      <c r="F853" s="11">
        <f>INT(B853)</f>
        <v/>
      </c>
      <c r="G853" s="11">
        <f>INT(C853)</f>
        <v/>
      </c>
    </row>
    <row r="854">
      <c r="A854" s="2" t="inlineStr">
        <is>
          <t>SHE36;EXD101</t>
        </is>
      </c>
      <c r="B854" s="3" t="n">
        <v>46068.25</v>
      </c>
      <c r="C854" s="3" t="n">
        <v>46068.75</v>
      </c>
      <c r="D854" s="4">
        <f>(C854-B854)*24</f>
        <v/>
      </c>
      <c r="E854" s="5">
        <f>IF(AND(HOUR(B854)&gt;=6,HOUR(B854)&lt;18),"Day Shift","Night Shift")</f>
        <v/>
      </c>
      <c r="F854" s="6">
        <f>INT(B854)</f>
        <v/>
      </c>
      <c r="G854" s="6">
        <f>INT(C854)</f>
        <v/>
      </c>
    </row>
    <row r="855">
      <c r="A855" s="7" t="inlineStr">
        <is>
          <t>SHE36;EXD101</t>
        </is>
      </c>
      <c r="B855" s="8" t="n">
        <v>46068.75</v>
      </c>
      <c r="C855" s="8" t="n">
        <v>46069.25</v>
      </c>
      <c r="D855" s="9">
        <f>(C855-B855)*24</f>
        <v/>
      </c>
      <c r="E855" s="10">
        <f>IF(AND(HOUR(B855)&gt;=6,HOUR(B855)&lt;18),"Day Shift","Night Shift")</f>
        <v/>
      </c>
      <c r="F855" s="11">
        <f>INT(B855)</f>
        <v/>
      </c>
      <c r="G855" s="11">
        <f>INT(C855)</f>
        <v/>
      </c>
    </row>
    <row r="856">
      <c r="A856" s="2" t="inlineStr">
        <is>
          <t>SHE36;EXD101</t>
        </is>
      </c>
      <c r="B856" s="3" t="n">
        <v>46069.25</v>
      </c>
      <c r="C856" s="3" t="n">
        <v>46069.75</v>
      </c>
      <c r="D856" s="4">
        <f>(C856-B856)*24</f>
        <v/>
      </c>
      <c r="E856" s="5">
        <f>IF(AND(HOUR(B856)&gt;=6,HOUR(B856)&lt;18),"Day Shift","Night Shift")</f>
        <v/>
      </c>
      <c r="F856" s="6">
        <f>INT(B856)</f>
        <v/>
      </c>
      <c r="G856" s="6">
        <f>INT(C856)</f>
        <v/>
      </c>
    </row>
    <row r="857">
      <c r="A857" s="7" t="inlineStr">
        <is>
          <t>SHE36;EXD101</t>
        </is>
      </c>
      <c r="B857" s="8" t="n">
        <v>46069.75</v>
      </c>
      <c r="C857" s="8" t="n">
        <v>46070.25</v>
      </c>
      <c r="D857" s="9">
        <f>(C857-B857)*24</f>
        <v/>
      </c>
      <c r="E857" s="10">
        <f>IF(AND(HOUR(B857)&gt;=6,HOUR(B857)&lt;18),"Day Shift","Night Shift")</f>
        <v/>
      </c>
      <c r="F857" s="11">
        <f>INT(B857)</f>
        <v/>
      </c>
      <c r="G857" s="11">
        <f>INT(C857)</f>
        <v/>
      </c>
    </row>
    <row r="858">
      <c r="A858" s="2" t="inlineStr">
        <is>
          <t>SHE36;EXD101</t>
        </is>
      </c>
      <c r="B858" s="3" t="n">
        <v>46070.25</v>
      </c>
      <c r="C858" s="3" t="n">
        <v>46070.75</v>
      </c>
      <c r="D858" s="4">
        <f>(C858-B858)*24</f>
        <v/>
      </c>
      <c r="E858" s="5">
        <f>IF(AND(HOUR(B858)&gt;=6,HOUR(B858)&lt;18),"Day Shift","Night Shift")</f>
        <v/>
      </c>
      <c r="F858" s="6">
        <f>INT(B858)</f>
        <v/>
      </c>
      <c r="G858" s="6">
        <f>INT(C858)</f>
        <v/>
      </c>
    </row>
    <row r="859">
      <c r="A859" s="7" t="inlineStr">
        <is>
          <t>SHE36;EXD101</t>
        </is>
      </c>
      <c r="B859" s="8" t="n">
        <v>46070.75</v>
      </c>
      <c r="C859" s="8" t="n">
        <v>46071.25</v>
      </c>
      <c r="D859" s="9">
        <f>(C859-B859)*24</f>
        <v/>
      </c>
      <c r="E859" s="10">
        <f>IF(AND(HOUR(B859)&gt;=6,HOUR(B859)&lt;18),"Day Shift","Night Shift")</f>
        <v/>
      </c>
      <c r="F859" s="11">
        <f>INT(B859)</f>
        <v/>
      </c>
      <c r="G859" s="11">
        <f>INT(C859)</f>
        <v/>
      </c>
    </row>
    <row r="860">
      <c r="A860" s="2" t="inlineStr">
        <is>
          <t>SHE36;EXD101</t>
        </is>
      </c>
      <c r="B860" s="3" t="n">
        <v>46071.25</v>
      </c>
      <c r="C860" s="3" t="n">
        <v>46071.75</v>
      </c>
      <c r="D860" s="4">
        <f>(C860-B860)*24</f>
        <v/>
      </c>
      <c r="E860" s="5">
        <f>IF(AND(HOUR(B860)&gt;=6,HOUR(B860)&lt;18),"Day Shift","Night Shift")</f>
        <v/>
      </c>
      <c r="F860" s="6">
        <f>INT(B860)</f>
        <v/>
      </c>
      <c r="G860" s="6">
        <f>INT(C860)</f>
        <v/>
      </c>
    </row>
    <row r="861">
      <c r="A861" s="7" t="inlineStr">
        <is>
          <t>SHE36;EXD101</t>
        </is>
      </c>
      <c r="B861" s="8" t="n">
        <v>46071.75</v>
      </c>
      <c r="C861" s="8" t="n">
        <v>46072.25</v>
      </c>
      <c r="D861" s="9">
        <f>(C861-B861)*24</f>
        <v/>
      </c>
      <c r="E861" s="10">
        <f>IF(AND(HOUR(B861)&gt;=6,HOUR(B861)&lt;18),"Day Shift","Night Shift")</f>
        <v/>
      </c>
      <c r="F861" s="11">
        <f>INT(B861)</f>
        <v/>
      </c>
      <c r="G861" s="11">
        <f>INT(C861)</f>
        <v/>
      </c>
    </row>
    <row r="862">
      <c r="A862" s="2" t="inlineStr">
        <is>
          <t>SHE36;EXD101</t>
        </is>
      </c>
      <c r="B862" s="3" t="n">
        <v>46072.25</v>
      </c>
      <c r="C862" s="3" t="n">
        <v>46072.75</v>
      </c>
      <c r="D862" s="4">
        <f>(C862-B862)*24</f>
        <v/>
      </c>
      <c r="E862" s="5">
        <f>IF(AND(HOUR(B862)&gt;=6,HOUR(B862)&lt;18),"Day Shift","Night Shift")</f>
        <v/>
      </c>
      <c r="F862" s="6">
        <f>INT(B862)</f>
        <v/>
      </c>
      <c r="G862" s="6">
        <f>INT(C862)</f>
        <v/>
      </c>
    </row>
    <row r="863">
      <c r="A863" s="7" t="inlineStr">
        <is>
          <t>SHE36;EXD101</t>
        </is>
      </c>
      <c r="B863" s="8" t="n">
        <v>46072.75</v>
      </c>
      <c r="C863" s="8" t="n">
        <v>46073.25</v>
      </c>
      <c r="D863" s="9">
        <f>(C863-B863)*24</f>
        <v/>
      </c>
      <c r="E863" s="10">
        <f>IF(AND(HOUR(B863)&gt;=6,HOUR(B863)&lt;18),"Day Shift","Night Shift")</f>
        <v/>
      </c>
      <c r="F863" s="11">
        <f>INT(B863)</f>
        <v/>
      </c>
      <c r="G863" s="11">
        <f>INT(C863)</f>
        <v/>
      </c>
    </row>
    <row r="864">
      <c r="A864" s="2" t="inlineStr">
        <is>
          <t>SHE36;EXD101</t>
        </is>
      </c>
      <c r="B864" s="3" t="n">
        <v>46073.25</v>
      </c>
      <c r="C864" s="3" t="n">
        <v>46073.75</v>
      </c>
      <c r="D864" s="4">
        <f>(C864-B864)*24</f>
        <v/>
      </c>
      <c r="E864" s="5">
        <f>IF(AND(HOUR(B864)&gt;=6,HOUR(B864)&lt;18),"Day Shift","Night Shift")</f>
        <v/>
      </c>
      <c r="F864" s="6">
        <f>INT(B864)</f>
        <v/>
      </c>
      <c r="G864" s="6">
        <f>INT(C864)</f>
        <v/>
      </c>
    </row>
    <row r="865">
      <c r="A865" s="7" t="inlineStr">
        <is>
          <t>SHE36;EXD101</t>
        </is>
      </c>
      <c r="B865" s="8" t="n">
        <v>46073.75</v>
      </c>
      <c r="C865" s="8" t="n">
        <v>46074.25</v>
      </c>
      <c r="D865" s="9">
        <f>(C865-B865)*24</f>
        <v/>
      </c>
      <c r="E865" s="10">
        <f>IF(AND(HOUR(B865)&gt;=6,HOUR(B865)&lt;18),"Day Shift","Night Shift")</f>
        <v/>
      </c>
      <c r="F865" s="11">
        <f>INT(B865)</f>
        <v/>
      </c>
      <c r="G865" s="11">
        <f>INT(C865)</f>
        <v/>
      </c>
    </row>
    <row r="866">
      <c r="A866" s="2" t="inlineStr">
        <is>
          <t>SHE36;EXD101</t>
        </is>
      </c>
      <c r="B866" s="3" t="n">
        <v>46074.25</v>
      </c>
      <c r="C866" s="3" t="n">
        <v>46074.75</v>
      </c>
      <c r="D866" s="4">
        <f>(C866-B866)*24</f>
        <v/>
      </c>
      <c r="E866" s="5">
        <f>IF(AND(HOUR(B866)&gt;=6,HOUR(B866)&lt;18),"Day Shift","Night Shift")</f>
        <v/>
      </c>
      <c r="F866" s="6">
        <f>INT(B866)</f>
        <v/>
      </c>
      <c r="G866" s="6">
        <f>INT(C866)</f>
        <v/>
      </c>
    </row>
    <row r="867">
      <c r="A867" s="7" t="inlineStr">
        <is>
          <t>SHE36;EXD101</t>
        </is>
      </c>
      <c r="B867" s="8" t="n">
        <v>46074.75</v>
      </c>
      <c r="C867" s="8" t="n">
        <v>46075.25</v>
      </c>
      <c r="D867" s="9">
        <f>(C867-B867)*24</f>
        <v/>
      </c>
      <c r="E867" s="10">
        <f>IF(AND(HOUR(B867)&gt;=6,HOUR(B867)&lt;18),"Day Shift","Night Shift")</f>
        <v/>
      </c>
      <c r="F867" s="11">
        <f>INT(B867)</f>
        <v/>
      </c>
      <c r="G867" s="11">
        <f>INT(C867)</f>
        <v/>
      </c>
    </row>
    <row r="868">
      <c r="A868" s="2" t="inlineStr">
        <is>
          <t>SHE36;EXD101</t>
        </is>
      </c>
      <c r="B868" s="3" t="n">
        <v>46075.25</v>
      </c>
      <c r="C868" s="3" t="n">
        <v>46075.75</v>
      </c>
      <c r="D868" s="4">
        <f>(C868-B868)*24</f>
        <v/>
      </c>
      <c r="E868" s="5">
        <f>IF(AND(HOUR(B868)&gt;=6,HOUR(B868)&lt;18),"Day Shift","Night Shift")</f>
        <v/>
      </c>
      <c r="F868" s="6">
        <f>INT(B868)</f>
        <v/>
      </c>
      <c r="G868" s="6">
        <f>INT(C868)</f>
        <v/>
      </c>
    </row>
    <row r="869">
      <c r="A869" s="7" t="inlineStr">
        <is>
          <t>SHE36;EXD101</t>
        </is>
      </c>
      <c r="B869" s="8" t="n">
        <v>46075.75</v>
      </c>
      <c r="C869" s="8" t="n">
        <v>46076.25</v>
      </c>
      <c r="D869" s="9">
        <f>(C869-B869)*24</f>
        <v/>
      </c>
      <c r="E869" s="10">
        <f>IF(AND(HOUR(B869)&gt;=6,HOUR(B869)&lt;18),"Day Shift","Night Shift")</f>
        <v/>
      </c>
      <c r="F869" s="11">
        <f>INT(B869)</f>
        <v/>
      </c>
      <c r="G869" s="11">
        <f>INT(C869)</f>
        <v/>
      </c>
    </row>
    <row r="870">
      <c r="A870" s="2" t="inlineStr">
        <is>
          <t>SHE36;EXD101</t>
        </is>
      </c>
      <c r="B870" s="3" t="n">
        <v>46076.25</v>
      </c>
      <c r="C870" s="3" t="n">
        <v>46076.75</v>
      </c>
      <c r="D870" s="4">
        <f>(C870-B870)*24</f>
        <v/>
      </c>
      <c r="E870" s="5">
        <f>IF(AND(HOUR(B870)&gt;=6,HOUR(B870)&lt;18),"Day Shift","Night Shift")</f>
        <v/>
      </c>
      <c r="F870" s="6">
        <f>INT(B870)</f>
        <v/>
      </c>
      <c r="G870" s="6">
        <f>INT(C870)</f>
        <v/>
      </c>
    </row>
    <row r="871">
      <c r="A871" s="7" t="inlineStr">
        <is>
          <t>SHE36;EXD101</t>
        </is>
      </c>
      <c r="B871" s="8" t="n">
        <v>46076.75</v>
      </c>
      <c r="C871" s="8" t="n">
        <v>46077.25</v>
      </c>
      <c r="D871" s="9">
        <f>(C871-B871)*24</f>
        <v/>
      </c>
      <c r="E871" s="10">
        <f>IF(AND(HOUR(B871)&gt;=6,HOUR(B871)&lt;18),"Day Shift","Night Shift")</f>
        <v/>
      </c>
      <c r="F871" s="11">
        <f>INT(B871)</f>
        <v/>
      </c>
      <c r="G871" s="11">
        <f>INT(C871)</f>
        <v/>
      </c>
    </row>
    <row r="872">
      <c r="A872" s="2" t="inlineStr">
        <is>
          <t>SHE36;EXD101</t>
        </is>
      </c>
      <c r="B872" s="3" t="n">
        <v>46077.25</v>
      </c>
      <c r="C872" s="3" t="n">
        <v>46077.75</v>
      </c>
      <c r="D872" s="4">
        <f>(C872-B872)*24</f>
        <v/>
      </c>
      <c r="E872" s="5">
        <f>IF(AND(HOUR(B872)&gt;=6,HOUR(B872)&lt;18),"Day Shift","Night Shift")</f>
        <v/>
      </c>
      <c r="F872" s="6">
        <f>INT(B872)</f>
        <v/>
      </c>
      <c r="G872" s="6">
        <f>INT(C872)</f>
        <v/>
      </c>
    </row>
    <row r="873">
      <c r="A873" s="7" t="inlineStr">
        <is>
          <t>SHE36;EXD101</t>
        </is>
      </c>
      <c r="B873" s="8" t="n">
        <v>46077.75</v>
      </c>
      <c r="C873" s="8" t="n">
        <v>46078.25</v>
      </c>
      <c r="D873" s="9">
        <f>(C873-B873)*24</f>
        <v/>
      </c>
      <c r="E873" s="10">
        <f>IF(AND(HOUR(B873)&gt;=6,HOUR(B873)&lt;18),"Day Shift","Night Shift")</f>
        <v/>
      </c>
      <c r="F873" s="11">
        <f>INT(B873)</f>
        <v/>
      </c>
      <c r="G873" s="11">
        <f>INT(C873)</f>
        <v/>
      </c>
    </row>
    <row r="874">
      <c r="A874" s="2" t="inlineStr">
        <is>
          <t>SHE36;EXD101</t>
        </is>
      </c>
      <c r="B874" s="3" t="n">
        <v>46078.25</v>
      </c>
      <c r="C874" s="3" t="n">
        <v>46078.75</v>
      </c>
      <c r="D874" s="4">
        <f>(C874-B874)*24</f>
        <v/>
      </c>
      <c r="E874" s="5">
        <f>IF(AND(HOUR(B874)&gt;=6,HOUR(B874)&lt;18),"Day Shift","Night Shift")</f>
        <v/>
      </c>
      <c r="F874" s="6">
        <f>INT(B874)</f>
        <v/>
      </c>
      <c r="G874" s="6">
        <f>INT(C874)</f>
        <v/>
      </c>
    </row>
    <row r="875">
      <c r="A875" s="7" t="inlineStr">
        <is>
          <t>SHE36;EXD101</t>
        </is>
      </c>
      <c r="B875" s="8" t="n">
        <v>46078.75</v>
      </c>
      <c r="C875" s="8" t="n">
        <v>46079.25</v>
      </c>
      <c r="D875" s="9">
        <f>(C875-B875)*24</f>
        <v/>
      </c>
      <c r="E875" s="10">
        <f>IF(AND(HOUR(B875)&gt;=6,HOUR(B875)&lt;18),"Day Shift","Night Shift")</f>
        <v/>
      </c>
      <c r="F875" s="11">
        <f>INT(B875)</f>
        <v/>
      </c>
      <c r="G875" s="11">
        <f>INT(C875)</f>
        <v/>
      </c>
    </row>
    <row r="876">
      <c r="A876" s="2" t="inlineStr">
        <is>
          <t>SHE36;EXD101</t>
        </is>
      </c>
      <c r="B876" s="3" t="n">
        <v>46079.25</v>
      </c>
      <c r="C876" s="3" t="n">
        <v>46079.75</v>
      </c>
      <c r="D876" s="4">
        <f>(C876-B876)*24</f>
        <v/>
      </c>
      <c r="E876" s="5">
        <f>IF(AND(HOUR(B876)&gt;=6,HOUR(B876)&lt;18),"Day Shift","Night Shift")</f>
        <v/>
      </c>
      <c r="F876" s="6">
        <f>INT(B876)</f>
        <v/>
      </c>
      <c r="G876" s="6">
        <f>INT(C876)</f>
        <v/>
      </c>
    </row>
    <row r="877">
      <c r="A877" s="7" t="inlineStr">
        <is>
          <t>SHE36;EXD101</t>
        </is>
      </c>
      <c r="B877" s="8" t="n">
        <v>46079.75</v>
      </c>
      <c r="C877" s="8" t="n">
        <v>46080.25</v>
      </c>
      <c r="D877" s="9">
        <f>(C877-B877)*24</f>
        <v/>
      </c>
      <c r="E877" s="10">
        <f>IF(AND(HOUR(B877)&gt;=6,HOUR(B877)&lt;18),"Day Shift","Night Shift")</f>
        <v/>
      </c>
      <c r="F877" s="11">
        <f>INT(B877)</f>
        <v/>
      </c>
      <c r="G877" s="11">
        <f>INT(C877)</f>
        <v/>
      </c>
    </row>
    <row r="878">
      <c r="A878" s="2" t="inlineStr">
        <is>
          <t>SHE36;EXD101</t>
        </is>
      </c>
      <c r="B878" s="3" t="n">
        <v>46080.25</v>
      </c>
      <c r="C878" s="3" t="n">
        <v>46080.75</v>
      </c>
      <c r="D878" s="4">
        <f>(C878-B878)*24</f>
        <v/>
      </c>
      <c r="E878" s="5">
        <f>IF(AND(HOUR(B878)&gt;=6,HOUR(B878)&lt;18),"Day Shift","Night Shift")</f>
        <v/>
      </c>
      <c r="F878" s="6">
        <f>INT(B878)</f>
        <v/>
      </c>
      <c r="G878" s="6">
        <f>INT(C878)</f>
        <v/>
      </c>
    </row>
    <row r="879">
      <c r="A879" s="7" t="inlineStr">
        <is>
          <t>SHE36;EXD101</t>
        </is>
      </c>
      <c r="B879" s="8" t="n">
        <v>46080.75</v>
      </c>
      <c r="C879" s="8" t="n">
        <v>46081.25</v>
      </c>
      <c r="D879" s="9">
        <f>(C879-B879)*24</f>
        <v/>
      </c>
      <c r="E879" s="10">
        <f>IF(AND(HOUR(B879)&gt;=6,HOUR(B879)&lt;18),"Day Shift","Night Shift")</f>
        <v/>
      </c>
      <c r="F879" s="11">
        <f>INT(B879)</f>
        <v/>
      </c>
      <c r="G879" s="11">
        <f>INT(C879)</f>
        <v/>
      </c>
    </row>
    <row r="880">
      <c r="A880" s="2" t="inlineStr">
        <is>
          <t>SHE36;EXD101</t>
        </is>
      </c>
      <c r="B880" s="3" t="n">
        <v>46081.25</v>
      </c>
      <c r="C880" s="3" t="n">
        <v>46081.75</v>
      </c>
      <c r="D880" s="4">
        <f>(C880-B880)*24</f>
        <v/>
      </c>
      <c r="E880" s="5">
        <f>IF(AND(HOUR(B880)&gt;=6,HOUR(B880)&lt;18),"Day Shift","Night Shift")</f>
        <v/>
      </c>
      <c r="F880" s="6">
        <f>INT(B880)</f>
        <v/>
      </c>
      <c r="G880" s="6">
        <f>INT(C880)</f>
        <v/>
      </c>
    </row>
    <row r="881">
      <c r="A881" s="7" t="inlineStr">
        <is>
          <t>SHE36;EXD101</t>
        </is>
      </c>
      <c r="B881" s="8" t="n">
        <v>46081.75</v>
      </c>
      <c r="C881" s="8" t="n">
        <v>46082.25</v>
      </c>
      <c r="D881" s="9">
        <f>(C881-B881)*24</f>
        <v/>
      </c>
      <c r="E881" s="10">
        <f>IF(AND(HOUR(B881)&gt;=6,HOUR(B881)&lt;18),"Day Shift","Night Shift")</f>
        <v/>
      </c>
      <c r="F881" s="11">
        <f>INT(B881)</f>
        <v/>
      </c>
      <c r="G881" s="11">
        <f>INT(C881)</f>
        <v/>
      </c>
    </row>
    <row r="882">
      <c r="A882" s="2" t="inlineStr">
        <is>
          <t>SHE36;EXD101</t>
        </is>
      </c>
      <c r="B882" s="3" t="n">
        <v>46082.25</v>
      </c>
      <c r="C882" s="3" t="n">
        <v>46082.75</v>
      </c>
      <c r="D882" s="4">
        <f>(C882-B882)*24</f>
        <v/>
      </c>
      <c r="E882" s="5">
        <f>IF(AND(HOUR(B882)&gt;=6,HOUR(B882)&lt;18),"Day Shift","Night Shift")</f>
        <v/>
      </c>
      <c r="F882" s="6">
        <f>INT(B882)</f>
        <v/>
      </c>
      <c r="G882" s="6">
        <f>INT(C882)</f>
        <v/>
      </c>
    </row>
    <row r="883">
      <c r="A883" s="7" t="inlineStr">
        <is>
          <t>SHE36;EXD101</t>
        </is>
      </c>
      <c r="B883" s="8" t="n">
        <v>46082.75</v>
      </c>
      <c r="C883" s="8" t="n">
        <v>46083.25</v>
      </c>
      <c r="D883" s="9">
        <f>(C883-B883)*24</f>
        <v/>
      </c>
      <c r="E883" s="10">
        <f>IF(AND(HOUR(B883)&gt;=6,HOUR(B883)&lt;18),"Day Shift","Night Shift")</f>
        <v/>
      </c>
      <c r="F883" s="11">
        <f>INT(B883)</f>
        <v/>
      </c>
      <c r="G883" s="11">
        <f>INT(C883)</f>
        <v/>
      </c>
    </row>
    <row r="884">
      <c r="A884" s="2" t="inlineStr">
        <is>
          <t>SHE36;EXD101</t>
        </is>
      </c>
      <c r="B884" s="3" t="n">
        <v>46083.25</v>
      </c>
      <c r="C884" s="3" t="n">
        <v>46083.75</v>
      </c>
      <c r="D884" s="4">
        <f>(C884-B884)*24</f>
        <v/>
      </c>
      <c r="E884" s="5">
        <f>IF(AND(HOUR(B884)&gt;=6,HOUR(B884)&lt;18),"Day Shift","Night Shift")</f>
        <v/>
      </c>
      <c r="F884" s="6">
        <f>INT(B884)</f>
        <v/>
      </c>
      <c r="G884" s="6">
        <f>INT(C884)</f>
        <v/>
      </c>
    </row>
    <row r="885">
      <c r="A885" s="7" t="inlineStr">
        <is>
          <t>SHE36;EXD101</t>
        </is>
      </c>
      <c r="B885" s="8" t="n">
        <v>46083.75</v>
      </c>
      <c r="C885" s="8" t="n">
        <v>46084.25</v>
      </c>
      <c r="D885" s="9">
        <f>(C885-B885)*24</f>
        <v/>
      </c>
      <c r="E885" s="10">
        <f>IF(AND(HOUR(B885)&gt;=6,HOUR(B885)&lt;18),"Day Shift","Night Shift")</f>
        <v/>
      </c>
      <c r="F885" s="11">
        <f>INT(B885)</f>
        <v/>
      </c>
      <c r="G885" s="11">
        <f>INT(C885)</f>
        <v/>
      </c>
    </row>
    <row r="886">
      <c r="A886" s="2" t="inlineStr">
        <is>
          <t>SHE36;EXD101</t>
        </is>
      </c>
      <c r="B886" s="3" t="n">
        <v>46084.25</v>
      </c>
      <c r="C886" s="3" t="n">
        <v>46084.75</v>
      </c>
      <c r="D886" s="4">
        <f>(C886-B886)*24</f>
        <v/>
      </c>
      <c r="E886" s="5">
        <f>IF(AND(HOUR(B886)&gt;=6,HOUR(B886)&lt;18),"Day Shift","Night Shift")</f>
        <v/>
      </c>
      <c r="F886" s="6">
        <f>INT(B886)</f>
        <v/>
      </c>
      <c r="G886" s="6">
        <f>INT(C886)</f>
        <v/>
      </c>
    </row>
    <row r="887">
      <c r="A887" s="7" t="inlineStr">
        <is>
          <t>SHE36;EXD101</t>
        </is>
      </c>
      <c r="B887" s="8" t="n">
        <v>46084.75</v>
      </c>
      <c r="C887" s="8" t="n">
        <v>46085.09082175926</v>
      </c>
      <c r="D887" s="9">
        <f>(C887-B887)*24</f>
        <v/>
      </c>
      <c r="E887" s="10">
        <f>IF(AND(HOUR(B887)&gt;=6,HOUR(B887)&lt;18),"Day Shift","Night Shift")</f>
        <v/>
      </c>
      <c r="F887" s="11">
        <f>INT(B887)</f>
        <v/>
      </c>
      <c r="G887" s="11">
        <f>INT(C887)</f>
        <v/>
      </c>
    </row>
    <row r="888">
      <c r="A888" s="2" t="inlineStr">
        <is>
          <t>EDD175;EDD2134</t>
        </is>
      </c>
      <c r="B888" s="3" t="n">
        <v>46060.30480324074</v>
      </c>
      <c r="C888" s="3" t="n">
        <v>46060.75</v>
      </c>
      <c r="D888" s="4">
        <f>(C888-B888)*24</f>
        <v/>
      </c>
      <c r="E888" s="5">
        <f>IF(AND(HOUR(B888)&gt;=6,HOUR(B888)&lt;18),"Day Shift","Night Shift")</f>
        <v/>
      </c>
      <c r="F888" s="6">
        <f>INT(B888)</f>
        <v/>
      </c>
      <c r="G888" s="6">
        <f>INT(C888)</f>
        <v/>
      </c>
    </row>
    <row r="889">
      <c r="A889" s="7" t="inlineStr">
        <is>
          <t>EDD175;EDD2134</t>
        </is>
      </c>
      <c r="B889" s="8" t="n">
        <v>46060.75</v>
      </c>
      <c r="C889" s="8" t="n">
        <v>46060.84567129629</v>
      </c>
      <c r="D889" s="9">
        <f>(C889-B889)*24</f>
        <v/>
      </c>
      <c r="E889" s="10">
        <f>IF(AND(HOUR(B889)&gt;=6,HOUR(B889)&lt;18),"Day Shift","Night Shift")</f>
        <v/>
      </c>
      <c r="F889" s="11">
        <f>INT(B889)</f>
        <v/>
      </c>
      <c r="G889" s="11">
        <f>INT(C889)</f>
        <v/>
      </c>
    </row>
    <row r="890">
      <c r="A890" s="2" t="inlineStr">
        <is>
          <t>EDD812</t>
        </is>
      </c>
      <c r="B890" s="3" t="n">
        <v>46060.30480324074</v>
      </c>
      <c r="C890" s="3" t="n">
        <v>46060.75</v>
      </c>
      <c r="D890" s="4">
        <f>(C890-B890)*24</f>
        <v/>
      </c>
      <c r="E890" s="5">
        <f>IF(AND(HOUR(B890)&gt;=6,HOUR(B890)&lt;18),"Day Shift","Night Shift")</f>
        <v/>
      </c>
      <c r="F890" s="6">
        <f>INT(B890)</f>
        <v/>
      </c>
      <c r="G890" s="6">
        <f>INT(C890)</f>
        <v/>
      </c>
    </row>
    <row r="891">
      <c r="A891" s="7" t="inlineStr">
        <is>
          <t>EDD812</t>
        </is>
      </c>
      <c r="B891" s="8" t="n">
        <v>46060.75</v>
      </c>
      <c r="C891" s="8" t="n">
        <v>46060.91513888889</v>
      </c>
      <c r="D891" s="9">
        <f>(C891-B891)*24</f>
        <v/>
      </c>
      <c r="E891" s="10">
        <f>IF(AND(HOUR(B891)&gt;=6,HOUR(B891)&lt;18),"Day Shift","Night Shift")</f>
        <v/>
      </c>
      <c r="F891" s="11">
        <f>INT(B891)</f>
        <v/>
      </c>
      <c r="G891" s="11">
        <f>INT(C891)</f>
        <v/>
      </c>
    </row>
    <row r="892">
      <c r="A892" s="2" t="inlineStr">
        <is>
          <t>EDD1932</t>
        </is>
      </c>
      <c r="B892" s="3" t="n">
        <v>46060.35216435185</v>
      </c>
      <c r="C892" s="3" t="n">
        <v>46060.52302083333</v>
      </c>
      <c r="D892" s="4">
        <f>(C892-B892)*24</f>
        <v/>
      </c>
      <c r="E892" s="5">
        <f>IF(AND(HOUR(B892)&gt;=6,HOUR(B892)&lt;18),"Day Shift","Night Shift")</f>
        <v/>
      </c>
      <c r="F892" s="6">
        <f>INT(B892)</f>
        <v/>
      </c>
      <c r="G892" s="6">
        <f>INT(C892)</f>
        <v/>
      </c>
    </row>
    <row r="893">
      <c r="A893" s="2" t="inlineStr">
        <is>
          <t>EXD408</t>
        </is>
      </c>
      <c r="B893" s="3" t="n">
        <v>46060.35873842592</v>
      </c>
      <c r="C893" s="3" t="n">
        <v>46060.75</v>
      </c>
      <c r="D893" s="4">
        <f>(C893-B893)*24</f>
        <v/>
      </c>
      <c r="E893" s="5">
        <f>IF(AND(HOUR(B893)&gt;=6,HOUR(B893)&lt;18),"Day Shift","Night Shift")</f>
        <v/>
      </c>
      <c r="F893" s="6">
        <f>INT(B893)</f>
        <v/>
      </c>
      <c r="G893" s="6">
        <f>INT(C893)</f>
        <v/>
      </c>
    </row>
    <row r="894">
      <c r="A894" s="7" t="inlineStr">
        <is>
          <t>EXD408</t>
        </is>
      </c>
      <c r="B894" s="8" t="n">
        <v>46060.75</v>
      </c>
      <c r="C894" s="8" t="n">
        <v>46061.25</v>
      </c>
      <c r="D894" s="9">
        <f>(C894-B894)*24</f>
        <v/>
      </c>
      <c r="E894" s="10">
        <f>IF(AND(HOUR(B894)&gt;=6,HOUR(B894)&lt;18),"Day Shift","Night Shift")</f>
        <v/>
      </c>
      <c r="F894" s="11">
        <f>INT(B894)</f>
        <v/>
      </c>
      <c r="G894" s="11">
        <f>INT(C894)</f>
        <v/>
      </c>
    </row>
    <row r="895">
      <c r="A895" s="2" t="inlineStr">
        <is>
          <t>EXD408</t>
        </is>
      </c>
      <c r="B895" s="3" t="n">
        <v>46061.25</v>
      </c>
      <c r="C895" s="3" t="n">
        <v>46061.46730324074</v>
      </c>
      <c r="D895" s="4">
        <f>(C895-B895)*24</f>
        <v/>
      </c>
      <c r="E895" s="5">
        <f>IF(AND(HOUR(B895)&gt;=6,HOUR(B895)&lt;18),"Day Shift","Night Shift")</f>
        <v/>
      </c>
      <c r="F895" s="6">
        <f>INT(B895)</f>
        <v/>
      </c>
      <c r="G895" s="6">
        <f>INT(C895)</f>
        <v/>
      </c>
    </row>
    <row r="896">
      <c r="A896" s="2" t="inlineStr">
        <is>
          <t>EXD407</t>
        </is>
      </c>
      <c r="B896" s="3" t="n">
        <v>46060.42328703704</v>
      </c>
      <c r="C896" s="3" t="n">
        <v>46060.75</v>
      </c>
      <c r="D896" s="4">
        <f>(C896-B896)*24</f>
        <v/>
      </c>
      <c r="E896" s="5">
        <f>IF(AND(HOUR(B896)&gt;=6,HOUR(B896)&lt;18),"Day Shift","Night Shift")</f>
        <v/>
      </c>
      <c r="F896" s="6">
        <f>INT(B896)</f>
        <v/>
      </c>
      <c r="G896" s="6">
        <f>INT(C896)</f>
        <v/>
      </c>
    </row>
    <row r="897">
      <c r="A897" s="7" t="inlineStr">
        <is>
          <t>EXD407</t>
        </is>
      </c>
      <c r="B897" s="8" t="n">
        <v>46060.75</v>
      </c>
      <c r="C897" s="8" t="n">
        <v>46061.25</v>
      </c>
      <c r="D897" s="9">
        <f>(C897-B897)*24</f>
        <v/>
      </c>
      <c r="E897" s="10">
        <f>IF(AND(HOUR(B897)&gt;=6,HOUR(B897)&lt;18),"Day Shift","Night Shift")</f>
        <v/>
      </c>
      <c r="F897" s="11">
        <f>INT(B897)</f>
        <v/>
      </c>
      <c r="G897" s="11">
        <f>INT(C897)</f>
        <v/>
      </c>
    </row>
    <row r="898">
      <c r="A898" s="2" t="inlineStr">
        <is>
          <t>EXD407</t>
        </is>
      </c>
      <c r="B898" s="3" t="n">
        <v>46061.25</v>
      </c>
      <c r="C898" s="3" t="n">
        <v>46061.75</v>
      </c>
      <c r="D898" s="4">
        <f>(C898-B898)*24</f>
        <v/>
      </c>
      <c r="E898" s="5">
        <f>IF(AND(HOUR(B898)&gt;=6,HOUR(B898)&lt;18),"Day Shift","Night Shift")</f>
        <v/>
      </c>
      <c r="F898" s="6">
        <f>INT(B898)</f>
        <v/>
      </c>
      <c r="G898" s="6">
        <f>INT(C898)</f>
        <v/>
      </c>
    </row>
    <row r="899">
      <c r="A899" s="7" t="inlineStr">
        <is>
          <t>EXD407</t>
        </is>
      </c>
      <c r="B899" s="8" t="n">
        <v>46061.75</v>
      </c>
      <c r="C899" s="8" t="n">
        <v>46062.06244212963</v>
      </c>
      <c r="D899" s="9">
        <f>(C899-B899)*24</f>
        <v/>
      </c>
      <c r="E899" s="10">
        <f>IF(AND(HOUR(B899)&gt;=6,HOUR(B899)&lt;18),"Day Shift","Night Shift")</f>
        <v/>
      </c>
      <c r="F899" s="11">
        <f>INT(B899)</f>
        <v/>
      </c>
      <c r="G899" s="11">
        <f>INT(C899)</f>
        <v/>
      </c>
    </row>
    <row r="900">
      <c r="A900" s="2" t="inlineStr">
        <is>
          <t>EXD61</t>
        </is>
      </c>
      <c r="B900" s="3" t="n">
        <v>46060.51888888889</v>
      </c>
      <c r="C900" s="3" t="n">
        <v>46060.75</v>
      </c>
      <c r="D900" s="4">
        <f>(C900-B900)*24</f>
        <v/>
      </c>
      <c r="E900" s="5">
        <f>IF(AND(HOUR(B900)&gt;=6,HOUR(B900)&lt;18),"Day Shift","Night Shift")</f>
        <v/>
      </c>
      <c r="F900" s="6">
        <f>INT(B900)</f>
        <v/>
      </c>
      <c r="G900" s="6">
        <f>INT(C900)</f>
        <v/>
      </c>
    </row>
    <row r="901">
      <c r="A901" s="7" t="inlineStr">
        <is>
          <t>EXD61</t>
        </is>
      </c>
      <c r="B901" s="8" t="n">
        <v>46060.75</v>
      </c>
      <c r="C901" s="8" t="n">
        <v>46061.25</v>
      </c>
      <c r="D901" s="9">
        <f>(C901-B901)*24</f>
        <v/>
      </c>
      <c r="E901" s="10">
        <f>IF(AND(HOUR(B901)&gt;=6,HOUR(B901)&lt;18),"Day Shift","Night Shift")</f>
        <v/>
      </c>
      <c r="F901" s="11">
        <f>INT(B901)</f>
        <v/>
      </c>
      <c r="G901" s="11">
        <f>INT(C901)</f>
        <v/>
      </c>
    </row>
    <row r="902">
      <c r="A902" s="2" t="inlineStr">
        <is>
          <t>EXD61</t>
        </is>
      </c>
      <c r="B902" s="3" t="n">
        <v>46061.25</v>
      </c>
      <c r="C902" s="3" t="n">
        <v>46061.75</v>
      </c>
      <c r="D902" s="4">
        <f>(C902-B902)*24</f>
        <v/>
      </c>
      <c r="E902" s="5">
        <f>IF(AND(HOUR(B902)&gt;=6,HOUR(B902)&lt;18),"Day Shift","Night Shift")</f>
        <v/>
      </c>
      <c r="F902" s="6">
        <f>INT(B902)</f>
        <v/>
      </c>
      <c r="G902" s="6">
        <f>INT(C902)</f>
        <v/>
      </c>
    </row>
    <row r="903">
      <c r="A903" s="7" t="inlineStr">
        <is>
          <t>EXD61</t>
        </is>
      </c>
      <c r="B903" s="8" t="n">
        <v>46061.75</v>
      </c>
      <c r="C903" s="8" t="n">
        <v>46062.25</v>
      </c>
      <c r="D903" s="9">
        <f>(C903-B903)*24</f>
        <v/>
      </c>
      <c r="E903" s="10">
        <f>IF(AND(HOUR(B903)&gt;=6,HOUR(B903)&lt;18),"Day Shift","Night Shift")</f>
        <v/>
      </c>
      <c r="F903" s="11">
        <f>INT(B903)</f>
        <v/>
      </c>
      <c r="G903" s="11">
        <f>INT(C903)</f>
        <v/>
      </c>
    </row>
    <row r="904">
      <c r="A904" s="2" t="inlineStr">
        <is>
          <t>EXD61</t>
        </is>
      </c>
      <c r="B904" s="3" t="n">
        <v>46062.25</v>
      </c>
      <c r="C904" s="3" t="n">
        <v>46062.75</v>
      </c>
      <c r="D904" s="4">
        <f>(C904-B904)*24</f>
        <v/>
      </c>
      <c r="E904" s="5">
        <f>IF(AND(HOUR(B904)&gt;=6,HOUR(B904)&lt;18),"Day Shift","Night Shift")</f>
        <v/>
      </c>
      <c r="F904" s="6">
        <f>INT(B904)</f>
        <v/>
      </c>
      <c r="G904" s="6">
        <f>INT(C904)</f>
        <v/>
      </c>
    </row>
    <row r="905">
      <c r="A905" s="7" t="inlineStr">
        <is>
          <t>EXD61</t>
        </is>
      </c>
      <c r="B905" s="8" t="n">
        <v>46062.75</v>
      </c>
      <c r="C905" s="8" t="n">
        <v>46062.97204861111</v>
      </c>
      <c r="D905" s="9">
        <f>(C905-B905)*24</f>
        <v/>
      </c>
      <c r="E905" s="10">
        <f>IF(AND(HOUR(B905)&gt;=6,HOUR(B905)&lt;18),"Day Shift","Night Shift")</f>
        <v/>
      </c>
      <c r="F905" s="11">
        <f>INT(B905)</f>
        <v/>
      </c>
      <c r="G905" s="11">
        <f>INT(C905)</f>
        <v/>
      </c>
    </row>
    <row r="906">
      <c r="A906" s="2" t="inlineStr">
        <is>
          <t>Blast Crew</t>
        </is>
      </c>
      <c r="B906" s="3" t="n">
        <v>46060.52302083333</v>
      </c>
      <c r="C906" s="3" t="n">
        <v>46060.66194444444</v>
      </c>
      <c r="D906" s="4">
        <f>(C906-B906)*24</f>
        <v/>
      </c>
      <c r="E906" s="5">
        <f>IF(AND(HOUR(B906)&gt;=6,HOUR(B906)&lt;18),"Day Shift","Night Shift")</f>
        <v/>
      </c>
      <c r="F906" s="6">
        <f>INT(B906)</f>
        <v/>
      </c>
      <c r="G906" s="6">
        <f>INT(C906)</f>
        <v/>
      </c>
    </row>
    <row r="907">
      <c r="A907" s="2" t="inlineStr">
        <is>
          <t>EDD1932</t>
        </is>
      </c>
      <c r="B907" s="3" t="n">
        <v>46060.57952546296</v>
      </c>
      <c r="C907" s="3" t="n">
        <v>46060.75</v>
      </c>
      <c r="D907" s="4">
        <f>(C907-B907)*24</f>
        <v/>
      </c>
      <c r="E907" s="5">
        <f>IF(AND(HOUR(B907)&gt;=6,HOUR(B907)&lt;18),"Day Shift","Night Shift")</f>
        <v/>
      </c>
      <c r="F907" s="6">
        <f>INT(B907)</f>
        <v/>
      </c>
      <c r="G907" s="6">
        <f>INT(C907)</f>
        <v/>
      </c>
    </row>
    <row r="908">
      <c r="A908" s="7" t="inlineStr">
        <is>
          <t>EDD1932</t>
        </is>
      </c>
      <c r="B908" s="8" t="n">
        <v>46060.75</v>
      </c>
      <c r="C908" s="8" t="n">
        <v>46061.0375</v>
      </c>
      <c r="D908" s="9">
        <f>(C908-B908)*24</f>
        <v/>
      </c>
      <c r="E908" s="10">
        <f>IF(AND(HOUR(B908)&gt;=6,HOUR(B908)&lt;18),"Day Shift","Night Shift")</f>
        <v/>
      </c>
      <c r="F908" s="11">
        <f>INT(B908)</f>
        <v/>
      </c>
      <c r="G908" s="11">
        <f>INT(C908)</f>
        <v/>
      </c>
    </row>
    <row r="909">
      <c r="A909" s="2" t="inlineStr">
        <is>
          <t>EXD101</t>
        </is>
      </c>
      <c r="B909" s="3" t="n">
        <v>46060.58334490741</v>
      </c>
      <c r="C909" s="3" t="n">
        <v>46060.75</v>
      </c>
      <c r="D909" s="4">
        <f>(C909-B909)*24</f>
        <v/>
      </c>
      <c r="E909" s="5">
        <f>IF(AND(HOUR(B909)&gt;=6,HOUR(B909)&lt;18),"Day Shift","Night Shift")</f>
        <v/>
      </c>
      <c r="F909" s="6">
        <f>INT(B909)</f>
        <v/>
      </c>
      <c r="G909" s="6">
        <f>INT(C909)</f>
        <v/>
      </c>
    </row>
    <row r="910">
      <c r="A910" s="7" t="inlineStr">
        <is>
          <t>EXD101</t>
        </is>
      </c>
      <c r="B910" s="8" t="n">
        <v>46060.75</v>
      </c>
      <c r="C910" s="8" t="n">
        <v>46061.25</v>
      </c>
      <c r="D910" s="9">
        <f>(C910-B910)*24</f>
        <v/>
      </c>
      <c r="E910" s="10">
        <f>IF(AND(HOUR(B910)&gt;=6,HOUR(B910)&lt;18),"Day Shift","Night Shift")</f>
        <v/>
      </c>
      <c r="F910" s="11">
        <f>INT(B910)</f>
        <v/>
      </c>
      <c r="G910" s="11">
        <f>INT(C910)</f>
        <v/>
      </c>
    </row>
    <row r="911">
      <c r="A911" s="2" t="inlineStr">
        <is>
          <t>EXD101</t>
        </is>
      </c>
      <c r="B911" s="3" t="n">
        <v>46061.25</v>
      </c>
      <c r="C911" s="3" t="n">
        <v>46061.25322916666</v>
      </c>
      <c r="D911" s="4">
        <f>(C911-B911)*24</f>
        <v/>
      </c>
      <c r="E911" s="5">
        <f>IF(AND(HOUR(B911)&gt;=6,HOUR(B911)&lt;18),"Day Shift","Night Shift")</f>
        <v/>
      </c>
      <c r="F911" s="6">
        <f>INT(B911)</f>
        <v/>
      </c>
      <c r="G911" s="6">
        <f>INT(C911)</f>
        <v/>
      </c>
    </row>
    <row r="912">
      <c r="A912" s="2" t="inlineStr">
        <is>
          <t>EDD2541</t>
        </is>
      </c>
      <c r="B912" s="3" t="n">
        <v>46060.59311342592</v>
      </c>
      <c r="C912" s="3" t="n">
        <v>46060.75</v>
      </c>
      <c r="D912" s="4">
        <f>(C912-B912)*24</f>
        <v/>
      </c>
      <c r="E912" s="5">
        <f>IF(AND(HOUR(B912)&gt;=6,HOUR(B912)&lt;18),"Day Shift","Night Shift")</f>
        <v/>
      </c>
      <c r="F912" s="6">
        <f>INT(B912)</f>
        <v/>
      </c>
      <c r="G912" s="6">
        <f>INT(C912)</f>
        <v/>
      </c>
    </row>
    <row r="913">
      <c r="A913" s="7" t="inlineStr">
        <is>
          <t>EDD2541</t>
        </is>
      </c>
      <c r="B913" s="8" t="n">
        <v>46060.75</v>
      </c>
      <c r="C913" s="8" t="n">
        <v>46060.96085648148</v>
      </c>
      <c r="D913" s="9">
        <f>(C913-B913)*24</f>
        <v/>
      </c>
      <c r="E913" s="10">
        <f>IF(AND(HOUR(B913)&gt;=6,HOUR(B913)&lt;18),"Day Shift","Night Shift")</f>
        <v/>
      </c>
      <c r="F913" s="11">
        <f>INT(B913)</f>
        <v/>
      </c>
      <c r="G913" s="11">
        <f>INT(C913)</f>
        <v/>
      </c>
    </row>
    <row r="914">
      <c r="A914" s="2" t="inlineStr">
        <is>
          <t>Blast Crew</t>
        </is>
      </c>
      <c r="B914" s="3" t="n">
        <v>46060.66194444444</v>
      </c>
      <c r="C914" s="3" t="n">
        <v>46060.73665509259</v>
      </c>
      <c r="D914" s="4">
        <f>(C914-B914)*24</f>
        <v/>
      </c>
      <c r="E914" s="5">
        <f>IF(AND(HOUR(B914)&gt;=6,HOUR(B914)&lt;18),"Day Shift","Night Shift")</f>
        <v/>
      </c>
      <c r="F914" s="6">
        <f>INT(B914)</f>
        <v/>
      </c>
      <c r="G914" s="6">
        <f>INT(C914)</f>
        <v/>
      </c>
    </row>
    <row r="915">
      <c r="A915" s="2" t="inlineStr">
        <is>
          <t>EXD98</t>
        </is>
      </c>
      <c r="B915" s="3" t="n">
        <v>46060.72753472222</v>
      </c>
      <c r="C915" s="3" t="n">
        <v>46060.75</v>
      </c>
      <c r="D915" s="4">
        <f>(C915-B915)*24</f>
        <v/>
      </c>
      <c r="E915" s="5">
        <f>IF(AND(HOUR(B915)&gt;=6,HOUR(B915)&lt;18),"Day Shift","Night Shift")</f>
        <v/>
      </c>
      <c r="F915" s="6">
        <f>INT(B915)</f>
        <v/>
      </c>
      <c r="G915" s="6">
        <f>INT(C915)</f>
        <v/>
      </c>
    </row>
    <row r="916">
      <c r="A916" s="7" t="inlineStr">
        <is>
          <t>EXD98</t>
        </is>
      </c>
      <c r="B916" s="8" t="n">
        <v>46060.75</v>
      </c>
      <c r="C916" s="8" t="n">
        <v>46061.25</v>
      </c>
      <c r="D916" s="9">
        <f>(C916-B916)*24</f>
        <v/>
      </c>
      <c r="E916" s="10">
        <f>IF(AND(HOUR(B916)&gt;=6,HOUR(B916)&lt;18),"Day Shift","Night Shift")</f>
        <v/>
      </c>
      <c r="F916" s="11">
        <f>INT(B916)</f>
        <v/>
      </c>
      <c r="G916" s="11">
        <f>INT(C916)</f>
        <v/>
      </c>
    </row>
    <row r="917">
      <c r="A917" s="2" t="inlineStr">
        <is>
          <t>EXD98</t>
        </is>
      </c>
      <c r="B917" s="3" t="n">
        <v>46061.25</v>
      </c>
      <c r="C917" s="3" t="n">
        <v>46061.26572916667</v>
      </c>
      <c r="D917" s="4">
        <f>(C917-B917)*24</f>
        <v/>
      </c>
      <c r="E917" s="5">
        <f>IF(AND(HOUR(B917)&gt;=6,HOUR(B917)&lt;18),"Day Shift","Night Shift")</f>
        <v/>
      </c>
      <c r="F917" s="6">
        <f>INT(B917)</f>
        <v/>
      </c>
      <c r="G917" s="6">
        <f>INT(C917)</f>
        <v/>
      </c>
    </row>
    <row r="918">
      <c r="A918" s="2" t="inlineStr">
        <is>
          <t>Blast Crew</t>
        </is>
      </c>
      <c r="B918" s="3" t="n">
        <v>46060.73665509259</v>
      </c>
      <c r="C918" s="3" t="n">
        <v>46060.75</v>
      </c>
      <c r="D918" s="4">
        <f>(C918-B918)*24</f>
        <v/>
      </c>
      <c r="E918" s="5">
        <f>IF(AND(HOUR(B918)&gt;=6,HOUR(B918)&lt;18),"Day Shift","Night Shift")</f>
        <v/>
      </c>
      <c r="F918" s="6">
        <f>INT(B918)</f>
        <v/>
      </c>
      <c r="G918" s="6">
        <f>INT(C918)</f>
        <v/>
      </c>
    </row>
    <row r="919">
      <c r="A919" s="7" t="inlineStr">
        <is>
          <t>Blast Crew</t>
        </is>
      </c>
      <c r="B919" s="8" t="n">
        <v>46060.75</v>
      </c>
      <c r="C919" s="8" t="n">
        <v>46060.83851851852</v>
      </c>
      <c r="D919" s="9">
        <f>(C919-B919)*24</f>
        <v/>
      </c>
      <c r="E919" s="10">
        <f>IF(AND(HOUR(B919)&gt;=6,HOUR(B919)&lt;18),"Day Shift","Night Shift")</f>
        <v/>
      </c>
      <c r="F919" s="11">
        <f>INT(B919)</f>
        <v/>
      </c>
      <c r="G919" s="11">
        <f>INT(C919)</f>
        <v/>
      </c>
    </row>
    <row r="920">
      <c r="A920" s="7" t="inlineStr">
        <is>
          <t>Blast Crew</t>
        </is>
      </c>
      <c r="B920" s="8" t="n">
        <v>46060.83851851852</v>
      </c>
      <c r="C920" s="8" t="n">
        <v>46060.96773148148</v>
      </c>
      <c r="D920" s="9">
        <f>(C920-B920)*24</f>
        <v/>
      </c>
      <c r="E920" s="10">
        <f>IF(AND(HOUR(B920)&gt;=6,HOUR(B920)&lt;18),"Day Shift","Night Shift")</f>
        <v/>
      </c>
      <c r="F920" s="11">
        <f>INT(B920)</f>
        <v/>
      </c>
      <c r="G920" s="11">
        <f>INT(C920)</f>
        <v/>
      </c>
    </row>
    <row r="921">
      <c r="A921" s="7" t="inlineStr">
        <is>
          <t>EDD175;EDD2134</t>
        </is>
      </c>
      <c r="B921" s="8" t="n">
        <v>46060.84567129629</v>
      </c>
      <c r="C921" s="8" t="n">
        <v>46061.17184027778</v>
      </c>
      <c r="D921" s="9">
        <f>(C921-B921)*24</f>
        <v/>
      </c>
      <c r="E921" s="10">
        <f>IF(AND(HOUR(B921)&gt;=6,HOUR(B921)&lt;18),"Day Shift","Night Shift")</f>
        <v/>
      </c>
      <c r="F921" s="11">
        <f>INT(B921)</f>
        <v/>
      </c>
      <c r="G921" s="11">
        <f>INT(C921)</f>
        <v/>
      </c>
    </row>
    <row r="922">
      <c r="A922" s="7" t="inlineStr">
        <is>
          <t>DRE42</t>
        </is>
      </c>
      <c r="B922" s="8" t="n">
        <v>46060.84821759259</v>
      </c>
      <c r="C922" s="8" t="n">
        <v>46061.25</v>
      </c>
      <c r="D922" s="9">
        <f>(C922-B922)*24</f>
        <v/>
      </c>
      <c r="E922" s="10">
        <f>IF(AND(HOUR(B922)&gt;=6,HOUR(B922)&lt;18),"Day Shift","Night Shift")</f>
        <v/>
      </c>
      <c r="F922" s="11">
        <f>INT(B922)</f>
        <v/>
      </c>
      <c r="G922" s="11">
        <f>INT(C922)</f>
        <v/>
      </c>
    </row>
    <row r="923">
      <c r="A923" s="2" t="inlineStr">
        <is>
          <t>DRE42</t>
        </is>
      </c>
      <c r="B923" s="3" t="n">
        <v>46061.25</v>
      </c>
      <c r="C923" s="3" t="n">
        <v>46061.75</v>
      </c>
      <c r="D923" s="4">
        <f>(C923-B923)*24</f>
        <v/>
      </c>
      <c r="E923" s="5">
        <f>IF(AND(HOUR(B923)&gt;=6,HOUR(B923)&lt;18),"Day Shift","Night Shift")</f>
        <v/>
      </c>
      <c r="F923" s="6">
        <f>INT(B923)</f>
        <v/>
      </c>
      <c r="G923" s="6">
        <f>INT(C923)</f>
        <v/>
      </c>
    </row>
    <row r="924">
      <c r="A924" s="7" t="inlineStr">
        <is>
          <t>DRE42</t>
        </is>
      </c>
      <c r="B924" s="8" t="n">
        <v>46061.75</v>
      </c>
      <c r="C924" s="8" t="n">
        <v>46062.25</v>
      </c>
      <c r="D924" s="9">
        <f>(C924-B924)*24</f>
        <v/>
      </c>
      <c r="E924" s="10">
        <f>IF(AND(HOUR(B924)&gt;=6,HOUR(B924)&lt;18),"Day Shift","Night Shift")</f>
        <v/>
      </c>
      <c r="F924" s="11">
        <f>INT(B924)</f>
        <v/>
      </c>
      <c r="G924" s="11">
        <f>INT(C924)</f>
        <v/>
      </c>
    </row>
    <row r="925">
      <c r="A925" s="2" t="inlineStr">
        <is>
          <t>DRE42</t>
        </is>
      </c>
      <c r="B925" s="3" t="n">
        <v>46062.25</v>
      </c>
      <c r="C925" s="3" t="n">
        <v>46062.75</v>
      </c>
      <c r="D925" s="4">
        <f>(C925-B925)*24</f>
        <v/>
      </c>
      <c r="E925" s="5">
        <f>IF(AND(HOUR(B925)&gt;=6,HOUR(B925)&lt;18),"Day Shift","Night Shift")</f>
        <v/>
      </c>
      <c r="F925" s="6">
        <f>INT(B925)</f>
        <v/>
      </c>
      <c r="G925" s="6">
        <f>INT(C925)</f>
        <v/>
      </c>
    </row>
    <row r="926">
      <c r="A926" s="7" t="inlineStr">
        <is>
          <t>DRE42</t>
        </is>
      </c>
      <c r="B926" s="8" t="n">
        <v>46062.75</v>
      </c>
      <c r="C926" s="8" t="n">
        <v>46062.92635416667</v>
      </c>
      <c r="D926" s="9">
        <f>(C926-B926)*24</f>
        <v/>
      </c>
      <c r="E926" s="10">
        <f>IF(AND(HOUR(B926)&gt;=6,HOUR(B926)&lt;18),"Day Shift","Night Shift")</f>
        <v/>
      </c>
      <c r="F926" s="11">
        <f>INT(B926)</f>
        <v/>
      </c>
      <c r="G926" s="11">
        <f>INT(C926)</f>
        <v/>
      </c>
    </row>
    <row r="927">
      <c r="A927" s="7" t="inlineStr">
        <is>
          <t>EXD100</t>
        </is>
      </c>
      <c r="B927" s="8" t="n">
        <v>46060.86682870371</v>
      </c>
      <c r="C927" s="8" t="n">
        <v>46061.25</v>
      </c>
      <c r="D927" s="9">
        <f>(C927-B927)*24</f>
        <v/>
      </c>
      <c r="E927" s="10">
        <f>IF(AND(HOUR(B927)&gt;=6,HOUR(B927)&lt;18),"Day Shift","Night Shift")</f>
        <v/>
      </c>
      <c r="F927" s="11">
        <f>INT(B927)</f>
        <v/>
      </c>
      <c r="G927" s="11">
        <f>INT(C927)</f>
        <v/>
      </c>
    </row>
    <row r="928">
      <c r="A928" s="2" t="inlineStr">
        <is>
          <t>EXD100</t>
        </is>
      </c>
      <c r="B928" s="3" t="n">
        <v>46061.25</v>
      </c>
      <c r="C928" s="3" t="n">
        <v>46061.30496527778</v>
      </c>
      <c r="D928" s="4">
        <f>(C928-B928)*24</f>
        <v/>
      </c>
      <c r="E928" s="5">
        <f>IF(AND(HOUR(B928)&gt;=6,HOUR(B928)&lt;18),"Day Shift","Night Shift")</f>
        <v/>
      </c>
      <c r="F928" s="6">
        <f>INT(B928)</f>
        <v/>
      </c>
      <c r="G928" s="6">
        <f>INT(C928)</f>
        <v/>
      </c>
    </row>
    <row r="929">
      <c r="A929" s="7" t="inlineStr">
        <is>
          <t>EXD409</t>
        </is>
      </c>
      <c r="B929" s="8" t="n">
        <v>46060.90364583334</v>
      </c>
      <c r="C929" s="8" t="n">
        <v>46061.25</v>
      </c>
      <c r="D929" s="9">
        <f>(C929-B929)*24</f>
        <v/>
      </c>
      <c r="E929" s="10">
        <f>IF(AND(HOUR(B929)&gt;=6,HOUR(B929)&lt;18),"Day Shift","Night Shift")</f>
        <v/>
      </c>
      <c r="F929" s="11">
        <f>INT(B929)</f>
        <v/>
      </c>
      <c r="G929" s="11">
        <f>INT(C929)</f>
        <v/>
      </c>
    </row>
    <row r="930">
      <c r="A930" s="2" t="inlineStr">
        <is>
          <t>EXD409</t>
        </is>
      </c>
      <c r="B930" s="3" t="n">
        <v>46061.25</v>
      </c>
      <c r="C930" s="3" t="n">
        <v>46061.75</v>
      </c>
      <c r="D930" s="4">
        <f>(C930-B930)*24</f>
        <v/>
      </c>
      <c r="E930" s="5">
        <f>IF(AND(HOUR(B930)&gt;=6,HOUR(B930)&lt;18),"Day Shift","Night Shift")</f>
        <v/>
      </c>
      <c r="F930" s="6">
        <f>INT(B930)</f>
        <v/>
      </c>
      <c r="G930" s="6">
        <f>INT(C930)</f>
        <v/>
      </c>
    </row>
    <row r="931">
      <c r="A931" s="7" t="inlineStr">
        <is>
          <t>EXD409</t>
        </is>
      </c>
      <c r="B931" s="8" t="n">
        <v>46061.75</v>
      </c>
      <c r="C931" s="8" t="n">
        <v>46062.25</v>
      </c>
      <c r="D931" s="9">
        <f>(C931-B931)*24</f>
        <v/>
      </c>
      <c r="E931" s="10">
        <f>IF(AND(HOUR(B931)&gt;=6,HOUR(B931)&lt;18),"Day Shift","Night Shift")</f>
        <v/>
      </c>
      <c r="F931" s="11">
        <f>INT(B931)</f>
        <v/>
      </c>
      <c r="G931" s="11">
        <f>INT(C931)</f>
        <v/>
      </c>
    </row>
    <row r="932">
      <c r="A932" s="2" t="inlineStr">
        <is>
          <t>EXD409</t>
        </is>
      </c>
      <c r="B932" s="3" t="n">
        <v>46062.25</v>
      </c>
      <c r="C932" s="3" t="n">
        <v>46062.27344907408</v>
      </c>
      <c r="D932" s="4">
        <f>(C932-B932)*24</f>
        <v/>
      </c>
      <c r="E932" s="5">
        <f>IF(AND(HOUR(B932)&gt;=6,HOUR(B932)&lt;18),"Day Shift","Night Shift")</f>
        <v/>
      </c>
      <c r="F932" s="6">
        <f>INT(B932)</f>
        <v/>
      </c>
      <c r="G932" s="6">
        <f>INT(C932)</f>
        <v/>
      </c>
    </row>
    <row r="933">
      <c r="A933" s="7" t="inlineStr">
        <is>
          <t>EXD55</t>
        </is>
      </c>
      <c r="B933" s="8" t="n">
        <v>46060.90402777777</v>
      </c>
      <c r="C933" s="8" t="n">
        <v>46061.25</v>
      </c>
      <c r="D933" s="9">
        <f>(C933-B933)*24</f>
        <v/>
      </c>
      <c r="E933" s="10">
        <f>IF(AND(HOUR(B933)&gt;=6,HOUR(B933)&lt;18),"Day Shift","Night Shift")</f>
        <v/>
      </c>
      <c r="F933" s="11">
        <f>INT(B933)</f>
        <v/>
      </c>
      <c r="G933" s="11">
        <f>INT(C933)</f>
        <v/>
      </c>
    </row>
    <row r="934">
      <c r="A934" s="2" t="inlineStr">
        <is>
          <t>EXD55</t>
        </is>
      </c>
      <c r="B934" s="3" t="n">
        <v>46061.25</v>
      </c>
      <c r="C934" s="3" t="n">
        <v>46061.75</v>
      </c>
      <c r="D934" s="4">
        <f>(C934-B934)*24</f>
        <v/>
      </c>
      <c r="E934" s="5">
        <f>IF(AND(HOUR(B934)&gt;=6,HOUR(B934)&lt;18),"Day Shift","Night Shift")</f>
        <v/>
      </c>
      <c r="F934" s="6">
        <f>INT(B934)</f>
        <v/>
      </c>
      <c r="G934" s="6">
        <f>INT(C934)</f>
        <v/>
      </c>
    </row>
    <row r="935">
      <c r="A935" s="7" t="inlineStr">
        <is>
          <t>EXD55</t>
        </is>
      </c>
      <c r="B935" s="8" t="n">
        <v>46061.75</v>
      </c>
      <c r="C935" s="8" t="n">
        <v>46062.25</v>
      </c>
      <c r="D935" s="9">
        <f>(C935-B935)*24</f>
        <v/>
      </c>
      <c r="E935" s="10">
        <f>IF(AND(HOUR(B935)&gt;=6,HOUR(B935)&lt;18),"Day Shift","Night Shift")</f>
        <v/>
      </c>
      <c r="F935" s="11">
        <f>INT(B935)</f>
        <v/>
      </c>
      <c r="G935" s="11">
        <f>INT(C935)</f>
        <v/>
      </c>
    </row>
    <row r="936">
      <c r="A936" s="2" t="inlineStr">
        <is>
          <t>EXD55</t>
        </is>
      </c>
      <c r="B936" s="3" t="n">
        <v>46062.25</v>
      </c>
      <c r="C936" s="3" t="n">
        <v>46062.75</v>
      </c>
      <c r="D936" s="4">
        <f>(C936-B936)*24</f>
        <v/>
      </c>
      <c r="E936" s="5">
        <f>IF(AND(HOUR(B936)&gt;=6,HOUR(B936)&lt;18),"Day Shift","Night Shift")</f>
        <v/>
      </c>
      <c r="F936" s="6">
        <f>INT(B936)</f>
        <v/>
      </c>
      <c r="G936" s="6">
        <f>INT(C936)</f>
        <v/>
      </c>
    </row>
    <row r="937">
      <c r="A937" s="7" t="inlineStr">
        <is>
          <t>EXD55</t>
        </is>
      </c>
      <c r="B937" s="8" t="n">
        <v>46062.75</v>
      </c>
      <c r="C937" s="8" t="n">
        <v>46062.8293287037</v>
      </c>
      <c r="D937" s="9">
        <f>(C937-B937)*24</f>
        <v/>
      </c>
      <c r="E937" s="10">
        <f>IF(AND(HOUR(B937)&gt;=6,HOUR(B937)&lt;18),"Day Shift","Night Shift")</f>
        <v/>
      </c>
      <c r="F937" s="11">
        <f>INT(B937)</f>
        <v/>
      </c>
      <c r="G937" s="11">
        <f>INT(C937)</f>
        <v/>
      </c>
    </row>
    <row r="938">
      <c r="A938" s="7" t="inlineStr">
        <is>
          <t>EDD2541</t>
        </is>
      </c>
      <c r="B938" s="8" t="n">
        <v>46060.96085648148</v>
      </c>
      <c r="C938" s="8" t="n">
        <v>46061.25</v>
      </c>
      <c r="D938" s="9">
        <f>(C938-B938)*24</f>
        <v/>
      </c>
      <c r="E938" s="10">
        <f>IF(AND(HOUR(B938)&gt;=6,HOUR(B938)&lt;18),"Day Shift","Night Shift")</f>
        <v/>
      </c>
      <c r="F938" s="11">
        <f>INT(B938)</f>
        <v/>
      </c>
      <c r="G938" s="11">
        <f>INT(C938)</f>
        <v/>
      </c>
    </row>
    <row r="939">
      <c r="A939" s="2" t="inlineStr">
        <is>
          <t>EDD2541</t>
        </is>
      </c>
      <c r="B939" s="3" t="n">
        <v>46061.25</v>
      </c>
      <c r="C939" s="3" t="n">
        <v>46061.25445601852</v>
      </c>
      <c r="D939" s="4">
        <f>(C939-B939)*24</f>
        <v/>
      </c>
      <c r="E939" s="5">
        <f>IF(AND(HOUR(B939)&gt;=6,HOUR(B939)&lt;18),"Day Shift","Night Shift")</f>
        <v/>
      </c>
      <c r="F939" s="6">
        <f>INT(B939)</f>
        <v/>
      </c>
      <c r="G939" s="6">
        <f>INT(C939)</f>
        <v/>
      </c>
    </row>
    <row r="940">
      <c r="A940" s="7" t="inlineStr">
        <is>
          <t>Blast Crew</t>
        </is>
      </c>
      <c r="B940" s="8" t="n">
        <v>46060.96773148148</v>
      </c>
      <c r="C940" s="8" t="n">
        <v>46061.01732638889</v>
      </c>
      <c r="D940" s="9">
        <f>(C940-B940)*24</f>
        <v/>
      </c>
      <c r="E940" s="10">
        <f>IF(AND(HOUR(B940)&gt;=6,HOUR(B940)&lt;18),"Day Shift","Night Shift")</f>
        <v/>
      </c>
      <c r="F940" s="11">
        <f>INT(B940)</f>
        <v/>
      </c>
      <c r="G940" s="11">
        <f>INT(C940)</f>
        <v/>
      </c>
    </row>
    <row r="941">
      <c r="A941" s="7" t="inlineStr">
        <is>
          <t>Blast Crew</t>
        </is>
      </c>
      <c r="B941" s="8" t="n">
        <v>46061.01732638889</v>
      </c>
      <c r="C941" s="8" t="n">
        <v>46061.10061342592</v>
      </c>
      <c r="D941" s="9">
        <f>(C941-B941)*24</f>
        <v/>
      </c>
      <c r="E941" s="10">
        <f>IF(AND(HOUR(B941)&gt;=6,HOUR(B941)&lt;18),"Day Shift","Night Shift")</f>
        <v/>
      </c>
      <c r="F941" s="11">
        <f>INT(B941)</f>
        <v/>
      </c>
      <c r="G941" s="11">
        <f>INT(C941)</f>
        <v/>
      </c>
    </row>
    <row r="942">
      <c r="A942" s="7" t="inlineStr">
        <is>
          <t>EDD1932</t>
        </is>
      </c>
      <c r="B942" s="8" t="n">
        <v>46061.0375</v>
      </c>
      <c r="C942" s="8" t="n">
        <v>46061.25</v>
      </c>
      <c r="D942" s="9">
        <f>(C942-B942)*24</f>
        <v/>
      </c>
      <c r="E942" s="10">
        <f>IF(AND(HOUR(B942)&gt;=6,HOUR(B942)&lt;18),"Day Shift","Night Shift")</f>
        <v/>
      </c>
      <c r="F942" s="11">
        <f>INT(B942)</f>
        <v/>
      </c>
      <c r="G942" s="11">
        <f>INT(C942)</f>
        <v/>
      </c>
    </row>
    <row r="943">
      <c r="A943" s="2" t="inlineStr">
        <is>
          <t>EDD1932</t>
        </is>
      </c>
      <c r="B943" s="3" t="n">
        <v>46061.25</v>
      </c>
      <c r="C943" s="3" t="n">
        <v>46061.7352662037</v>
      </c>
      <c r="D943" s="4">
        <f>(C943-B943)*24</f>
        <v/>
      </c>
      <c r="E943" s="5">
        <f>IF(AND(HOUR(B943)&gt;=6,HOUR(B943)&lt;18),"Day Shift","Night Shift")</f>
        <v/>
      </c>
      <c r="F943" s="6">
        <f>INT(B943)</f>
        <v/>
      </c>
      <c r="G943" s="6">
        <f>INT(C943)</f>
        <v/>
      </c>
    </row>
    <row r="944">
      <c r="A944" s="7" t="inlineStr">
        <is>
          <t>EXD55</t>
        </is>
      </c>
      <c r="B944" s="8" t="n">
        <v>46061.03825231481</v>
      </c>
      <c r="C944" s="8" t="n">
        <v>46061.25</v>
      </c>
      <c r="D944" s="9">
        <f>(C944-B944)*24</f>
        <v/>
      </c>
      <c r="E944" s="10">
        <f>IF(AND(HOUR(B944)&gt;=6,HOUR(B944)&lt;18),"Day Shift","Night Shift")</f>
        <v/>
      </c>
      <c r="F944" s="11">
        <f>INT(B944)</f>
        <v/>
      </c>
      <c r="G944" s="11">
        <f>INT(C944)</f>
        <v/>
      </c>
    </row>
    <row r="945">
      <c r="A945" s="2" t="inlineStr">
        <is>
          <t>EXD55</t>
        </is>
      </c>
      <c r="B945" s="3" t="n">
        <v>46061.25</v>
      </c>
      <c r="C945" s="3" t="n">
        <v>46061.30392361111</v>
      </c>
      <c r="D945" s="4">
        <f>(C945-B945)*24</f>
        <v/>
      </c>
      <c r="E945" s="5">
        <f>IF(AND(HOUR(B945)&gt;=6,HOUR(B945)&lt;18),"Day Shift","Night Shift")</f>
        <v/>
      </c>
      <c r="F945" s="6">
        <f>INT(B945)</f>
        <v/>
      </c>
      <c r="G945" s="6">
        <f>INT(C945)</f>
        <v/>
      </c>
    </row>
    <row r="946">
      <c r="A946" s="7" t="inlineStr">
        <is>
          <t>EDD812;EDD175;EDD2134</t>
        </is>
      </c>
      <c r="B946" s="8" t="n">
        <v>46061.06681712963</v>
      </c>
      <c r="C946" s="8" t="n">
        <v>46061.25</v>
      </c>
      <c r="D946" s="9">
        <f>(C946-B946)*24</f>
        <v/>
      </c>
      <c r="E946" s="10">
        <f>IF(AND(HOUR(B946)&gt;=6,HOUR(B946)&lt;18),"Day Shift","Night Shift")</f>
        <v/>
      </c>
      <c r="F946" s="11">
        <f>INT(B946)</f>
        <v/>
      </c>
      <c r="G946" s="11">
        <f>INT(C946)</f>
        <v/>
      </c>
    </row>
    <row r="947">
      <c r="A947" s="2" t="inlineStr">
        <is>
          <t>EDD812;EDD175;EDD2134</t>
        </is>
      </c>
      <c r="B947" s="3" t="n">
        <v>46061.25</v>
      </c>
      <c r="C947" s="3" t="n">
        <v>46061.29509259259</v>
      </c>
      <c r="D947" s="4">
        <f>(C947-B947)*24</f>
        <v/>
      </c>
      <c r="E947" s="5">
        <f>IF(AND(HOUR(B947)&gt;=6,HOUR(B947)&lt;18),"Day Shift","Night Shift")</f>
        <v/>
      </c>
      <c r="F947" s="6">
        <f>INT(B947)</f>
        <v/>
      </c>
      <c r="G947" s="6">
        <f>INT(C947)</f>
        <v/>
      </c>
    </row>
    <row r="948">
      <c r="A948" s="7" t="inlineStr">
        <is>
          <t>Blast Crew</t>
        </is>
      </c>
      <c r="B948" s="8" t="n">
        <v>46061.10061342592</v>
      </c>
      <c r="C948" s="8" t="n">
        <v>46061.13226851852</v>
      </c>
      <c r="D948" s="9">
        <f>(C948-B948)*24</f>
        <v/>
      </c>
      <c r="E948" s="10">
        <f>IF(AND(HOUR(B948)&gt;=6,HOUR(B948)&lt;18),"Day Shift","Night Shift")</f>
        <v/>
      </c>
      <c r="F948" s="11">
        <f>INT(B948)</f>
        <v/>
      </c>
      <c r="G948" s="11">
        <f>INT(C948)</f>
        <v/>
      </c>
    </row>
    <row r="949">
      <c r="A949" s="7" t="inlineStr">
        <is>
          <t>Blast Crew</t>
        </is>
      </c>
      <c r="B949" s="8" t="n">
        <v>46061.13226851852</v>
      </c>
      <c r="C949" s="8" t="n">
        <v>46061.21003472222</v>
      </c>
      <c r="D949" s="9">
        <f>(C949-B949)*24</f>
        <v/>
      </c>
      <c r="E949" s="10">
        <f>IF(AND(HOUR(B949)&gt;=6,HOUR(B949)&lt;18),"Day Shift","Night Shift")</f>
        <v/>
      </c>
      <c r="F949" s="11">
        <f>INT(B949)</f>
        <v/>
      </c>
      <c r="G949" s="11">
        <f>INT(C949)</f>
        <v/>
      </c>
    </row>
    <row r="950">
      <c r="A950" s="7" t="inlineStr">
        <is>
          <t>EXD60</t>
        </is>
      </c>
      <c r="B950" s="8" t="n">
        <v>46061.16347222222</v>
      </c>
      <c r="C950" s="8" t="n">
        <v>46061.25</v>
      </c>
      <c r="D950" s="9">
        <f>(C950-B950)*24</f>
        <v/>
      </c>
      <c r="E950" s="10">
        <f>IF(AND(HOUR(B950)&gt;=6,HOUR(B950)&lt;18),"Day Shift","Night Shift")</f>
        <v/>
      </c>
      <c r="F950" s="11">
        <f>INT(B950)</f>
        <v/>
      </c>
      <c r="G950" s="11">
        <f>INT(C950)</f>
        <v/>
      </c>
    </row>
    <row r="951">
      <c r="A951" s="2" t="inlineStr">
        <is>
          <t>EXD60</t>
        </is>
      </c>
      <c r="B951" s="3" t="n">
        <v>46061.25</v>
      </c>
      <c r="C951" s="3" t="n">
        <v>46061.75</v>
      </c>
      <c r="D951" s="4">
        <f>(C951-B951)*24</f>
        <v/>
      </c>
      <c r="E951" s="5">
        <f>IF(AND(HOUR(B951)&gt;=6,HOUR(B951)&lt;18),"Day Shift","Night Shift")</f>
        <v/>
      </c>
      <c r="F951" s="6">
        <f>INT(B951)</f>
        <v/>
      </c>
      <c r="G951" s="6">
        <f>INT(C951)</f>
        <v/>
      </c>
    </row>
    <row r="952">
      <c r="A952" s="7" t="inlineStr">
        <is>
          <t>EXD60</t>
        </is>
      </c>
      <c r="B952" s="8" t="n">
        <v>46061.75</v>
      </c>
      <c r="C952" s="8" t="n">
        <v>46062.25</v>
      </c>
      <c r="D952" s="9">
        <f>(C952-B952)*24</f>
        <v/>
      </c>
      <c r="E952" s="10">
        <f>IF(AND(HOUR(B952)&gt;=6,HOUR(B952)&lt;18),"Day Shift","Night Shift")</f>
        <v/>
      </c>
      <c r="F952" s="11">
        <f>INT(B952)</f>
        <v/>
      </c>
      <c r="G952" s="11">
        <f>INT(C952)</f>
        <v/>
      </c>
    </row>
    <row r="953">
      <c r="A953" s="2" t="inlineStr">
        <is>
          <t>EXD60</t>
        </is>
      </c>
      <c r="B953" s="3" t="n">
        <v>46062.25</v>
      </c>
      <c r="C953" s="3" t="n">
        <v>46062.6287037037</v>
      </c>
      <c r="D953" s="4">
        <f>(C953-B953)*24</f>
        <v/>
      </c>
      <c r="E953" s="5">
        <f>IF(AND(HOUR(B953)&gt;=6,HOUR(B953)&lt;18),"Day Shift","Night Shift")</f>
        <v/>
      </c>
      <c r="F953" s="6">
        <f>INT(B953)</f>
        <v/>
      </c>
      <c r="G953" s="6">
        <f>INT(C953)</f>
        <v/>
      </c>
    </row>
    <row r="954">
      <c r="A954" s="7" t="inlineStr">
        <is>
          <t>Blast Crew</t>
        </is>
      </c>
      <c r="B954" s="8" t="n">
        <v>46061.21003472222</v>
      </c>
      <c r="C954" s="8" t="n">
        <v>46061.2162962963</v>
      </c>
      <c r="D954" s="9">
        <f>(C954-B954)*24</f>
        <v/>
      </c>
      <c r="E954" s="10">
        <f>IF(AND(HOUR(B954)&gt;=6,HOUR(B954)&lt;18),"Day Shift","Night Shift")</f>
        <v/>
      </c>
      <c r="F954" s="11">
        <f>INT(B954)</f>
        <v/>
      </c>
      <c r="G954" s="11">
        <f>INT(C954)</f>
        <v/>
      </c>
    </row>
    <row r="955">
      <c r="A955" s="7" t="inlineStr">
        <is>
          <t>EXD56</t>
        </is>
      </c>
      <c r="B955" s="8" t="n">
        <v>46061.21805555555</v>
      </c>
      <c r="C955" s="8" t="n">
        <v>46061.25</v>
      </c>
      <c r="D955" s="9">
        <f>(C955-B955)*24</f>
        <v/>
      </c>
      <c r="E955" s="10">
        <f>IF(AND(HOUR(B955)&gt;=6,HOUR(B955)&lt;18),"Day Shift","Night Shift")</f>
        <v/>
      </c>
      <c r="F955" s="11">
        <f>INT(B955)</f>
        <v/>
      </c>
      <c r="G955" s="11">
        <f>INT(C955)</f>
        <v/>
      </c>
    </row>
    <row r="956">
      <c r="A956" s="2" t="inlineStr">
        <is>
          <t>EXD56</t>
        </is>
      </c>
      <c r="B956" s="3" t="n">
        <v>46061.25</v>
      </c>
      <c r="C956" s="3" t="n">
        <v>46061.67079861111</v>
      </c>
      <c r="D956" s="4">
        <f>(C956-B956)*24</f>
        <v/>
      </c>
      <c r="E956" s="5">
        <f>IF(AND(HOUR(B956)&gt;=6,HOUR(B956)&lt;18),"Day Shift","Night Shift")</f>
        <v/>
      </c>
      <c r="F956" s="6">
        <f>INT(B956)</f>
        <v/>
      </c>
      <c r="G956" s="6">
        <f>INT(C956)</f>
        <v/>
      </c>
    </row>
    <row r="957">
      <c r="A957" s="7" t="inlineStr">
        <is>
          <t>DRE09</t>
        </is>
      </c>
      <c r="B957" s="8" t="n">
        <v>46061.23958333334</v>
      </c>
      <c r="C957" s="8" t="n">
        <v>46061.25</v>
      </c>
      <c r="D957" s="9">
        <f>(C957-B957)*24</f>
        <v/>
      </c>
      <c r="E957" s="10">
        <f>IF(AND(HOUR(B957)&gt;=6,HOUR(B957)&lt;18),"Day Shift","Night Shift")</f>
        <v/>
      </c>
      <c r="F957" s="11">
        <f>INT(B957)</f>
        <v/>
      </c>
      <c r="G957" s="11">
        <f>INT(C957)</f>
        <v/>
      </c>
    </row>
    <row r="958">
      <c r="A958" s="2" t="inlineStr">
        <is>
          <t>DRE09</t>
        </is>
      </c>
      <c r="B958" s="3" t="n">
        <v>46061.25</v>
      </c>
      <c r="C958" s="3" t="n">
        <v>46061.75</v>
      </c>
      <c r="D958" s="4">
        <f>(C958-B958)*24</f>
        <v/>
      </c>
      <c r="E958" s="5">
        <f>IF(AND(HOUR(B958)&gt;=6,HOUR(B958)&lt;18),"Day Shift","Night Shift")</f>
        <v/>
      </c>
      <c r="F958" s="6">
        <f>INT(B958)</f>
        <v/>
      </c>
      <c r="G958" s="6">
        <f>INT(C958)</f>
        <v/>
      </c>
    </row>
    <row r="959">
      <c r="A959" s="7" t="inlineStr">
        <is>
          <t>DRE09</t>
        </is>
      </c>
      <c r="B959" s="8" t="n">
        <v>46061.75</v>
      </c>
      <c r="C959" s="8" t="n">
        <v>46062.25</v>
      </c>
      <c r="D959" s="9">
        <f>(C959-B959)*24</f>
        <v/>
      </c>
      <c r="E959" s="10">
        <f>IF(AND(HOUR(B959)&gt;=6,HOUR(B959)&lt;18),"Day Shift","Night Shift")</f>
        <v/>
      </c>
      <c r="F959" s="11">
        <f>INT(B959)</f>
        <v/>
      </c>
      <c r="G959" s="11">
        <f>INT(C959)</f>
        <v/>
      </c>
    </row>
    <row r="960">
      <c r="A960" s="2" t="inlineStr">
        <is>
          <t>DRE09</t>
        </is>
      </c>
      <c r="B960" s="3" t="n">
        <v>46062.25</v>
      </c>
      <c r="C960" s="3" t="n">
        <v>46062.75</v>
      </c>
      <c r="D960" s="4">
        <f>(C960-B960)*24</f>
        <v/>
      </c>
      <c r="E960" s="5">
        <f>IF(AND(HOUR(B960)&gt;=6,HOUR(B960)&lt;18),"Day Shift","Night Shift")</f>
        <v/>
      </c>
      <c r="F960" s="6">
        <f>INT(B960)</f>
        <v/>
      </c>
      <c r="G960" s="6">
        <f>INT(C960)</f>
        <v/>
      </c>
    </row>
    <row r="961">
      <c r="A961" s="7" t="inlineStr">
        <is>
          <t>DRE09</t>
        </is>
      </c>
      <c r="B961" s="8" t="n">
        <v>46062.75</v>
      </c>
      <c r="C961" s="8" t="n">
        <v>46063.25</v>
      </c>
      <c r="D961" s="9">
        <f>(C961-B961)*24</f>
        <v/>
      </c>
      <c r="E961" s="10">
        <f>IF(AND(HOUR(B961)&gt;=6,HOUR(B961)&lt;18),"Day Shift","Night Shift")</f>
        <v/>
      </c>
      <c r="F961" s="11">
        <f>INT(B961)</f>
        <v/>
      </c>
      <c r="G961" s="11">
        <f>INT(C961)</f>
        <v/>
      </c>
    </row>
    <row r="962">
      <c r="A962" s="2" t="inlineStr">
        <is>
          <t>DRE09</t>
        </is>
      </c>
      <c r="B962" s="3" t="n">
        <v>46063.25</v>
      </c>
      <c r="C962" s="3" t="n">
        <v>46063.75</v>
      </c>
      <c r="D962" s="4">
        <f>(C962-B962)*24</f>
        <v/>
      </c>
      <c r="E962" s="5">
        <f>IF(AND(HOUR(B962)&gt;=6,HOUR(B962)&lt;18),"Day Shift","Night Shift")</f>
        <v/>
      </c>
      <c r="F962" s="6">
        <f>INT(B962)</f>
        <v/>
      </c>
      <c r="G962" s="6">
        <f>INT(C962)</f>
        <v/>
      </c>
    </row>
    <row r="963">
      <c r="A963" s="7" t="inlineStr">
        <is>
          <t>DRE09</t>
        </is>
      </c>
      <c r="B963" s="8" t="n">
        <v>46063.75</v>
      </c>
      <c r="C963" s="8" t="n">
        <v>46064.25</v>
      </c>
      <c r="D963" s="9">
        <f>(C963-B963)*24</f>
        <v/>
      </c>
      <c r="E963" s="10">
        <f>IF(AND(HOUR(B963)&gt;=6,HOUR(B963)&lt;18),"Day Shift","Night Shift")</f>
        <v/>
      </c>
      <c r="F963" s="11">
        <f>INT(B963)</f>
        <v/>
      </c>
      <c r="G963" s="11">
        <f>INT(C963)</f>
        <v/>
      </c>
    </row>
    <row r="964">
      <c r="A964" s="2" t="inlineStr">
        <is>
          <t>DRE09</t>
        </is>
      </c>
      <c r="B964" s="3" t="n">
        <v>46064.25</v>
      </c>
      <c r="C964" s="3" t="n">
        <v>46064.75</v>
      </c>
      <c r="D964" s="4">
        <f>(C964-B964)*24</f>
        <v/>
      </c>
      <c r="E964" s="5">
        <f>IF(AND(HOUR(B964)&gt;=6,HOUR(B964)&lt;18),"Day Shift","Night Shift")</f>
        <v/>
      </c>
      <c r="F964" s="6">
        <f>INT(B964)</f>
        <v/>
      </c>
      <c r="G964" s="6">
        <f>INT(C964)</f>
        <v/>
      </c>
    </row>
    <row r="965">
      <c r="A965" s="7" t="inlineStr">
        <is>
          <t>DRE09</t>
        </is>
      </c>
      <c r="B965" s="8" t="n">
        <v>46064.75</v>
      </c>
      <c r="C965" s="8" t="n">
        <v>46065.25</v>
      </c>
      <c r="D965" s="9">
        <f>(C965-B965)*24</f>
        <v/>
      </c>
      <c r="E965" s="10">
        <f>IF(AND(HOUR(B965)&gt;=6,HOUR(B965)&lt;18),"Day Shift","Night Shift")</f>
        <v/>
      </c>
      <c r="F965" s="11">
        <f>INT(B965)</f>
        <v/>
      </c>
      <c r="G965" s="11">
        <f>INT(C965)</f>
        <v/>
      </c>
    </row>
    <row r="966">
      <c r="A966" s="2" t="inlineStr">
        <is>
          <t>DRE09</t>
        </is>
      </c>
      <c r="B966" s="3" t="n">
        <v>46065.25</v>
      </c>
      <c r="C966" s="3" t="n">
        <v>46065.42671296297</v>
      </c>
      <c r="D966" s="4">
        <f>(C966-B966)*24</f>
        <v/>
      </c>
      <c r="E966" s="5">
        <f>IF(AND(HOUR(B966)&gt;=6,HOUR(B966)&lt;18),"Day Shift","Night Shift")</f>
        <v/>
      </c>
      <c r="F966" s="6">
        <f>INT(B966)</f>
        <v/>
      </c>
      <c r="G966" s="6">
        <f>INT(C966)</f>
        <v/>
      </c>
    </row>
    <row r="967">
      <c r="A967" s="2" t="inlineStr">
        <is>
          <t>R07N Blockage</t>
        </is>
      </c>
      <c r="B967" s="3" t="n">
        <v>46061.25</v>
      </c>
      <c r="C967" s="3" t="n">
        <v>46061.75</v>
      </c>
      <c r="D967" s="4">
        <f>(C967-B967)*24</f>
        <v/>
      </c>
      <c r="E967" s="5">
        <f>IF(AND(HOUR(B967)&gt;=6,HOUR(B967)&lt;18),"Day Shift","Night Shift")</f>
        <v/>
      </c>
      <c r="F967" s="6">
        <f>INT(B967)</f>
        <v/>
      </c>
      <c r="G967" s="6">
        <f>INT(C967)</f>
        <v/>
      </c>
    </row>
    <row r="968">
      <c r="A968" s="7" t="inlineStr">
        <is>
          <t>R07N Blockage</t>
        </is>
      </c>
      <c r="B968" s="8" t="n">
        <v>46061.75</v>
      </c>
      <c r="C968" s="8" t="n">
        <v>46062.25</v>
      </c>
      <c r="D968" s="9">
        <f>(C968-B968)*24</f>
        <v/>
      </c>
      <c r="E968" s="10">
        <f>IF(AND(HOUR(B968)&gt;=6,HOUR(B968)&lt;18),"Day Shift","Night Shift")</f>
        <v/>
      </c>
      <c r="F968" s="11">
        <f>INT(B968)</f>
        <v/>
      </c>
      <c r="G968" s="11">
        <f>INT(C968)</f>
        <v/>
      </c>
    </row>
    <row r="969">
      <c r="A969" s="2" t="inlineStr">
        <is>
          <t>R07N Blockage</t>
        </is>
      </c>
      <c r="B969" s="3" t="n">
        <v>46062.25</v>
      </c>
      <c r="C969" s="3" t="n">
        <v>46062.75</v>
      </c>
      <c r="D969" s="4">
        <f>(C969-B969)*24</f>
        <v/>
      </c>
      <c r="E969" s="5">
        <f>IF(AND(HOUR(B969)&gt;=6,HOUR(B969)&lt;18),"Day Shift","Night Shift")</f>
        <v/>
      </c>
      <c r="F969" s="6">
        <f>INT(B969)</f>
        <v/>
      </c>
      <c r="G969" s="6">
        <f>INT(C969)</f>
        <v/>
      </c>
    </row>
    <row r="970">
      <c r="A970" s="7" t="inlineStr">
        <is>
          <t>R07N Blockage</t>
        </is>
      </c>
      <c r="B970" s="8" t="n">
        <v>46062.75</v>
      </c>
      <c r="C970" s="8" t="n">
        <v>46063.25</v>
      </c>
      <c r="D970" s="9">
        <f>(C970-B970)*24</f>
        <v/>
      </c>
      <c r="E970" s="10">
        <f>IF(AND(HOUR(B970)&gt;=6,HOUR(B970)&lt;18),"Day Shift","Night Shift")</f>
        <v/>
      </c>
      <c r="F970" s="11">
        <f>INT(B970)</f>
        <v/>
      </c>
      <c r="G970" s="11">
        <f>INT(C970)</f>
        <v/>
      </c>
    </row>
    <row r="971">
      <c r="A971" s="2" t="inlineStr">
        <is>
          <t>R07N Blockage</t>
        </is>
      </c>
      <c r="B971" s="3" t="n">
        <v>46063.25</v>
      </c>
      <c r="C971" s="3" t="n">
        <v>46063.75</v>
      </c>
      <c r="D971" s="4">
        <f>(C971-B971)*24</f>
        <v/>
      </c>
      <c r="E971" s="5">
        <f>IF(AND(HOUR(B971)&gt;=6,HOUR(B971)&lt;18),"Day Shift","Night Shift")</f>
        <v/>
      </c>
      <c r="F971" s="6">
        <f>INT(B971)</f>
        <v/>
      </c>
      <c r="G971" s="6">
        <f>INT(C971)</f>
        <v/>
      </c>
    </row>
    <row r="972">
      <c r="A972" s="7" t="inlineStr">
        <is>
          <t>R07N Blockage</t>
        </is>
      </c>
      <c r="B972" s="8" t="n">
        <v>46063.75</v>
      </c>
      <c r="C972" s="8" t="n">
        <v>46064.25</v>
      </c>
      <c r="D972" s="9">
        <f>(C972-B972)*24</f>
        <v/>
      </c>
      <c r="E972" s="10">
        <f>IF(AND(HOUR(B972)&gt;=6,HOUR(B972)&lt;18),"Day Shift","Night Shift")</f>
        <v/>
      </c>
      <c r="F972" s="11">
        <f>INT(B972)</f>
        <v/>
      </c>
      <c r="G972" s="11">
        <f>INT(C972)</f>
        <v/>
      </c>
    </row>
    <row r="973">
      <c r="A973" s="2" t="inlineStr">
        <is>
          <t>R07N Blockage</t>
        </is>
      </c>
      <c r="B973" s="3" t="n">
        <v>46064.25</v>
      </c>
      <c r="C973" s="3" t="n">
        <v>46064.75</v>
      </c>
      <c r="D973" s="4">
        <f>(C973-B973)*24</f>
        <v/>
      </c>
      <c r="E973" s="5">
        <f>IF(AND(HOUR(B973)&gt;=6,HOUR(B973)&lt;18),"Day Shift","Night Shift")</f>
        <v/>
      </c>
      <c r="F973" s="6">
        <f>INT(B973)</f>
        <v/>
      </c>
      <c r="G973" s="6">
        <f>INT(C973)</f>
        <v/>
      </c>
    </row>
    <row r="974">
      <c r="A974" s="7" t="inlineStr">
        <is>
          <t>R07N Blockage</t>
        </is>
      </c>
      <c r="B974" s="8" t="n">
        <v>46064.75</v>
      </c>
      <c r="C974" s="8" t="n">
        <v>46065.25</v>
      </c>
      <c r="D974" s="9">
        <f>(C974-B974)*24</f>
        <v/>
      </c>
      <c r="E974" s="10">
        <f>IF(AND(HOUR(B974)&gt;=6,HOUR(B974)&lt;18),"Day Shift","Night Shift")</f>
        <v/>
      </c>
      <c r="F974" s="11">
        <f>INT(B974)</f>
        <v/>
      </c>
      <c r="G974" s="11">
        <f>INT(C974)</f>
        <v/>
      </c>
    </row>
    <row r="975">
      <c r="A975" s="2" t="inlineStr">
        <is>
          <t>R07N Blockage</t>
        </is>
      </c>
      <c r="B975" s="3" t="n">
        <v>46065.25</v>
      </c>
      <c r="C975" s="3" t="n">
        <v>46065.75</v>
      </c>
      <c r="D975" s="4">
        <f>(C975-B975)*24</f>
        <v/>
      </c>
      <c r="E975" s="5">
        <f>IF(AND(HOUR(B975)&gt;=6,HOUR(B975)&lt;18),"Day Shift","Night Shift")</f>
        <v/>
      </c>
      <c r="F975" s="6">
        <f>INT(B975)</f>
        <v/>
      </c>
      <c r="G975" s="6">
        <f>INT(C975)</f>
        <v/>
      </c>
    </row>
    <row r="976">
      <c r="A976" s="7" t="inlineStr">
        <is>
          <t>R07N Blockage</t>
        </is>
      </c>
      <c r="B976" s="8" t="n">
        <v>46065.75</v>
      </c>
      <c r="C976" s="8" t="n">
        <v>46066.25</v>
      </c>
      <c r="D976" s="9">
        <f>(C976-B976)*24</f>
        <v/>
      </c>
      <c r="E976" s="10">
        <f>IF(AND(HOUR(B976)&gt;=6,HOUR(B976)&lt;18),"Day Shift","Night Shift")</f>
        <v/>
      </c>
      <c r="F976" s="11">
        <f>INT(B976)</f>
        <v/>
      </c>
      <c r="G976" s="11">
        <f>INT(C976)</f>
        <v/>
      </c>
    </row>
    <row r="977">
      <c r="A977" s="2" t="inlineStr">
        <is>
          <t>R07N Blockage</t>
        </is>
      </c>
      <c r="B977" s="3" t="n">
        <v>46066.25</v>
      </c>
      <c r="C977" s="3" t="n">
        <v>46066.75</v>
      </c>
      <c r="D977" s="4">
        <f>(C977-B977)*24</f>
        <v/>
      </c>
      <c r="E977" s="5">
        <f>IF(AND(HOUR(B977)&gt;=6,HOUR(B977)&lt;18),"Day Shift","Night Shift")</f>
        <v/>
      </c>
      <c r="F977" s="6">
        <f>INT(B977)</f>
        <v/>
      </c>
      <c r="G977" s="6">
        <f>INT(C977)</f>
        <v/>
      </c>
    </row>
    <row r="978">
      <c r="A978" s="7" t="inlineStr">
        <is>
          <t>R07N Blockage</t>
        </is>
      </c>
      <c r="B978" s="8" t="n">
        <v>46066.75</v>
      </c>
      <c r="C978" s="8" t="n">
        <v>46067.25</v>
      </c>
      <c r="D978" s="9">
        <f>(C978-B978)*24</f>
        <v/>
      </c>
      <c r="E978" s="10">
        <f>IF(AND(HOUR(B978)&gt;=6,HOUR(B978)&lt;18),"Day Shift","Night Shift")</f>
        <v/>
      </c>
      <c r="F978" s="11">
        <f>INT(B978)</f>
        <v/>
      </c>
      <c r="G978" s="11">
        <f>INT(C978)</f>
        <v/>
      </c>
    </row>
    <row r="979">
      <c r="A979" s="2" t="inlineStr">
        <is>
          <t>R07N Blockage</t>
        </is>
      </c>
      <c r="B979" s="3" t="n">
        <v>46067.25</v>
      </c>
      <c r="C979" s="3" t="n">
        <v>46067.75</v>
      </c>
      <c r="D979" s="4">
        <f>(C979-B979)*24</f>
        <v/>
      </c>
      <c r="E979" s="5">
        <f>IF(AND(HOUR(B979)&gt;=6,HOUR(B979)&lt;18),"Day Shift","Night Shift")</f>
        <v/>
      </c>
      <c r="F979" s="6">
        <f>INT(B979)</f>
        <v/>
      </c>
      <c r="G979" s="6">
        <f>INT(C979)</f>
        <v/>
      </c>
    </row>
    <row r="980">
      <c r="A980" s="7" t="inlineStr">
        <is>
          <t>R07N Blockage</t>
        </is>
      </c>
      <c r="B980" s="8" t="n">
        <v>46067.75</v>
      </c>
      <c r="C980" s="8" t="n">
        <v>46068.25</v>
      </c>
      <c r="D980" s="9">
        <f>(C980-B980)*24</f>
        <v/>
      </c>
      <c r="E980" s="10">
        <f>IF(AND(HOUR(B980)&gt;=6,HOUR(B980)&lt;18),"Day Shift","Night Shift")</f>
        <v/>
      </c>
      <c r="F980" s="11">
        <f>INT(B980)</f>
        <v/>
      </c>
      <c r="G980" s="11">
        <f>INT(C980)</f>
        <v/>
      </c>
    </row>
    <row r="981">
      <c r="A981" s="2" t="inlineStr">
        <is>
          <t>R07N Blockage</t>
        </is>
      </c>
      <c r="B981" s="3" t="n">
        <v>46068.25</v>
      </c>
      <c r="C981" s="3" t="n">
        <v>46068.75</v>
      </c>
      <c r="D981" s="4">
        <f>(C981-B981)*24</f>
        <v/>
      </c>
      <c r="E981" s="5">
        <f>IF(AND(HOUR(B981)&gt;=6,HOUR(B981)&lt;18),"Day Shift","Night Shift")</f>
        <v/>
      </c>
      <c r="F981" s="6">
        <f>INT(B981)</f>
        <v/>
      </c>
      <c r="G981" s="6">
        <f>INT(C981)</f>
        <v/>
      </c>
    </row>
    <row r="982">
      <c r="A982" s="7" t="inlineStr">
        <is>
          <t>R07N Blockage</t>
        </is>
      </c>
      <c r="B982" s="8" t="n">
        <v>46068.75</v>
      </c>
      <c r="C982" s="8" t="n">
        <v>46069.25</v>
      </c>
      <c r="D982" s="9">
        <f>(C982-B982)*24</f>
        <v/>
      </c>
      <c r="E982" s="10">
        <f>IF(AND(HOUR(B982)&gt;=6,HOUR(B982)&lt;18),"Day Shift","Night Shift")</f>
        <v/>
      </c>
      <c r="F982" s="11">
        <f>INT(B982)</f>
        <v/>
      </c>
      <c r="G982" s="11">
        <f>INT(C982)</f>
        <v/>
      </c>
    </row>
    <row r="983">
      <c r="A983" s="2" t="inlineStr">
        <is>
          <t>R07N Blockage</t>
        </is>
      </c>
      <c r="B983" s="3" t="n">
        <v>46069.25</v>
      </c>
      <c r="C983" s="3" t="n">
        <v>46069.75</v>
      </c>
      <c r="D983" s="4">
        <f>(C983-B983)*24</f>
        <v/>
      </c>
      <c r="E983" s="5">
        <f>IF(AND(HOUR(B983)&gt;=6,HOUR(B983)&lt;18),"Day Shift","Night Shift")</f>
        <v/>
      </c>
      <c r="F983" s="6">
        <f>INT(B983)</f>
        <v/>
      </c>
      <c r="G983" s="6">
        <f>INT(C983)</f>
        <v/>
      </c>
    </row>
    <row r="984">
      <c r="A984" s="7" t="inlineStr">
        <is>
          <t>R07N Blockage</t>
        </is>
      </c>
      <c r="B984" s="8" t="n">
        <v>46069.75</v>
      </c>
      <c r="C984" s="8" t="n">
        <v>46070.25</v>
      </c>
      <c r="D984" s="9">
        <f>(C984-B984)*24</f>
        <v/>
      </c>
      <c r="E984" s="10">
        <f>IF(AND(HOUR(B984)&gt;=6,HOUR(B984)&lt;18),"Day Shift","Night Shift")</f>
        <v/>
      </c>
      <c r="F984" s="11">
        <f>INT(B984)</f>
        <v/>
      </c>
      <c r="G984" s="11">
        <f>INT(C984)</f>
        <v/>
      </c>
    </row>
    <row r="985">
      <c r="A985" s="2" t="inlineStr">
        <is>
          <t>R07N Blockage</t>
        </is>
      </c>
      <c r="B985" s="3" t="n">
        <v>46070.25</v>
      </c>
      <c r="C985" s="3" t="n">
        <v>46070.75</v>
      </c>
      <c r="D985" s="4">
        <f>(C985-B985)*24</f>
        <v/>
      </c>
      <c r="E985" s="5">
        <f>IF(AND(HOUR(B985)&gt;=6,HOUR(B985)&lt;18),"Day Shift","Night Shift")</f>
        <v/>
      </c>
      <c r="F985" s="6">
        <f>INT(B985)</f>
        <v/>
      </c>
      <c r="G985" s="6">
        <f>INT(C985)</f>
        <v/>
      </c>
    </row>
    <row r="986">
      <c r="A986" s="7" t="inlineStr">
        <is>
          <t>R07N Blockage</t>
        </is>
      </c>
      <c r="B986" s="8" t="n">
        <v>46070.75</v>
      </c>
      <c r="C986" s="8" t="n">
        <v>46071.25</v>
      </c>
      <c r="D986" s="9">
        <f>(C986-B986)*24</f>
        <v/>
      </c>
      <c r="E986" s="10">
        <f>IF(AND(HOUR(B986)&gt;=6,HOUR(B986)&lt;18),"Day Shift","Night Shift")</f>
        <v/>
      </c>
      <c r="F986" s="11">
        <f>INT(B986)</f>
        <v/>
      </c>
      <c r="G986" s="11">
        <f>INT(C986)</f>
        <v/>
      </c>
    </row>
    <row r="987">
      <c r="A987" s="2" t="inlineStr">
        <is>
          <t>R07N Blockage</t>
        </is>
      </c>
      <c r="B987" s="3" t="n">
        <v>46071.25</v>
      </c>
      <c r="C987" s="3" t="n">
        <v>46071.75</v>
      </c>
      <c r="D987" s="4">
        <f>(C987-B987)*24</f>
        <v/>
      </c>
      <c r="E987" s="5">
        <f>IF(AND(HOUR(B987)&gt;=6,HOUR(B987)&lt;18),"Day Shift","Night Shift")</f>
        <v/>
      </c>
      <c r="F987" s="6">
        <f>INT(B987)</f>
        <v/>
      </c>
      <c r="G987" s="6">
        <f>INT(C987)</f>
        <v/>
      </c>
    </row>
    <row r="988">
      <c r="A988" s="7" t="inlineStr">
        <is>
          <t>R07N Blockage</t>
        </is>
      </c>
      <c r="B988" s="8" t="n">
        <v>46071.75</v>
      </c>
      <c r="C988" s="8" t="n">
        <v>46072.25</v>
      </c>
      <c r="D988" s="9">
        <f>(C988-B988)*24</f>
        <v/>
      </c>
      <c r="E988" s="10">
        <f>IF(AND(HOUR(B988)&gt;=6,HOUR(B988)&lt;18),"Day Shift","Night Shift")</f>
        <v/>
      </c>
      <c r="F988" s="11">
        <f>INT(B988)</f>
        <v/>
      </c>
      <c r="G988" s="11">
        <f>INT(C988)</f>
        <v/>
      </c>
    </row>
    <row r="989">
      <c r="A989" s="2" t="inlineStr">
        <is>
          <t>R07N Blockage</t>
        </is>
      </c>
      <c r="B989" s="3" t="n">
        <v>46072.25</v>
      </c>
      <c r="C989" s="3" t="n">
        <v>46072.75</v>
      </c>
      <c r="D989" s="4">
        <f>(C989-B989)*24</f>
        <v/>
      </c>
      <c r="E989" s="5">
        <f>IF(AND(HOUR(B989)&gt;=6,HOUR(B989)&lt;18),"Day Shift","Night Shift")</f>
        <v/>
      </c>
      <c r="F989" s="6">
        <f>INT(B989)</f>
        <v/>
      </c>
      <c r="G989" s="6">
        <f>INT(C989)</f>
        <v/>
      </c>
    </row>
    <row r="990">
      <c r="A990" s="7" t="inlineStr">
        <is>
          <t>R07N Blockage</t>
        </is>
      </c>
      <c r="B990" s="8" t="n">
        <v>46072.75</v>
      </c>
      <c r="C990" s="8" t="n">
        <v>46073.25</v>
      </c>
      <c r="D990" s="9">
        <f>(C990-B990)*24</f>
        <v/>
      </c>
      <c r="E990" s="10">
        <f>IF(AND(HOUR(B990)&gt;=6,HOUR(B990)&lt;18),"Day Shift","Night Shift")</f>
        <v/>
      </c>
      <c r="F990" s="11">
        <f>INT(B990)</f>
        <v/>
      </c>
      <c r="G990" s="11">
        <f>INT(C990)</f>
        <v/>
      </c>
    </row>
    <row r="991">
      <c r="A991" s="2" t="inlineStr">
        <is>
          <t>R07N Blockage</t>
        </is>
      </c>
      <c r="B991" s="3" t="n">
        <v>46073.25</v>
      </c>
      <c r="C991" s="3" t="n">
        <v>46073.75</v>
      </c>
      <c r="D991" s="4">
        <f>(C991-B991)*24</f>
        <v/>
      </c>
      <c r="E991" s="5">
        <f>IF(AND(HOUR(B991)&gt;=6,HOUR(B991)&lt;18),"Day Shift","Night Shift")</f>
        <v/>
      </c>
      <c r="F991" s="6">
        <f>INT(B991)</f>
        <v/>
      </c>
      <c r="G991" s="6">
        <f>INT(C991)</f>
        <v/>
      </c>
    </row>
    <row r="992">
      <c r="A992" s="7" t="inlineStr">
        <is>
          <t>R07N Blockage</t>
        </is>
      </c>
      <c r="B992" s="8" t="n">
        <v>46073.75</v>
      </c>
      <c r="C992" s="8" t="n">
        <v>46074.25</v>
      </c>
      <c r="D992" s="9">
        <f>(C992-B992)*24</f>
        <v/>
      </c>
      <c r="E992" s="10">
        <f>IF(AND(HOUR(B992)&gt;=6,HOUR(B992)&lt;18),"Day Shift","Night Shift")</f>
        <v/>
      </c>
      <c r="F992" s="11">
        <f>INT(B992)</f>
        <v/>
      </c>
      <c r="G992" s="11">
        <f>INT(C992)</f>
        <v/>
      </c>
    </row>
    <row r="993">
      <c r="A993" s="2" t="inlineStr">
        <is>
          <t>R07N Blockage</t>
        </is>
      </c>
      <c r="B993" s="3" t="n">
        <v>46074.25</v>
      </c>
      <c r="C993" s="3" t="n">
        <v>46074.75</v>
      </c>
      <c r="D993" s="4">
        <f>(C993-B993)*24</f>
        <v/>
      </c>
      <c r="E993" s="5">
        <f>IF(AND(HOUR(B993)&gt;=6,HOUR(B993)&lt;18),"Day Shift","Night Shift")</f>
        <v/>
      </c>
      <c r="F993" s="6">
        <f>INT(B993)</f>
        <v/>
      </c>
      <c r="G993" s="6">
        <f>INT(C993)</f>
        <v/>
      </c>
    </row>
    <row r="994">
      <c r="A994" s="7" t="inlineStr">
        <is>
          <t>R07N Blockage</t>
        </is>
      </c>
      <c r="B994" s="8" t="n">
        <v>46074.75</v>
      </c>
      <c r="C994" s="8" t="n">
        <v>46075.25</v>
      </c>
      <c r="D994" s="9">
        <f>(C994-B994)*24</f>
        <v/>
      </c>
      <c r="E994" s="10">
        <f>IF(AND(HOUR(B994)&gt;=6,HOUR(B994)&lt;18),"Day Shift","Night Shift")</f>
        <v/>
      </c>
      <c r="F994" s="11">
        <f>INT(B994)</f>
        <v/>
      </c>
      <c r="G994" s="11">
        <f>INT(C994)</f>
        <v/>
      </c>
    </row>
    <row r="995">
      <c r="A995" s="2" t="inlineStr">
        <is>
          <t>R07N Blockage</t>
        </is>
      </c>
      <c r="B995" s="3" t="n">
        <v>46075.25</v>
      </c>
      <c r="C995" s="3" t="n">
        <v>46075.75</v>
      </c>
      <c r="D995" s="4">
        <f>(C995-B995)*24</f>
        <v/>
      </c>
      <c r="E995" s="5">
        <f>IF(AND(HOUR(B995)&gt;=6,HOUR(B995)&lt;18),"Day Shift","Night Shift")</f>
        <v/>
      </c>
      <c r="F995" s="6">
        <f>INT(B995)</f>
        <v/>
      </c>
      <c r="G995" s="6">
        <f>INT(C995)</f>
        <v/>
      </c>
    </row>
    <row r="996">
      <c r="A996" s="7" t="inlineStr">
        <is>
          <t>R07N Blockage</t>
        </is>
      </c>
      <c r="B996" s="8" t="n">
        <v>46075.75</v>
      </c>
      <c r="C996" s="8" t="n">
        <v>46076.25</v>
      </c>
      <c r="D996" s="9">
        <f>(C996-B996)*24</f>
        <v/>
      </c>
      <c r="E996" s="10">
        <f>IF(AND(HOUR(B996)&gt;=6,HOUR(B996)&lt;18),"Day Shift","Night Shift")</f>
        <v/>
      </c>
      <c r="F996" s="11">
        <f>INT(B996)</f>
        <v/>
      </c>
      <c r="G996" s="11">
        <f>INT(C996)</f>
        <v/>
      </c>
    </row>
    <row r="997">
      <c r="A997" s="2" t="inlineStr">
        <is>
          <t>R07N Blockage</t>
        </is>
      </c>
      <c r="B997" s="3" t="n">
        <v>46076.25</v>
      </c>
      <c r="C997" s="3" t="n">
        <v>46076.75</v>
      </c>
      <c r="D997" s="4">
        <f>(C997-B997)*24</f>
        <v/>
      </c>
      <c r="E997" s="5">
        <f>IF(AND(HOUR(B997)&gt;=6,HOUR(B997)&lt;18),"Day Shift","Night Shift")</f>
        <v/>
      </c>
      <c r="F997" s="6">
        <f>INT(B997)</f>
        <v/>
      </c>
      <c r="G997" s="6">
        <f>INT(C997)</f>
        <v/>
      </c>
    </row>
    <row r="998">
      <c r="A998" s="7" t="inlineStr">
        <is>
          <t>R07N Blockage</t>
        </is>
      </c>
      <c r="B998" s="8" t="n">
        <v>46076.75</v>
      </c>
      <c r="C998" s="8" t="n">
        <v>46077.25</v>
      </c>
      <c r="D998" s="9">
        <f>(C998-B998)*24</f>
        <v/>
      </c>
      <c r="E998" s="10">
        <f>IF(AND(HOUR(B998)&gt;=6,HOUR(B998)&lt;18),"Day Shift","Night Shift")</f>
        <v/>
      </c>
      <c r="F998" s="11">
        <f>INT(B998)</f>
        <v/>
      </c>
      <c r="G998" s="11">
        <f>INT(C998)</f>
        <v/>
      </c>
    </row>
    <row r="999">
      <c r="A999" s="2" t="inlineStr">
        <is>
          <t>R07N Blockage</t>
        </is>
      </c>
      <c r="B999" s="3" t="n">
        <v>46077.25</v>
      </c>
      <c r="C999" s="3" t="n">
        <v>46077.75</v>
      </c>
      <c r="D999" s="4">
        <f>(C999-B999)*24</f>
        <v/>
      </c>
      <c r="E999" s="5">
        <f>IF(AND(HOUR(B999)&gt;=6,HOUR(B999)&lt;18),"Day Shift","Night Shift")</f>
        <v/>
      </c>
      <c r="F999" s="6">
        <f>INT(B999)</f>
        <v/>
      </c>
      <c r="G999" s="6">
        <f>INT(C999)</f>
        <v/>
      </c>
    </row>
    <row r="1000">
      <c r="A1000" s="7" t="inlineStr">
        <is>
          <t>R07N Blockage</t>
        </is>
      </c>
      <c r="B1000" s="8" t="n">
        <v>46077.75</v>
      </c>
      <c r="C1000" s="8" t="n">
        <v>46078.25</v>
      </c>
      <c r="D1000" s="9">
        <f>(C1000-B1000)*24</f>
        <v/>
      </c>
      <c r="E1000" s="10">
        <f>IF(AND(HOUR(B1000)&gt;=6,HOUR(B1000)&lt;18),"Day Shift","Night Shift")</f>
        <v/>
      </c>
      <c r="F1000" s="11">
        <f>INT(B1000)</f>
        <v/>
      </c>
      <c r="G1000" s="11">
        <f>INT(C1000)</f>
        <v/>
      </c>
    </row>
    <row r="1001">
      <c r="A1001" s="2" t="inlineStr">
        <is>
          <t>R07N Blockage</t>
        </is>
      </c>
      <c r="B1001" s="3" t="n">
        <v>46078.25</v>
      </c>
      <c r="C1001" s="3" t="n">
        <v>46078.75</v>
      </c>
      <c r="D1001" s="4">
        <f>(C1001-B1001)*24</f>
        <v/>
      </c>
      <c r="E1001" s="5">
        <f>IF(AND(HOUR(B1001)&gt;=6,HOUR(B1001)&lt;18),"Day Shift","Night Shift")</f>
        <v/>
      </c>
      <c r="F1001" s="6">
        <f>INT(B1001)</f>
        <v/>
      </c>
      <c r="G1001" s="6">
        <f>INT(C1001)</f>
        <v/>
      </c>
    </row>
    <row r="1002">
      <c r="A1002" s="7" t="inlineStr">
        <is>
          <t>R07N Blockage</t>
        </is>
      </c>
      <c r="B1002" s="8" t="n">
        <v>46078.75</v>
      </c>
      <c r="C1002" s="8" t="n">
        <v>46079.25</v>
      </c>
      <c r="D1002" s="9">
        <f>(C1002-B1002)*24</f>
        <v/>
      </c>
      <c r="E1002" s="10">
        <f>IF(AND(HOUR(B1002)&gt;=6,HOUR(B1002)&lt;18),"Day Shift","Night Shift")</f>
        <v/>
      </c>
      <c r="F1002" s="11">
        <f>INT(B1002)</f>
        <v/>
      </c>
      <c r="G1002" s="11">
        <f>INT(C1002)</f>
        <v/>
      </c>
    </row>
    <row r="1003">
      <c r="A1003" s="2" t="inlineStr">
        <is>
          <t>R07N Blockage</t>
        </is>
      </c>
      <c r="B1003" s="3" t="n">
        <v>46079.25</v>
      </c>
      <c r="C1003" s="3" t="n">
        <v>46079.75</v>
      </c>
      <c r="D1003" s="4">
        <f>(C1003-B1003)*24</f>
        <v/>
      </c>
      <c r="E1003" s="5">
        <f>IF(AND(HOUR(B1003)&gt;=6,HOUR(B1003)&lt;18),"Day Shift","Night Shift")</f>
        <v/>
      </c>
      <c r="F1003" s="6">
        <f>INT(B1003)</f>
        <v/>
      </c>
      <c r="G1003" s="6">
        <f>INT(C1003)</f>
        <v/>
      </c>
    </row>
    <row r="1004">
      <c r="A1004" s="7" t="inlineStr">
        <is>
          <t>R07N Blockage</t>
        </is>
      </c>
      <c r="B1004" s="8" t="n">
        <v>46079.75</v>
      </c>
      <c r="C1004" s="8" t="n">
        <v>46080.25</v>
      </c>
      <c r="D1004" s="9">
        <f>(C1004-B1004)*24</f>
        <v/>
      </c>
      <c r="E1004" s="10">
        <f>IF(AND(HOUR(B1004)&gt;=6,HOUR(B1004)&lt;18),"Day Shift","Night Shift")</f>
        <v/>
      </c>
      <c r="F1004" s="11">
        <f>INT(B1004)</f>
        <v/>
      </c>
      <c r="G1004" s="11">
        <f>INT(C1004)</f>
        <v/>
      </c>
    </row>
    <row r="1005">
      <c r="A1005" s="2" t="inlineStr">
        <is>
          <t>R07N Blockage</t>
        </is>
      </c>
      <c r="B1005" s="3" t="n">
        <v>46080.25</v>
      </c>
      <c r="C1005" s="3" t="n">
        <v>46080.75</v>
      </c>
      <c r="D1005" s="4">
        <f>(C1005-B1005)*24</f>
        <v/>
      </c>
      <c r="E1005" s="5">
        <f>IF(AND(HOUR(B1005)&gt;=6,HOUR(B1005)&lt;18),"Day Shift","Night Shift")</f>
        <v/>
      </c>
      <c r="F1005" s="6">
        <f>INT(B1005)</f>
        <v/>
      </c>
      <c r="G1005" s="6">
        <f>INT(C1005)</f>
        <v/>
      </c>
    </row>
    <row r="1006">
      <c r="A1006" s="7" t="inlineStr">
        <is>
          <t>R07N Blockage</t>
        </is>
      </c>
      <c r="B1006" s="8" t="n">
        <v>46080.75</v>
      </c>
      <c r="C1006" s="8" t="n">
        <v>46081.25</v>
      </c>
      <c r="D1006" s="9">
        <f>(C1006-B1006)*24</f>
        <v/>
      </c>
      <c r="E1006" s="10">
        <f>IF(AND(HOUR(B1006)&gt;=6,HOUR(B1006)&lt;18),"Day Shift","Night Shift")</f>
        <v/>
      </c>
      <c r="F1006" s="11">
        <f>INT(B1006)</f>
        <v/>
      </c>
      <c r="G1006" s="11">
        <f>INT(C1006)</f>
        <v/>
      </c>
    </row>
    <row r="1007">
      <c r="A1007" s="2" t="inlineStr">
        <is>
          <t>R07N Blockage</t>
        </is>
      </c>
      <c r="B1007" s="3" t="n">
        <v>46081.25</v>
      </c>
      <c r="C1007" s="3" t="n">
        <v>46081.75</v>
      </c>
      <c r="D1007" s="4">
        <f>(C1007-B1007)*24</f>
        <v/>
      </c>
      <c r="E1007" s="5">
        <f>IF(AND(HOUR(B1007)&gt;=6,HOUR(B1007)&lt;18),"Day Shift","Night Shift")</f>
        <v/>
      </c>
      <c r="F1007" s="6">
        <f>INT(B1007)</f>
        <v/>
      </c>
      <c r="G1007" s="6">
        <f>INT(C1007)</f>
        <v/>
      </c>
    </row>
    <row r="1008">
      <c r="A1008" s="2" t="inlineStr">
        <is>
          <t>EXD101</t>
        </is>
      </c>
      <c r="B1008" s="3" t="n">
        <v>46061.25322916666</v>
      </c>
      <c r="C1008" s="3" t="n">
        <v>46061.4727199074</v>
      </c>
      <c r="D1008" s="4">
        <f>(C1008-B1008)*24</f>
        <v/>
      </c>
      <c r="E1008" s="5">
        <f>IF(AND(HOUR(B1008)&gt;=6,HOUR(B1008)&lt;18),"Day Shift","Night Shift")</f>
        <v/>
      </c>
      <c r="F1008" s="6">
        <f>INT(B1008)</f>
        <v/>
      </c>
      <c r="G1008" s="6">
        <f>INT(C1008)</f>
        <v/>
      </c>
    </row>
    <row r="1009">
      <c r="A1009" s="2" t="inlineStr">
        <is>
          <t>EXD98</t>
        </is>
      </c>
      <c r="B1009" s="3" t="n">
        <v>46061.26572916667</v>
      </c>
      <c r="C1009" s="3" t="n">
        <v>46061.75</v>
      </c>
      <c r="D1009" s="4">
        <f>(C1009-B1009)*24</f>
        <v/>
      </c>
      <c r="E1009" s="5">
        <f>IF(AND(HOUR(B1009)&gt;=6,HOUR(B1009)&lt;18),"Day Shift","Night Shift")</f>
        <v/>
      </c>
      <c r="F1009" s="6">
        <f>INT(B1009)</f>
        <v/>
      </c>
      <c r="G1009" s="6">
        <f>INT(C1009)</f>
        <v/>
      </c>
    </row>
    <row r="1010">
      <c r="A1010" s="7" t="inlineStr">
        <is>
          <t>EXD98</t>
        </is>
      </c>
      <c r="B1010" s="8" t="n">
        <v>46061.75</v>
      </c>
      <c r="C1010" s="8" t="n">
        <v>46061.78810185185</v>
      </c>
      <c r="D1010" s="9">
        <f>(C1010-B1010)*24</f>
        <v/>
      </c>
      <c r="E1010" s="10">
        <f>IF(AND(HOUR(B1010)&gt;=6,HOUR(B1010)&lt;18),"Day Shift","Night Shift")</f>
        <v/>
      </c>
      <c r="F1010" s="11">
        <f>INT(B1010)</f>
        <v/>
      </c>
      <c r="G1010" s="11">
        <f>INT(C1010)</f>
        <v/>
      </c>
    </row>
    <row r="1011">
      <c r="A1011" s="2" t="inlineStr">
        <is>
          <t>EDD2541</t>
        </is>
      </c>
      <c r="B1011" s="3" t="n">
        <v>46061.29137731482</v>
      </c>
      <c r="C1011" s="3" t="n">
        <v>46061.62034722222</v>
      </c>
      <c r="D1011" s="4">
        <f>(C1011-B1011)*24</f>
        <v/>
      </c>
      <c r="E1011" s="5">
        <f>IF(AND(HOUR(B1011)&gt;=6,HOUR(B1011)&lt;18),"Day Shift","Night Shift")</f>
        <v/>
      </c>
      <c r="F1011" s="6">
        <f>INT(B1011)</f>
        <v/>
      </c>
      <c r="G1011" s="6">
        <f>INT(C1011)</f>
        <v/>
      </c>
    </row>
    <row r="1012">
      <c r="A1012" s="2" t="inlineStr">
        <is>
          <t>EDD175;EDD2134;EDD812</t>
        </is>
      </c>
      <c r="B1012" s="3" t="n">
        <v>46061.29509259259</v>
      </c>
      <c r="C1012" s="3" t="n">
        <v>46061.47200231482</v>
      </c>
      <c r="D1012" s="4">
        <f>(C1012-B1012)*24</f>
        <v/>
      </c>
      <c r="E1012" s="5">
        <f>IF(AND(HOUR(B1012)&gt;=6,HOUR(B1012)&lt;18),"Day Shift","Night Shift")</f>
        <v/>
      </c>
      <c r="F1012" s="6">
        <f>INT(B1012)</f>
        <v/>
      </c>
      <c r="G1012" s="6">
        <f>INT(C1012)</f>
        <v/>
      </c>
    </row>
    <row r="1013">
      <c r="A1013" s="2" t="inlineStr">
        <is>
          <t>EXD100</t>
        </is>
      </c>
      <c r="B1013" s="3" t="n">
        <v>46061.30496527778</v>
      </c>
      <c r="C1013" s="3" t="n">
        <v>46061.75</v>
      </c>
      <c r="D1013" s="4">
        <f>(C1013-B1013)*24</f>
        <v/>
      </c>
      <c r="E1013" s="5">
        <f>IF(AND(HOUR(B1013)&gt;=6,HOUR(B1013)&lt;18),"Day Shift","Night Shift")</f>
        <v/>
      </c>
      <c r="F1013" s="6">
        <f>INT(B1013)</f>
        <v/>
      </c>
      <c r="G1013" s="6">
        <f>INT(C1013)</f>
        <v/>
      </c>
    </row>
    <row r="1014">
      <c r="A1014" s="7" t="inlineStr">
        <is>
          <t>EXD100</t>
        </is>
      </c>
      <c r="B1014" s="8" t="n">
        <v>46061.75</v>
      </c>
      <c r="C1014" s="8" t="n">
        <v>46061.83004629629</v>
      </c>
      <c r="D1014" s="9">
        <f>(C1014-B1014)*24</f>
        <v/>
      </c>
      <c r="E1014" s="10">
        <f>IF(AND(HOUR(B1014)&gt;=6,HOUR(B1014)&lt;18),"Day Shift","Night Shift")</f>
        <v/>
      </c>
      <c r="F1014" s="11">
        <f>INT(B1014)</f>
        <v/>
      </c>
      <c r="G1014" s="11">
        <f>INT(C1014)</f>
        <v/>
      </c>
    </row>
    <row r="1015">
      <c r="A1015" s="2" t="inlineStr">
        <is>
          <t>EXD51</t>
        </is>
      </c>
      <c r="B1015" s="3" t="n">
        <v>46061.33253472222</v>
      </c>
      <c r="C1015" s="3" t="n">
        <v>46061.75</v>
      </c>
      <c r="D1015" s="4">
        <f>(C1015-B1015)*24</f>
        <v/>
      </c>
      <c r="E1015" s="5">
        <f>IF(AND(HOUR(B1015)&gt;=6,HOUR(B1015)&lt;18),"Day Shift","Night Shift")</f>
        <v/>
      </c>
      <c r="F1015" s="6">
        <f>INT(B1015)</f>
        <v/>
      </c>
      <c r="G1015" s="6">
        <f>INT(C1015)</f>
        <v/>
      </c>
    </row>
    <row r="1016">
      <c r="A1016" s="7" t="inlineStr">
        <is>
          <t>EXD51</t>
        </is>
      </c>
      <c r="B1016" s="8" t="n">
        <v>46061.75</v>
      </c>
      <c r="C1016" s="8" t="n">
        <v>46062.25</v>
      </c>
      <c r="D1016" s="9">
        <f>(C1016-B1016)*24</f>
        <v/>
      </c>
      <c r="E1016" s="10">
        <f>IF(AND(HOUR(B1016)&gt;=6,HOUR(B1016)&lt;18),"Day Shift","Night Shift")</f>
        <v/>
      </c>
      <c r="F1016" s="11">
        <f>INT(B1016)</f>
        <v/>
      </c>
      <c r="G1016" s="11">
        <f>INT(C1016)</f>
        <v/>
      </c>
    </row>
    <row r="1017">
      <c r="A1017" s="2" t="inlineStr">
        <is>
          <t>EXD51</t>
        </is>
      </c>
      <c r="B1017" s="3" t="n">
        <v>46062.25</v>
      </c>
      <c r="C1017" s="3" t="n">
        <v>46062.66947916667</v>
      </c>
      <c r="D1017" s="4">
        <f>(C1017-B1017)*24</f>
        <v/>
      </c>
      <c r="E1017" s="5">
        <f>IF(AND(HOUR(B1017)&gt;=6,HOUR(B1017)&lt;18),"Day Shift","Night Shift")</f>
        <v/>
      </c>
      <c r="F1017" s="6">
        <f>INT(B1017)</f>
        <v/>
      </c>
      <c r="G1017" s="6">
        <f>INT(C1017)</f>
        <v/>
      </c>
    </row>
    <row r="1018">
      <c r="A1018" s="2" t="inlineStr">
        <is>
          <t>EXD408</t>
        </is>
      </c>
      <c r="B1018" s="3" t="n">
        <v>46061.46730324074</v>
      </c>
      <c r="C1018" s="3" t="n">
        <v>46061.75</v>
      </c>
      <c r="D1018" s="4">
        <f>(C1018-B1018)*24</f>
        <v/>
      </c>
      <c r="E1018" s="5">
        <f>IF(AND(HOUR(B1018)&gt;=6,HOUR(B1018)&lt;18),"Day Shift","Night Shift")</f>
        <v/>
      </c>
      <c r="F1018" s="6">
        <f>INT(B1018)</f>
        <v/>
      </c>
      <c r="G1018" s="6">
        <f>INT(C1018)</f>
        <v/>
      </c>
    </row>
    <row r="1019">
      <c r="A1019" s="7" t="inlineStr">
        <is>
          <t>EXD408</t>
        </is>
      </c>
      <c r="B1019" s="8" t="n">
        <v>46061.75</v>
      </c>
      <c r="C1019" s="8" t="n">
        <v>46062.25</v>
      </c>
      <c r="D1019" s="9">
        <f>(C1019-B1019)*24</f>
        <v/>
      </c>
      <c r="E1019" s="10">
        <f>IF(AND(HOUR(B1019)&gt;=6,HOUR(B1019)&lt;18),"Day Shift","Night Shift")</f>
        <v/>
      </c>
      <c r="F1019" s="11">
        <f>INT(B1019)</f>
        <v/>
      </c>
      <c r="G1019" s="11">
        <f>INT(C1019)</f>
        <v/>
      </c>
    </row>
    <row r="1020">
      <c r="A1020" s="2" t="inlineStr">
        <is>
          <t>EXD408</t>
        </is>
      </c>
      <c r="B1020" s="3" t="n">
        <v>46062.25</v>
      </c>
      <c r="C1020" s="3" t="n">
        <v>46062.58339120371</v>
      </c>
      <c r="D1020" s="4">
        <f>(C1020-B1020)*24</f>
        <v/>
      </c>
      <c r="E1020" s="5">
        <f>IF(AND(HOUR(B1020)&gt;=6,HOUR(B1020)&lt;18),"Day Shift","Night Shift")</f>
        <v/>
      </c>
      <c r="F1020" s="6">
        <f>INT(B1020)</f>
        <v/>
      </c>
      <c r="G1020" s="6">
        <f>INT(C1020)</f>
        <v/>
      </c>
    </row>
    <row r="1021">
      <c r="A1021" s="2" t="inlineStr">
        <is>
          <t>EXD101</t>
        </is>
      </c>
      <c r="B1021" s="3" t="n">
        <v>46061.4727199074</v>
      </c>
      <c r="C1021" s="3" t="n">
        <v>46061.75</v>
      </c>
      <c r="D1021" s="4">
        <f>(C1021-B1021)*24</f>
        <v/>
      </c>
      <c r="E1021" s="5">
        <f>IF(AND(HOUR(B1021)&gt;=6,HOUR(B1021)&lt;18),"Day Shift","Night Shift")</f>
        <v/>
      </c>
      <c r="F1021" s="6">
        <f>INT(B1021)</f>
        <v/>
      </c>
      <c r="G1021" s="6">
        <f>INT(C1021)</f>
        <v/>
      </c>
    </row>
    <row r="1022">
      <c r="A1022" s="7" t="inlineStr">
        <is>
          <t>EXD101</t>
        </is>
      </c>
      <c r="B1022" s="8" t="n">
        <v>46061.75</v>
      </c>
      <c r="C1022" s="8" t="n">
        <v>46062.25</v>
      </c>
      <c r="D1022" s="9">
        <f>(C1022-B1022)*24</f>
        <v/>
      </c>
      <c r="E1022" s="10">
        <f>IF(AND(HOUR(B1022)&gt;=6,HOUR(B1022)&lt;18),"Day Shift","Night Shift")</f>
        <v/>
      </c>
      <c r="F1022" s="11">
        <f>INT(B1022)</f>
        <v/>
      </c>
      <c r="G1022" s="11">
        <f>INT(C1022)</f>
        <v/>
      </c>
    </row>
    <row r="1023">
      <c r="A1023" s="2" t="inlineStr">
        <is>
          <t>EXD101</t>
        </is>
      </c>
      <c r="B1023" s="3" t="n">
        <v>46062.25</v>
      </c>
      <c r="C1023" s="3" t="n">
        <v>46062.75</v>
      </c>
      <c r="D1023" s="4">
        <f>(C1023-B1023)*24</f>
        <v/>
      </c>
      <c r="E1023" s="5">
        <f>IF(AND(HOUR(B1023)&gt;=6,HOUR(B1023)&lt;18),"Day Shift","Night Shift")</f>
        <v/>
      </c>
      <c r="F1023" s="6">
        <f>INT(B1023)</f>
        <v/>
      </c>
      <c r="G1023" s="6">
        <f>INT(C1023)</f>
        <v/>
      </c>
    </row>
    <row r="1024">
      <c r="A1024" s="7" t="inlineStr">
        <is>
          <t>EXD101</t>
        </is>
      </c>
      <c r="B1024" s="8" t="n">
        <v>46062.75</v>
      </c>
      <c r="C1024" s="8" t="n">
        <v>46062.96173611111</v>
      </c>
      <c r="D1024" s="9">
        <f>(C1024-B1024)*24</f>
        <v/>
      </c>
      <c r="E1024" s="10">
        <f>IF(AND(HOUR(B1024)&gt;=6,HOUR(B1024)&lt;18),"Day Shift","Night Shift")</f>
        <v/>
      </c>
      <c r="F1024" s="11">
        <f>INT(B1024)</f>
        <v/>
      </c>
      <c r="G1024" s="11">
        <f>INT(C1024)</f>
        <v/>
      </c>
    </row>
    <row r="1025">
      <c r="A1025" s="2" t="inlineStr">
        <is>
          <t>EDD175;EDD2134</t>
        </is>
      </c>
      <c r="B1025" s="3" t="n">
        <v>46061.48626157407</v>
      </c>
      <c r="C1025" s="3" t="n">
        <v>46061.75</v>
      </c>
      <c r="D1025" s="4">
        <f>(C1025-B1025)*24</f>
        <v/>
      </c>
      <c r="E1025" s="5">
        <f>IF(AND(HOUR(B1025)&gt;=6,HOUR(B1025)&lt;18),"Day Shift","Night Shift")</f>
        <v/>
      </c>
      <c r="F1025" s="6">
        <f>INT(B1025)</f>
        <v/>
      </c>
      <c r="G1025" s="6">
        <f>INT(C1025)</f>
        <v/>
      </c>
    </row>
    <row r="1026">
      <c r="A1026" s="7" t="inlineStr">
        <is>
          <t>EDD175;EDD2134</t>
        </is>
      </c>
      <c r="B1026" s="8" t="n">
        <v>46061.75</v>
      </c>
      <c r="C1026" s="8" t="n">
        <v>46062.25</v>
      </c>
      <c r="D1026" s="9">
        <f>(C1026-B1026)*24</f>
        <v/>
      </c>
      <c r="E1026" s="10">
        <f>IF(AND(HOUR(B1026)&gt;=6,HOUR(B1026)&lt;18),"Day Shift","Night Shift")</f>
        <v/>
      </c>
      <c r="F1026" s="11">
        <f>INT(B1026)</f>
        <v/>
      </c>
      <c r="G1026" s="11">
        <f>INT(C1026)</f>
        <v/>
      </c>
    </row>
    <row r="1027">
      <c r="A1027" s="2" t="inlineStr">
        <is>
          <t>EDD175;EDD2134</t>
        </is>
      </c>
      <c r="B1027" s="3" t="n">
        <v>46062.25</v>
      </c>
      <c r="C1027" s="3" t="n">
        <v>46062.75</v>
      </c>
      <c r="D1027" s="4">
        <f>(C1027-B1027)*24</f>
        <v/>
      </c>
      <c r="E1027" s="5">
        <f>IF(AND(HOUR(B1027)&gt;=6,HOUR(B1027)&lt;18),"Day Shift","Night Shift")</f>
        <v/>
      </c>
      <c r="F1027" s="6">
        <f>INT(B1027)</f>
        <v/>
      </c>
      <c r="G1027" s="6">
        <f>INT(C1027)</f>
        <v/>
      </c>
    </row>
    <row r="1028">
      <c r="A1028" s="7" t="inlineStr">
        <is>
          <t>EDD175;EDD2134</t>
        </is>
      </c>
      <c r="B1028" s="8" t="n">
        <v>46062.75</v>
      </c>
      <c r="C1028" s="8" t="n">
        <v>46062.94131944444</v>
      </c>
      <c r="D1028" s="9">
        <f>(C1028-B1028)*24</f>
        <v/>
      </c>
      <c r="E1028" s="10">
        <f>IF(AND(HOUR(B1028)&gt;=6,HOUR(B1028)&lt;18),"Day Shift","Night Shift")</f>
        <v/>
      </c>
      <c r="F1028" s="11">
        <f>INT(B1028)</f>
        <v/>
      </c>
      <c r="G1028" s="11">
        <f>INT(C1028)</f>
        <v/>
      </c>
    </row>
    <row r="1029">
      <c r="A1029" s="2" t="inlineStr">
        <is>
          <t>LDW265</t>
        </is>
      </c>
      <c r="B1029" s="3" t="n">
        <v>46061.49002314815</v>
      </c>
      <c r="C1029" s="3" t="n">
        <v>46061.75</v>
      </c>
      <c r="D1029" s="4">
        <f>(C1029-B1029)*24</f>
        <v/>
      </c>
      <c r="E1029" s="5">
        <f>IF(AND(HOUR(B1029)&gt;=6,HOUR(B1029)&lt;18),"Day Shift","Night Shift")</f>
        <v/>
      </c>
      <c r="F1029" s="6">
        <f>INT(B1029)</f>
        <v/>
      </c>
      <c r="G1029" s="6">
        <f>INT(C1029)</f>
        <v/>
      </c>
    </row>
    <row r="1030">
      <c r="A1030" s="7" t="inlineStr">
        <is>
          <t>LDW265</t>
        </is>
      </c>
      <c r="B1030" s="8" t="n">
        <v>46061.75</v>
      </c>
      <c r="C1030" s="8" t="n">
        <v>46062.04641203704</v>
      </c>
      <c r="D1030" s="9">
        <f>(C1030-B1030)*24</f>
        <v/>
      </c>
      <c r="E1030" s="10">
        <f>IF(AND(HOUR(B1030)&gt;=6,HOUR(B1030)&lt;18),"Day Shift","Night Shift")</f>
        <v/>
      </c>
      <c r="F1030" s="11">
        <f>INT(B1030)</f>
        <v/>
      </c>
      <c r="G1030" s="11">
        <f>INT(C1030)</f>
        <v/>
      </c>
    </row>
    <row r="1031">
      <c r="A1031" s="2" t="inlineStr">
        <is>
          <t>EXD55</t>
        </is>
      </c>
      <c r="B1031" s="3" t="n">
        <v>46061.53322916666</v>
      </c>
      <c r="C1031" s="3" t="n">
        <v>46061.75</v>
      </c>
      <c r="D1031" s="4">
        <f>(C1031-B1031)*24</f>
        <v/>
      </c>
      <c r="E1031" s="5">
        <f>IF(AND(HOUR(B1031)&gt;=6,HOUR(B1031)&lt;18),"Day Shift","Night Shift")</f>
        <v/>
      </c>
      <c r="F1031" s="6">
        <f>INT(B1031)</f>
        <v/>
      </c>
      <c r="G1031" s="6">
        <f>INT(C1031)</f>
        <v/>
      </c>
    </row>
    <row r="1032">
      <c r="A1032" s="7" t="inlineStr">
        <is>
          <t>EXD55</t>
        </is>
      </c>
      <c r="B1032" s="8" t="n">
        <v>46061.75</v>
      </c>
      <c r="C1032" s="8" t="n">
        <v>46061.97325231481</v>
      </c>
      <c r="D1032" s="9">
        <f>(C1032-B1032)*24</f>
        <v/>
      </c>
      <c r="E1032" s="10">
        <f>IF(AND(HOUR(B1032)&gt;=6,HOUR(B1032)&lt;18),"Day Shift","Night Shift")</f>
        <v/>
      </c>
      <c r="F1032" s="11">
        <f>INT(B1032)</f>
        <v/>
      </c>
      <c r="G1032" s="11">
        <f>INT(C1032)</f>
        <v/>
      </c>
    </row>
    <row r="1033">
      <c r="A1033" s="2" t="inlineStr">
        <is>
          <t>EXD73</t>
        </is>
      </c>
      <c r="B1033" s="3" t="n">
        <v>46061.5450462963</v>
      </c>
      <c r="C1033" s="3" t="n">
        <v>46061.75</v>
      </c>
      <c r="D1033" s="4">
        <f>(C1033-B1033)*24</f>
        <v/>
      </c>
      <c r="E1033" s="5">
        <f>IF(AND(HOUR(B1033)&gt;=6,HOUR(B1033)&lt;18),"Day Shift","Night Shift")</f>
        <v/>
      </c>
      <c r="F1033" s="6">
        <f>INT(B1033)</f>
        <v/>
      </c>
      <c r="G1033" s="6">
        <f>INT(C1033)</f>
        <v/>
      </c>
    </row>
    <row r="1034">
      <c r="A1034" s="7" t="inlineStr">
        <is>
          <t>EXD73</t>
        </is>
      </c>
      <c r="B1034" s="8" t="n">
        <v>46061.75</v>
      </c>
      <c r="C1034" s="8" t="n">
        <v>46062.25</v>
      </c>
      <c r="D1034" s="9">
        <f>(C1034-B1034)*24</f>
        <v/>
      </c>
      <c r="E1034" s="10">
        <f>IF(AND(HOUR(B1034)&gt;=6,HOUR(B1034)&lt;18),"Day Shift","Night Shift")</f>
        <v/>
      </c>
      <c r="F1034" s="11">
        <f>INT(B1034)</f>
        <v/>
      </c>
      <c r="G1034" s="11">
        <f>INT(C1034)</f>
        <v/>
      </c>
    </row>
    <row r="1035">
      <c r="A1035" s="2" t="inlineStr">
        <is>
          <t>EXD73</t>
        </is>
      </c>
      <c r="B1035" s="3" t="n">
        <v>46062.25</v>
      </c>
      <c r="C1035" s="3" t="n">
        <v>46062.75</v>
      </c>
      <c r="D1035" s="4">
        <f>(C1035-B1035)*24</f>
        <v/>
      </c>
      <c r="E1035" s="5">
        <f>IF(AND(HOUR(B1035)&gt;=6,HOUR(B1035)&lt;18),"Day Shift","Night Shift")</f>
        <v/>
      </c>
      <c r="F1035" s="6">
        <f>INT(B1035)</f>
        <v/>
      </c>
      <c r="G1035" s="6">
        <f>INT(C1035)</f>
        <v/>
      </c>
    </row>
    <row r="1036">
      <c r="A1036" s="7" t="inlineStr">
        <is>
          <t>EXD73</t>
        </is>
      </c>
      <c r="B1036" s="8" t="n">
        <v>46062.75</v>
      </c>
      <c r="C1036" s="8" t="n">
        <v>46062.85606481481</v>
      </c>
      <c r="D1036" s="9">
        <f>(C1036-B1036)*24</f>
        <v/>
      </c>
      <c r="E1036" s="10">
        <f>IF(AND(HOUR(B1036)&gt;=6,HOUR(B1036)&lt;18),"Day Shift","Night Shift")</f>
        <v/>
      </c>
      <c r="F1036" s="11">
        <f>INT(B1036)</f>
        <v/>
      </c>
      <c r="G1036" s="11">
        <f>INT(C1036)</f>
        <v/>
      </c>
    </row>
    <row r="1037">
      <c r="A1037" s="2" t="inlineStr">
        <is>
          <t>EDD2541</t>
        </is>
      </c>
      <c r="B1037" s="3" t="n">
        <v>46061.62034722222</v>
      </c>
      <c r="C1037" s="3" t="n">
        <v>46061.75</v>
      </c>
      <c r="D1037" s="4">
        <f>(C1037-B1037)*24</f>
        <v/>
      </c>
      <c r="E1037" s="5">
        <f>IF(AND(HOUR(B1037)&gt;=6,HOUR(B1037)&lt;18),"Day Shift","Night Shift")</f>
        <v/>
      </c>
      <c r="F1037" s="6">
        <f>INT(B1037)</f>
        <v/>
      </c>
      <c r="G1037" s="6">
        <f>INT(C1037)</f>
        <v/>
      </c>
    </row>
    <row r="1038">
      <c r="A1038" s="7" t="inlineStr">
        <is>
          <t>EDD2541</t>
        </is>
      </c>
      <c r="B1038" s="8" t="n">
        <v>46061.75</v>
      </c>
      <c r="C1038" s="8" t="n">
        <v>46061.95023148148</v>
      </c>
      <c r="D1038" s="9">
        <f>(C1038-B1038)*24</f>
        <v/>
      </c>
      <c r="E1038" s="10">
        <f>IF(AND(HOUR(B1038)&gt;=6,HOUR(B1038)&lt;18),"Day Shift","Night Shift")</f>
        <v/>
      </c>
      <c r="F1038" s="11">
        <f>INT(B1038)</f>
        <v/>
      </c>
      <c r="G1038" s="11">
        <f>INT(C1038)</f>
        <v/>
      </c>
    </row>
    <row r="1039">
      <c r="A1039" s="2" t="inlineStr">
        <is>
          <t>EXD56</t>
        </is>
      </c>
      <c r="B1039" s="3" t="n">
        <v>46061.67079861111</v>
      </c>
      <c r="C1039" s="3" t="n">
        <v>46061.75</v>
      </c>
      <c r="D1039" s="4">
        <f>(C1039-B1039)*24</f>
        <v/>
      </c>
      <c r="E1039" s="5">
        <f>IF(AND(HOUR(B1039)&gt;=6,HOUR(B1039)&lt;18),"Day Shift","Night Shift")</f>
        <v/>
      </c>
      <c r="F1039" s="6">
        <f>INT(B1039)</f>
        <v/>
      </c>
      <c r="G1039" s="6">
        <f>INT(C1039)</f>
        <v/>
      </c>
    </row>
    <row r="1040">
      <c r="A1040" s="7" t="inlineStr">
        <is>
          <t>EXD56</t>
        </is>
      </c>
      <c r="B1040" s="8" t="n">
        <v>46061.75</v>
      </c>
      <c r="C1040" s="8" t="n">
        <v>46062.1212037037</v>
      </c>
      <c r="D1040" s="9">
        <f>(C1040-B1040)*24</f>
        <v/>
      </c>
      <c r="E1040" s="10">
        <f>IF(AND(HOUR(B1040)&gt;=6,HOUR(B1040)&lt;18),"Day Shift","Night Shift")</f>
        <v/>
      </c>
      <c r="F1040" s="11">
        <f>INT(B1040)</f>
        <v/>
      </c>
      <c r="G1040" s="11">
        <f>INT(C1040)</f>
        <v/>
      </c>
    </row>
    <row r="1041">
      <c r="A1041" s="2" t="inlineStr">
        <is>
          <t>EDD1932</t>
        </is>
      </c>
      <c r="B1041" s="3" t="n">
        <v>46061.7352662037</v>
      </c>
      <c r="C1041" s="3" t="n">
        <v>46061.75</v>
      </c>
      <c r="D1041" s="4">
        <f>(C1041-B1041)*24</f>
        <v/>
      </c>
      <c r="E1041" s="5">
        <f>IF(AND(HOUR(B1041)&gt;=6,HOUR(B1041)&lt;18),"Day Shift","Night Shift")</f>
        <v/>
      </c>
      <c r="F1041" s="6">
        <f>INT(B1041)</f>
        <v/>
      </c>
      <c r="G1041" s="6">
        <f>INT(C1041)</f>
        <v/>
      </c>
    </row>
    <row r="1042">
      <c r="A1042" s="7" t="inlineStr">
        <is>
          <t>EDD1932</t>
        </is>
      </c>
      <c r="B1042" s="8" t="n">
        <v>46061.75</v>
      </c>
      <c r="C1042" s="8" t="n">
        <v>46062.21559027778</v>
      </c>
      <c r="D1042" s="9">
        <f>(C1042-B1042)*24</f>
        <v/>
      </c>
      <c r="E1042" s="10">
        <f>IF(AND(HOUR(B1042)&gt;=6,HOUR(B1042)&lt;18),"Day Shift","Night Shift")</f>
        <v/>
      </c>
      <c r="F1042" s="11">
        <f>INT(B1042)</f>
        <v/>
      </c>
      <c r="G1042" s="11">
        <f>INT(C1042)</f>
        <v/>
      </c>
    </row>
    <row r="1043">
      <c r="A1043" s="7" t="inlineStr">
        <is>
          <t>EXD98</t>
        </is>
      </c>
      <c r="B1043" s="8" t="n">
        <v>46061.78810185185</v>
      </c>
      <c r="C1043" s="8" t="n">
        <v>46062.25</v>
      </c>
      <c r="D1043" s="9">
        <f>(C1043-B1043)*24</f>
        <v/>
      </c>
      <c r="E1043" s="10">
        <f>IF(AND(HOUR(B1043)&gt;=6,HOUR(B1043)&lt;18),"Day Shift","Night Shift")</f>
        <v/>
      </c>
      <c r="F1043" s="11">
        <f>INT(B1043)</f>
        <v/>
      </c>
      <c r="G1043" s="11">
        <f>INT(C1043)</f>
        <v/>
      </c>
    </row>
    <row r="1044">
      <c r="A1044" s="2" t="inlineStr">
        <is>
          <t>EXD98</t>
        </is>
      </c>
      <c r="B1044" s="3" t="n">
        <v>46062.25</v>
      </c>
      <c r="C1044" s="3" t="n">
        <v>46062.31671296297</v>
      </c>
      <c r="D1044" s="4">
        <f>(C1044-B1044)*24</f>
        <v/>
      </c>
      <c r="E1044" s="5">
        <f>IF(AND(HOUR(B1044)&gt;=6,HOUR(B1044)&lt;18),"Day Shift","Night Shift")</f>
        <v/>
      </c>
      <c r="F1044" s="6">
        <f>INT(B1044)</f>
        <v/>
      </c>
      <c r="G1044" s="6">
        <f>INT(C1044)</f>
        <v/>
      </c>
    </row>
    <row r="1045">
      <c r="A1045" s="7" t="inlineStr">
        <is>
          <t>EXD100</t>
        </is>
      </c>
      <c r="B1045" s="8" t="n">
        <v>46061.83075231482</v>
      </c>
      <c r="C1045" s="8" t="n">
        <v>46062.02368055555</v>
      </c>
      <c r="D1045" s="9">
        <f>(C1045-B1045)*24</f>
        <v/>
      </c>
      <c r="E1045" s="10">
        <f>IF(AND(HOUR(B1045)&gt;=6,HOUR(B1045)&lt;18),"Day Shift","Night Shift")</f>
        <v/>
      </c>
      <c r="F1045" s="11">
        <f>INT(B1045)</f>
        <v/>
      </c>
      <c r="G1045" s="11">
        <f>INT(C1045)</f>
        <v/>
      </c>
    </row>
    <row r="1046">
      <c r="A1046" s="7" t="inlineStr">
        <is>
          <t>EDD2541</t>
        </is>
      </c>
      <c r="B1046" s="8" t="n">
        <v>46061.95023148148</v>
      </c>
      <c r="C1046" s="8" t="n">
        <v>46062.25</v>
      </c>
      <c r="D1046" s="9">
        <f>(C1046-B1046)*24</f>
        <v/>
      </c>
      <c r="E1046" s="10">
        <f>IF(AND(HOUR(B1046)&gt;=6,HOUR(B1046)&lt;18),"Day Shift","Night Shift")</f>
        <v/>
      </c>
      <c r="F1046" s="11">
        <f>INT(B1046)</f>
        <v/>
      </c>
      <c r="G1046" s="11">
        <f>INT(C1046)</f>
        <v/>
      </c>
    </row>
    <row r="1047">
      <c r="A1047" s="2" t="inlineStr">
        <is>
          <t>EDD2541</t>
        </is>
      </c>
      <c r="B1047" s="3" t="n">
        <v>46062.25</v>
      </c>
      <c r="C1047" s="3" t="n">
        <v>46062.27825231481</v>
      </c>
      <c r="D1047" s="4">
        <f>(C1047-B1047)*24</f>
        <v/>
      </c>
      <c r="E1047" s="5">
        <f>IF(AND(HOUR(B1047)&gt;=6,HOUR(B1047)&lt;18),"Day Shift","Night Shift")</f>
        <v/>
      </c>
      <c r="F1047" s="6">
        <f>INT(B1047)</f>
        <v/>
      </c>
      <c r="G1047" s="6">
        <f>INT(C1047)</f>
        <v/>
      </c>
    </row>
    <row r="1048">
      <c r="A1048" s="7" t="inlineStr">
        <is>
          <t>EXD100</t>
        </is>
      </c>
      <c r="B1048" s="8" t="n">
        <v>46062.02368055555</v>
      </c>
      <c r="C1048" s="8" t="n">
        <v>46062.25</v>
      </c>
      <c r="D1048" s="9">
        <f>(C1048-B1048)*24</f>
        <v/>
      </c>
      <c r="E1048" s="10">
        <f>IF(AND(HOUR(B1048)&gt;=6,HOUR(B1048)&lt;18),"Day Shift","Night Shift")</f>
        <v/>
      </c>
      <c r="F1048" s="11">
        <f>INT(B1048)</f>
        <v/>
      </c>
      <c r="G1048" s="11">
        <f>INT(C1048)</f>
        <v/>
      </c>
    </row>
    <row r="1049">
      <c r="A1049" s="2" t="inlineStr">
        <is>
          <t>EXD100</t>
        </is>
      </c>
      <c r="B1049" s="3" t="n">
        <v>46062.25</v>
      </c>
      <c r="C1049" s="3" t="n">
        <v>46062.75</v>
      </c>
      <c r="D1049" s="4">
        <f>(C1049-B1049)*24</f>
        <v/>
      </c>
      <c r="E1049" s="5">
        <f>IF(AND(HOUR(B1049)&gt;=6,HOUR(B1049)&lt;18),"Day Shift","Night Shift")</f>
        <v/>
      </c>
      <c r="F1049" s="6">
        <f>INT(B1049)</f>
        <v/>
      </c>
      <c r="G1049" s="6">
        <f>INT(C1049)</f>
        <v/>
      </c>
    </row>
    <row r="1050">
      <c r="A1050" s="7" t="inlineStr">
        <is>
          <t>EXD100</t>
        </is>
      </c>
      <c r="B1050" s="8" t="n">
        <v>46062.75</v>
      </c>
      <c r="C1050" s="8" t="n">
        <v>46063.14440972222</v>
      </c>
      <c r="D1050" s="9">
        <f>(C1050-B1050)*24</f>
        <v/>
      </c>
      <c r="E1050" s="10">
        <f>IF(AND(HOUR(B1050)&gt;=6,HOUR(B1050)&lt;18),"Day Shift","Night Shift")</f>
        <v/>
      </c>
      <c r="F1050" s="11">
        <f>INT(B1050)</f>
        <v/>
      </c>
      <c r="G1050" s="11">
        <f>INT(C1050)</f>
        <v/>
      </c>
    </row>
    <row r="1051">
      <c r="A1051" s="7" t="inlineStr">
        <is>
          <t>LDW265</t>
        </is>
      </c>
      <c r="B1051" s="8" t="n">
        <v>46062.04641203704</v>
      </c>
      <c r="C1051" s="8" t="n">
        <v>46062.25</v>
      </c>
      <c r="D1051" s="9">
        <f>(C1051-B1051)*24</f>
        <v/>
      </c>
      <c r="E1051" s="10">
        <f>IF(AND(HOUR(B1051)&gt;=6,HOUR(B1051)&lt;18),"Day Shift","Night Shift")</f>
        <v/>
      </c>
      <c r="F1051" s="11">
        <f>INT(B1051)</f>
        <v/>
      </c>
      <c r="G1051" s="11">
        <f>INT(C1051)</f>
        <v/>
      </c>
    </row>
    <row r="1052">
      <c r="A1052" s="2" t="inlineStr">
        <is>
          <t>LDW265</t>
        </is>
      </c>
      <c r="B1052" s="3" t="n">
        <v>46062.25</v>
      </c>
      <c r="C1052" s="3" t="n">
        <v>46062.75</v>
      </c>
      <c r="D1052" s="4">
        <f>(C1052-B1052)*24</f>
        <v/>
      </c>
      <c r="E1052" s="5">
        <f>IF(AND(HOUR(B1052)&gt;=6,HOUR(B1052)&lt;18),"Day Shift","Night Shift")</f>
        <v/>
      </c>
      <c r="F1052" s="6">
        <f>INT(B1052)</f>
        <v/>
      </c>
      <c r="G1052" s="6">
        <f>INT(C1052)</f>
        <v/>
      </c>
    </row>
    <row r="1053">
      <c r="A1053" s="7" t="inlineStr">
        <is>
          <t>LDW265</t>
        </is>
      </c>
      <c r="B1053" s="8" t="n">
        <v>46062.75</v>
      </c>
      <c r="C1053" s="8" t="n">
        <v>46062.99068287037</v>
      </c>
      <c r="D1053" s="9">
        <f>(C1053-B1053)*24</f>
        <v/>
      </c>
      <c r="E1053" s="10">
        <f>IF(AND(HOUR(B1053)&gt;=6,HOUR(B1053)&lt;18),"Day Shift","Night Shift")</f>
        <v/>
      </c>
      <c r="F1053" s="11">
        <f>INT(B1053)</f>
        <v/>
      </c>
      <c r="G1053" s="11">
        <f>INT(C1053)</f>
        <v/>
      </c>
    </row>
    <row r="1054">
      <c r="A1054" s="7" t="inlineStr">
        <is>
          <t>EXD407</t>
        </is>
      </c>
      <c r="B1054" s="8" t="n">
        <v>46062.06244212963</v>
      </c>
      <c r="C1054" s="8" t="n">
        <v>46062.25</v>
      </c>
      <c r="D1054" s="9">
        <f>(C1054-B1054)*24</f>
        <v/>
      </c>
      <c r="E1054" s="10">
        <f>IF(AND(HOUR(B1054)&gt;=6,HOUR(B1054)&lt;18),"Day Shift","Night Shift")</f>
        <v/>
      </c>
      <c r="F1054" s="11">
        <f>INT(B1054)</f>
        <v/>
      </c>
      <c r="G1054" s="11">
        <f>INT(C1054)</f>
        <v/>
      </c>
    </row>
    <row r="1055">
      <c r="A1055" s="2" t="inlineStr">
        <is>
          <t>EXD407</t>
        </is>
      </c>
      <c r="B1055" s="3" t="n">
        <v>46062.25</v>
      </c>
      <c r="C1055" s="3" t="n">
        <v>46062.75</v>
      </c>
      <c r="D1055" s="4">
        <f>(C1055-B1055)*24</f>
        <v/>
      </c>
      <c r="E1055" s="5">
        <f>IF(AND(HOUR(B1055)&gt;=6,HOUR(B1055)&lt;18),"Day Shift","Night Shift")</f>
        <v/>
      </c>
      <c r="F1055" s="6">
        <f>INT(B1055)</f>
        <v/>
      </c>
      <c r="G1055" s="6">
        <f>INT(C1055)</f>
        <v/>
      </c>
    </row>
    <row r="1056">
      <c r="A1056" s="7" t="inlineStr">
        <is>
          <t>EXD407</t>
        </is>
      </c>
      <c r="B1056" s="8" t="n">
        <v>46062.75</v>
      </c>
      <c r="C1056" s="8" t="n">
        <v>46063.25</v>
      </c>
      <c r="D1056" s="9">
        <f>(C1056-B1056)*24</f>
        <v/>
      </c>
      <c r="E1056" s="10">
        <f>IF(AND(HOUR(B1056)&gt;=6,HOUR(B1056)&lt;18),"Day Shift","Night Shift")</f>
        <v/>
      </c>
      <c r="F1056" s="11">
        <f>INT(B1056)</f>
        <v/>
      </c>
      <c r="G1056" s="11">
        <f>INT(C1056)</f>
        <v/>
      </c>
    </row>
    <row r="1057">
      <c r="A1057" s="2" t="inlineStr">
        <is>
          <t>EXD407</t>
        </is>
      </c>
      <c r="B1057" s="3" t="n">
        <v>46063.25</v>
      </c>
      <c r="C1057" s="3" t="n">
        <v>46063.75</v>
      </c>
      <c r="D1057" s="4">
        <f>(C1057-B1057)*24</f>
        <v/>
      </c>
      <c r="E1057" s="5">
        <f>IF(AND(HOUR(B1057)&gt;=6,HOUR(B1057)&lt;18),"Day Shift","Night Shift")</f>
        <v/>
      </c>
      <c r="F1057" s="6">
        <f>INT(B1057)</f>
        <v/>
      </c>
      <c r="G1057" s="6">
        <f>INT(C1057)</f>
        <v/>
      </c>
    </row>
    <row r="1058">
      <c r="A1058" s="7" t="inlineStr">
        <is>
          <t>EXD407</t>
        </is>
      </c>
      <c r="B1058" s="8" t="n">
        <v>46063.75</v>
      </c>
      <c r="C1058" s="8" t="n">
        <v>46064.25</v>
      </c>
      <c r="D1058" s="9">
        <f>(C1058-B1058)*24</f>
        <v/>
      </c>
      <c r="E1058" s="10">
        <f>IF(AND(HOUR(B1058)&gt;=6,HOUR(B1058)&lt;18),"Day Shift","Night Shift")</f>
        <v/>
      </c>
      <c r="F1058" s="11">
        <f>INT(B1058)</f>
        <v/>
      </c>
      <c r="G1058" s="11">
        <f>INT(C1058)</f>
        <v/>
      </c>
    </row>
    <row r="1059">
      <c r="A1059" s="2" t="inlineStr">
        <is>
          <t>EXD407</t>
        </is>
      </c>
      <c r="B1059" s="3" t="n">
        <v>46064.25</v>
      </c>
      <c r="C1059" s="3" t="n">
        <v>46064.53503472222</v>
      </c>
      <c r="D1059" s="4">
        <f>(C1059-B1059)*24</f>
        <v/>
      </c>
      <c r="E1059" s="5">
        <f>IF(AND(HOUR(B1059)&gt;=6,HOUR(B1059)&lt;18),"Day Shift","Night Shift")</f>
        <v/>
      </c>
      <c r="F1059" s="6">
        <f>INT(B1059)</f>
        <v/>
      </c>
      <c r="G1059" s="6">
        <f>INT(C1059)</f>
        <v/>
      </c>
    </row>
    <row r="1060">
      <c r="A1060" s="7" t="inlineStr">
        <is>
          <t>EXD52</t>
        </is>
      </c>
      <c r="B1060" s="8" t="n">
        <v>46062.06282407408</v>
      </c>
      <c r="C1060" s="8" t="n">
        <v>46062.25</v>
      </c>
      <c r="D1060" s="9">
        <f>(C1060-B1060)*24</f>
        <v/>
      </c>
      <c r="E1060" s="10">
        <f>IF(AND(HOUR(B1060)&gt;=6,HOUR(B1060)&lt;18),"Day Shift","Night Shift")</f>
        <v/>
      </c>
      <c r="F1060" s="11">
        <f>INT(B1060)</f>
        <v/>
      </c>
      <c r="G1060" s="11">
        <f>INT(C1060)</f>
        <v/>
      </c>
    </row>
    <row r="1061">
      <c r="A1061" s="2" t="inlineStr">
        <is>
          <t>EXD52</t>
        </is>
      </c>
      <c r="B1061" s="3" t="n">
        <v>46062.25</v>
      </c>
      <c r="C1061" s="3" t="n">
        <v>46062.75</v>
      </c>
      <c r="D1061" s="4">
        <f>(C1061-B1061)*24</f>
        <v/>
      </c>
      <c r="E1061" s="5">
        <f>IF(AND(HOUR(B1061)&gt;=6,HOUR(B1061)&lt;18),"Day Shift","Night Shift")</f>
        <v/>
      </c>
      <c r="F1061" s="6">
        <f>INT(B1061)</f>
        <v/>
      </c>
      <c r="G1061" s="6">
        <f>INT(C1061)</f>
        <v/>
      </c>
    </row>
    <row r="1062">
      <c r="A1062" s="7" t="inlineStr">
        <is>
          <t>EXD52</t>
        </is>
      </c>
      <c r="B1062" s="8" t="n">
        <v>46062.75</v>
      </c>
      <c r="C1062" s="8" t="n">
        <v>46063.25</v>
      </c>
      <c r="D1062" s="9">
        <f>(C1062-B1062)*24</f>
        <v/>
      </c>
      <c r="E1062" s="10">
        <f>IF(AND(HOUR(B1062)&gt;=6,HOUR(B1062)&lt;18),"Day Shift","Night Shift")</f>
        <v/>
      </c>
      <c r="F1062" s="11">
        <f>INT(B1062)</f>
        <v/>
      </c>
      <c r="G1062" s="11">
        <f>INT(C1062)</f>
        <v/>
      </c>
    </row>
    <row r="1063">
      <c r="A1063" s="2" t="inlineStr">
        <is>
          <t>EXD52</t>
        </is>
      </c>
      <c r="B1063" s="3" t="n">
        <v>46063.25</v>
      </c>
      <c r="C1063" s="3" t="n">
        <v>46063.37449074074</v>
      </c>
      <c r="D1063" s="4">
        <f>(C1063-B1063)*24</f>
        <v/>
      </c>
      <c r="E1063" s="5">
        <f>IF(AND(HOUR(B1063)&gt;=6,HOUR(B1063)&lt;18),"Day Shift","Night Shift")</f>
        <v/>
      </c>
      <c r="F1063" s="6">
        <f>INT(B1063)</f>
        <v/>
      </c>
      <c r="G1063" s="6">
        <f>INT(C1063)</f>
        <v/>
      </c>
    </row>
    <row r="1064">
      <c r="A1064" s="7" t="inlineStr">
        <is>
          <t>EXD55</t>
        </is>
      </c>
      <c r="B1064" s="8" t="n">
        <v>46062.074375</v>
      </c>
      <c r="C1064" s="8" t="n">
        <v>46062.25</v>
      </c>
      <c r="D1064" s="9">
        <f>(C1064-B1064)*24</f>
        <v/>
      </c>
      <c r="E1064" s="10">
        <f>IF(AND(HOUR(B1064)&gt;=6,HOUR(B1064)&lt;18),"Day Shift","Night Shift")</f>
        <v/>
      </c>
      <c r="F1064" s="11">
        <f>INT(B1064)</f>
        <v/>
      </c>
      <c r="G1064" s="11">
        <f>INT(C1064)</f>
        <v/>
      </c>
    </row>
    <row r="1065">
      <c r="A1065" s="2" t="inlineStr">
        <is>
          <t>EXD55</t>
        </is>
      </c>
      <c r="B1065" s="3" t="n">
        <v>46062.25</v>
      </c>
      <c r="C1065" s="3" t="n">
        <v>46062.55903935185</v>
      </c>
      <c r="D1065" s="4">
        <f>(C1065-B1065)*24</f>
        <v/>
      </c>
      <c r="E1065" s="5">
        <f>IF(AND(HOUR(B1065)&gt;=6,HOUR(B1065)&lt;18),"Day Shift","Night Shift")</f>
        <v/>
      </c>
      <c r="F1065" s="6">
        <f>INT(B1065)</f>
        <v/>
      </c>
      <c r="G1065" s="6">
        <f>INT(C1065)</f>
        <v/>
      </c>
    </row>
    <row r="1066">
      <c r="A1066" s="7" t="inlineStr">
        <is>
          <t>EXD56</t>
        </is>
      </c>
      <c r="B1066" s="8" t="n">
        <v>46062.1212037037</v>
      </c>
      <c r="C1066" s="8" t="n">
        <v>46062.25</v>
      </c>
      <c r="D1066" s="9">
        <f>(C1066-B1066)*24</f>
        <v/>
      </c>
      <c r="E1066" s="10">
        <f>IF(AND(HOUR(B1066)&gt;=6,HOUR(B1066)&lt;18),"Day Shift","Night Shift")</f>
        <v/>
      </c>
      <c r="F1066" s="11">
        <f>INT(B1066)</f>
        <v/>
      </c>
      <c r="G1066" s="11">
        <f>INT(C1066)</f>
        <v/>
      </c>
    </row>
    <row r="1067">
      <c r="A1067" s="2" t="inlineStr">
        <is>
          <t>EXD56</t>
        </is>
      </c>
      <c r="B1067" s="3" t="n">
        <v>46062.25</v>
      </c>
      <c r="C1067" s="3" t="n">
        <v>46062.75</v>
      </c>
      <c r="D1067" s="4">
        <f>(C1067-B1067)*24</f>
        <v/>
      </c>
      <c r="E1067" s="5">
        <f>IF(AND(HOUR(B1067)&gt;=6,HOUR(B1067)&lt;18),"Day Shift","Night Shift")</f>
        <v/>
      </c>
      <c r="F1067" s="6">
        <f>INT(B1067)</f>
        <v/>
      </c>
      <c r="G1067" s="6">
        <f>INT(C1067)</f>
        <v/>
      </c>
    </row>
    <row r="1068">
      <c r="A1068" s="7" t="inlineStr">
        <is>
          <t>EXD56</t>
        </is>
      </c>
      <c r="B1068" s="8" t="n">
        <v>46062.75</v>
      </c>
      <c r="C1068" s="8" t="n">
        <v>46063.14159722222</v>
      </c>
      <c r="D1068" s="9">
        <f>(C1068-B1068)*24</f>
        <v/>
      </c>
      <c r="E1068" s="10">
        <f>IF(AND(HOUR(B1068)&gt;=6,HOUR(B1068)&lt;18),"Day Shift","Night Shift")</f>
        <v/>
      </c>
      <c r="F1068" s="11">
        <f>INT(B1068)</f>
        <v/>
      </c>
      <c r="G1068" s="11">
        <f>INT(C1068)</f>
        <v/>
      </c>
    </row>
    <row r="1069">
      <c r="A1069" s="7" t="inlineStr">
        <is>
          <t>EDD1932</t>
        </is>
      </c>
      <c r="B1069" s="8" t="n">
        <v>46062.21559027778</v>
      </c>
      <c r="C1069" s="8" t="n">
        <v>46062.25</v>
      </c>
      <c r="D1069" s="9">
        <f>(C1069-B1069)*24</f>
        <v/>
      </c>
      <c r="E1069" s="10">
        <f>IF(AND(HOUR(B1069)&gt;=6,HOUR(B1069)&lt;18),"Day Shift","Night Shift")</f>
        <v/>
      </c>
      <c r="F1069" s="11">
        <f>INT(B1069)</f>
        <v/>
      </c>
      <c r="G1069" s="11">
        <f>INT(C1069)</f>
        <v/>
      </c>
    </row>
    <row r="1070">
      <c r="A1070" s="2" t="inlineStr">
        <is>
          <t>EDD1932</t>
        </is>
      </c>
      <c r="B1070" s="3" t="n">
        <v>46062.25</v>
      </c>
      <c r="C1070" s="3" t="n">
        <v>46062.61402777778</v>
      </c>
      <c r="D1070" s="4">
        <f>(C1070-B1070)*24</f>
        <v/>
      </c>
      <c r="E1070" s="5">
        <f>IF(AND(HOUR(B1070)&gt;=6,HOUR(B1070)&lt;18),"Day Shift","Night Shift")</f>
        <v/>
      </c>
      <c r="F1070" s="6">
        <f>INT(B1070)</f>
        <v/>
      </c>
      <c r="G1070" s="6">
        <f>INT(C1070)</f>
        <v/>
      </c>
    </row>
    <row r="1071">
      <c r="A1071" s="2" t="inlineStr">
        <is>
          <t>DRE12</t>
        </is>
      </c>
      <c r="B1071" s="3" t="n">
        <v>46062.25350694444</v>
      </c>
      <c r="C1071" s="3" t="n">
        <v>46062.75</v>
      </c>
      <c r="D1071" s="4">
        <f>(C1071-B1071)*24</f>
        <v/>
      </c>
      <c r="E1071" s="5">
        <f>IF(AND(HOUR(B1071)&gt;=6,HOUR(B1071)&lt;18),"Day Shift","Night Shift")</f>
        <v/>
      </c>
      <c r="F1071" s="6">
        <f>INT(B1071)</f>
        <v/>
      </c>
      <c r="G1071" s="6">
        <f>INT(C1071)</f>
        <v/>
      </c>
    </row>
    <row r="1072">
      <c r="A1072" s="7" t="inlineStr">
        <is>
          <t>DRE12</t>
        </is>
      </c>
      <c r="B1072" s="8" t="n">
        <v>46062.75</v>
      </c>
      <c r="C1072" s="8" t="n">
        <v>46063.25</v>
      </c>
      <c r="D1072" s="9">
        <f>(C1072-B1072)*24</f>
        <v/>
      </c>
      <c r="E1072" s="10">
        <f>IF(AND(HOUR(B1072)&gt;=6,HOUR(B1072)&lt;18),"Day Shift","Night Shift")</f>
        <v/>
      </c>
      <c r="F1072" s="11">
        <f>INT(B1072)</f>
        <v/>
      </c>
      <c r="G1072" s="11">
        <f>INT(C1072)</f>
        <v/>
      </c>
    </row>
    <row r="1073">
      <c r="A1073" s="2" t="inlineStr">
        <is>
          <t>DRE12</t>
        </is>
      </c>
      <c r="B1073" s="3" t="n">
        <v>46063.25</v>
      </c>
      <c r="C1073" s="3" t="n">
        <v>46063.75</v>
      </c>
      <c r="D1073" s="4">
        <f>(C1073-B1073)*24</f>
        <v/>
      </c>
      <c r="E1073" s="5">
        <f>IF(AND(HOUR(B1073)&gt;=6,HOUR(B1073)&lt;18),"Day Shift","Night Shift")</f>
        <v/>
      </c>
      <c r="F1073" s="6">
        <f>INT(B1073)</f>
        <v/>
      </c>
      <c r="G1073" s="6">
        <f>INT(C1073)</f>
        <v/>
      </c>
    </row>
    <row r="1074">
      <c r="A1074" s="7" t="inlineStr">
        <is>
          <t>DRE12</t>
        </is>
      </c>
      <c r="B1074" s="8" t="n">
        <v>46063.75</v>
      </c>
      <c r="C1074" s="8" t="n">
        <v>46064.25</v>
      </c>
      <c r="D1074" s="9">
        <f>(C1074-B1074)*24</f>
        <v/>
      </c>
      <c r="E1074" s="10">
        <f>IF(AND(HOUR(B1074)&gt;=6,HOUR(B1074)&lt;18),"Day Shift","Night Shift")</f>
        <v/>
      </c>
      <c r="F1074" s="11">
        <f>INT(B1074)</f>
        <v/>
      </c>
      <c r="G1074" s="11">
        <f>INT(C1074)</f>
        <v/>
      </c>
    </row>
    <row r="1075">
      <c r="A1075" s="2" t="inlineStr">
        <is>
          <t>DRE12</t>
        </is>
      </c>
      <c r="B1075" s="3" t="n">
        <v>46064.25</v>
      </c>
      <c r="C1075" s="3" t="n">
        <v>46064.75</v>
      </c>
      <c r="D1075" s="4">
        <f>(C1075-B1075)*24</f>
        <v/>
      </c>
      <c r="E1075" s="5">
        <f>IF(AND(HOUR(B1075)&gt;=6,HOUR(B1075)&lt;18),"Day Shift","Night Shift")</f>
        <v/>
      </c>
      <c r="F1075" s="6">
        <f>INT(B1075)</f>
        <v/>
      </c>
      <c r="G1075" s="6">
        <f>INT(C1075)</f>
        <v/>
      </c>
    </row>
    <row r="1076">
      <c r="A1076" s="7" t="inlineStr">
        <is>
          <t>DRE12</t>
        </is>
      </c>
      <c r="B1076" s="8" t="n">
        <v>46064.75</v>
      </c>
      <c r="C1076" s="8" t="n">
        <v>46065.25</v>
      </c>
      <c r="D1076" s="9">
        <f>(C1076-B1076)*24</f>
        <v/>
      </c>
      <c r="E1076" s="10">
        <f>IF(AND(HOUR(B1076)&gt;=6,HOUR(B1076)&lt;18),"Day Shift","Night Shift")</f>
        <v/>
      </c>
      <c r="F1076" s="11">
        <f>INT(B1076)</f>
        <v/>
      </c>
      <c r="G1076" s="11">
        <f>INT(C1076)</f>
        <v/>
      </c>
    </row>
    <row r="1077">
      <c r="A1077" s="2" t="inlineStr">
        <is>
          <t>DRE12</t>
        </is>
      </c>
      <c r="B1077" s="3" t="n">
        <v>46065.25</v>
      </c>
      <c r="C1077" s="3" t="n">
        <v>46065.75</v>
      </c>
      <c r="D1077" s="4">
        <f>(C1077-B1077)*24</f>
        <v/>
      </c>
      <c r="E1077" s="5">
        <f>IF(AND(HOUR(B1077)&gt;=6,HOUR(B1077)&lt;18),"Day Shift","Night Shift")</f>
        <v/>
      </c>
      <c r="F1077" s="6">
        <f>INT(B1077)</f>
        <v/>
      </c>
      <c r="G1077" s="6">
        <f>INT(C1077)</f>
        <v/>
      </c>
    </row>
    <row r="1078">
      <c r="A1078" s="7" t="inlineStr">
        <is>
          <t>DRE12</t>
        </is>
      </c>
      <c r="B1078" s="8" t="n">
        <v>46065.75</v>
      </c>
      <c r="C1078" s="8" t="n">
        <v>46066.25</v>
      </c>
      <c r="D1078" s="9">
        <f>(C1078-B1078)*24</f>
        <v/>
      </c>
      <c r="E1078" s="10">
        <f>IF(AND(HOUR(B1078)&gt;=6,HOUR(B1078)&lt;18),"Day Shift","Night Shift")</f>
        <v/>
      </c>
      <c r="F1078" s="11">
        <f>INT(B1078)</f>
        <v/>
      </c>
      <c r="G1078" s="11">
        <f>INT(C1078)</f>
        <v/>
      </c>
    </row>
    <row r="1079">
      <c r="A1079" s="2" t="inlineStr">
        <is>
          <t>DRE12</t>
        </is>
      </c>
      <c r="B1079" s="3" t="n">
        <v>46066.25</v>
      </c>
      <c r="C1079" s="3" t="n">
        <v>46066.54505787037</v>
      </c>
      <c r="D1079" s="4">
        <f>(C1079-B1079)*24</f>
        <v/>
      </c>
      <c r="E1079" s="5">
        <f>IF(AND(HOUR(B1079)&gt;=6,HOUR(B1079)&lt;18),"Day Shift","Night Shift")</f>
        <v/>
      </c>
      <c r="F1079" s="6">
        <f>INT(B1079)</f>
        <v/>
      </c>
      <c r="G1079" s="6">
        <f>INT(C1079)</f>
        <v/>
      </c>
    </row>
    <row r="1080">
      <c r="A1080" s="2" t="inlineStr">
        <is>
          <t>DRE08</t>
        </is>
      </c>
      <c r="B1080" s="3" t="n">
        <v>46062.26118055556</v>
      </c>
      <c r="C1080" s="3" t="n">
        <v>46062.75</v>
      </c>
      <c r="D1080" s="4">
        <f>(C1080-B1080)*24</f>
        <v/>
      </c>
      <c r="E1080" s="5">
        <f>IF(AND(HOUR(B1080)&gt;=6,HOUR(B1080)&lt;18),"Day Shift","Night Shift")</f>
        <v/>
      </c>
      <c r="F1080" s="6">
        <f>INT(B1080)</f>
        <v/>
      </c>
      <c r="G1080" s="6">
        <f>INT(C1080)</f>
        <v/>
      </c>
    </row>
    <row r="1081">
      <c r="A1081" s="7" t="inlineStr">
        <is>
          <t>DRE08</t>
        </is>
      </c>
      <c r="B1081" s="8" t="n">
        <v>46062.75</v>
      </c>
      <c r="C1081" s="8" t="n">
        <v>46063.25</v>
      </c>
      <c r="D1081" s="9">
        <f>(C1081-B1081)*24</f>
        <v/>
      </c>
      <c r="E1081" s="10">
        <f>IF(AND(HOUR(B1081)&gt;=6,HOUR(B1081)&lt;18),"Day Shift","Night Shift")</f>
        <v/>
      </c>
      <c r="F1081" s="11">
        <f>INT(B1081)</f>
        <v/>
      </c>
      <c r="G1081" s="11">
        <f>INT(C1081)</f>
        <v/>
      </c>
    </row>
    <row r="1082">
      <c r="A1082" s="2" t="inlineStr">
        <is>
          <t>DRE08</t>
        </is>
      </c>
      <c r="B1082" s="3" t="n">
        <v>46063.25</v>
      </c>
      <c r="C1082" s="3" t="n">
        <v>46063.75</v>
      </c>
      <c r="D1082" s="4">
        <f>(C1082-B1082)*24</f>
        <v/>
      </c>
      <c r="E1082" s="5">
        <f>IF(AND(HOUR(B1082)&gt;=6,HOUR(B1082)&lt;18),"Day Shift","Night Shift")</f>
        <v/>
      </c>
      <c r="F1082" s="6">
        <f>INT(B1082)</f>
        <v/>
      </c>
      <c r="G1082" s="6">
        <f>INT(C1082)</f>
        <v/>
      </c>
    </row>
    <row r="1083">
      <c r="A1083" s="7" t="inlineStr">
        <is>
          <t>DRE08</t>
        </is>
      </c>
      <c r="B1083" s="8" t="n">
        <v>46063.75</v>
      </c>
      <c r="C1083" s="8" t="n">
        <v>46064.25</v>
      </c>
      <c r="D1083" s="9">
        <f>(C1083-B1083)*24</f>
        <v/>
      </c>
      <c r="E1083" s="10">
        <f>IF(AND(HOUR(B1083)&gt;=6,HOUR(B1083)&lt;18),"Day Shift","Night Shift")</f>
        <v/>
      </c>
      <c r="F1083" s="11">
        <f>INT(B1083)</f>
        <v/>
      </c>
      <c r="G1083" s="11">
        <f>INT(C1083)</f>
        <v/>
      </c>
    </row>
    <row r="1084">
      <c r="A1084" s="2" t="inlineStr">
        <is>
          <t>DRE08</t>
        </is>
      </c>
      <c r="B1084" s="3" t="n">
        <v>46064.25</v>
      </c>
      <c r="C1084" s="3" t="n">
        <v>46064.75</v>
      </c>
      <c r="D1084" s="4">
        <f>(C1084-B1084)*24</f>
        <v/>
      </c>
      <c r="E1084" s="5">
        <f>IF(AND(HOUR(B1084)&gt;=6,HOUR(B1084)&lt;18),"Day Shift","Night Shift")</f>
        <v/>
      </c>
      <c r="F1084" s="6">
        <f>INT(B1084)</f>
        <v/>
      </c>
      <c r="G1084" s="6">
        <f>INT(C1084)</f>
        <v/>
      </c>
    </row>
    <row r="1085">
      <c r="A1085" s="7" t="inlineStr">
        <is>
          <t>DRE08</t>
        </is>
      </c>
      <c r="B1085" s="8" t="n">
        <v>46064.75</v>
      </c>
      <c r="C1085" s="8" t="n">
        <v>46065.25</v>
      </c>
      <c r="D1085" s="9">
        <f>(C1085-B1085)*24</f>
        <v/>
      </c>
      <c r="E1085" s="10">
        <f>IF(AND(HOUR(B1085)&gt;=6,HOUR(B1085)&lt;18),"Day Shift","Night Shift")</f>
        <v/>
      </c>
      <c r="F1085" s="11">
        <f>INT(B1085)</f>
        <v/>
      </c>
      <c r="G1085" s="11">
        <f>INT(C1085)</f>
        <v/>
      </c>
    </row>
    <row r="1086">
      <c r="A1086" s="2" t="inlineStr">
        <is>
          <t>DRE08</t>
        </is>
      </c>
      <c r="B1086" s="3" t="n">
        <v>46065.25</v>
      </c>
      <c r="C1086" s="3" t="n">
        <v>46065.75</v>
      </c>
      <c r="D1086" s="4">
        <f>(C1086-B1086)*24</f>
        <v/>
      </c>
      <c r="E1086" s="5">
        <f>IF(AND(HOUR(B1086)&gt;=6,HOUR(B1086)&lt;18),"Day Shift","Night Shift")</f>
        <v/>
      </c>
      <c r="F1086" s="6">
        <f>INT(B1086)</f>
        <v/>
      </c>
      <c r="G1086" s="6">
        <f>INT(C1086)</f>
        <v/>
      </c>
    </row>
    <row r="1087">
      <c r="A1087" s="7" t="inlineStr">
        <is>
          <t>DRE08</t>
        </is>
      </c>
      <c r="B1087" s="8" t="n">
        <v>46065.75</v>
      </c>
      <c r="C1087" s="8" t="n">
        <v>46066.25</v>
      </c>
      <c r="D1087" s="9">
        <f>(C1087-B1087)*24</f>
        <v/>
      </c>
      <c r="E1087" s="10">
        <f>IF(AND(HOUR(B1087)&gt;=6,HOUR(B1087)&lt;18),"Day Shift","Night Shift")</f>
        <v/>
      </c>
      <c r="F1087" s="11">
        <f>INT(B1087)</f>
        <v/>
      </c>
      <c r="G1087" s="11">
        <f>INT(C1087)</f>
        <v/>
      </c>
    </row>
    <row r="1088">
      <c r="A1088" s="2" t="inlineStr">
        <is>
          <t>DRE08</t>
        </is>
      </c>
      <c r="B1088" s="3" t="n">
        <v>46066.25</v>
      </c>
      <c r="C1088" s="3" t="n">
        <v>46066.75</v>
      </c>
      <c r="D1088" s="4">
        <f>(C1088-B1088)*24</f>
        <v/>
      </c>
      <c r="E1088" s="5">
        <f>IF(AND(HOUR(B1088)&gt;=6,HOUR(B1088)&lt;18),"Day Shift","Night Shift")</f>
        <v/>
      </c>
      <c r="F1088" s="6">
        <f>INT(B1088)</f>
        <v/>
      </c>
      <c r="G1088" s="6">
        <f>INT(C1088)</f>
        <v/>
      </c>
    </row>
    <row r="1089">
      <c r="A1089" s="7" t="inlineStr">
        <is>
          <t>DRE08</t>
        </is>
      </c>
      <c r="B1089" s="8" t="n">
        <v>46066.75</v>
      </c>
      <c r="C1089" s="8" t="n">
        <v>46067.25</v>
      </c>
      <c r="D1089" s="9">
        <f>(C1089-B1089)*24</f>
        <v/>
      </c>
      <c r="E1089" s="10">
        <f>IF(AND(HOUR(B1089)&gt;=6,HOUR(B1089)&lt;18),"Day Shift","Night Shift")</f>
        <v/>
      </c>
      <c r="F1089" s="11">
        <f>INT(B1089)</f>
        <v/>
      </c>
      <c r="G1089" s="11">
        <f>INT(C1089)</f>
        <v/>
      </c>
    </row>
    <row r="1090">
      <c r="A1090" s="2" t="inlineStr">
        <is>
          <t>DRE08</t>
        </is>
      </c>
      <c r="B1090" s="3" t="n">
        <v>46067.25</v>
      </c>
      <c r="C1090" s="3" t="n">
        <v>46067.75</v>
      </c>
      <c r="D1090" s="4">
        <f>(C1090-B1090)*24</f>
        <v/>
      </c>
      <c r="E1090" s="5">
        <f>IF(AND(HOUR(B1090)&gt;=6,HOUR(B1090)&lt;18),"Day Shift","Night Shift")</f>
        <v/>
      </c>
      <c r="F1090" s="6">
        <f>INT(B1090)</f>
        <v/>
      </c>
      <c r="G1090" s="6">
        <f>INT(C1090)</f>
        <v/>
      </c>
    </row>
    <row r="1091">
      <c r="A1091" s="7" t="inlineStr">
        <is>
          <t>DRE08</t>
        </is>
      </c>
      <c r="B1091" s="8" t="n">
        <v>46067.75</v>
      </c>
      <c r="C1091" s="8" t="n">
        <v>46068.25</v>
      </c>
      <c r="D1091" s="9">
        <f>(C1091-B1091)*24</f>
        <v/>
      </c>
      <c r="E1091" s="10">
        <f>IF(AND(HOUR(B1091)&gt;=6,HOUR(B1091)&lt;18),"Day Shift","Night Shift")</f>
        <v/>
      </c>
      <c r="F1091" s="11">
        <f>INT(B1091)</f>
        <v/>
      </c>
      <c r="G1091" s="11">
        <f>INT(C1091)</f>
        <v/>
      </c>
    </row>
    <row r="1092">
      <c r="A1092" s="2" t="inlineStr">
        <is>
          <t>DRE08</t>
        </is>
      </c>
      <c r="B1092" s="3" t="n">
        <v>46068.25</v>
      </c>
      <c r="C1092" s="3" t="n">
        <v>46068.75</v>
      </c>
      <c r="D1092" s="4">
        <f>(C1092-B1092)*24</f>
        <v/>
      </c>
      <c r="E1092" s="5">
        <f>IF(AND(HOUR(B1092)&gt;=6,HOUR(B1092)&lt;18),"Day Shift","Night Shift")</f>
        <v/>
      </c>
      <c r="F1092" s="6">
        <f>INT(B1092)</f>
        <v/>
      </c>
      <c r="G1092" s="6">
        <f>INT(C1092)</f>
        <v/>
      </c>
    </row>
    <row r="1093">
      <c r="A1093" s="7" t="inlineStr">
        <is>
          <t>DRE08</t>
        </is>
      </c>
      <c r="B1093" s="8" t="n">
        <v>46068.75</v>
      </c>
      <c r="C1093" s="8" t="n">
        <v>46069.25</v>
      </c>
      <c r="D1093" s="9">
        <f>(C1093-B1093)*24</f>
        <v/>
      </c>
      <c r="E1093" s="10">
        <f>IF(AND(HOUR(B1093)&gt;=6,HOUR(B1093)&lt;18),"Day Shift","Night Shift")</f>
        <v/>
      </c>
      <c r="F1093" s="11">
        <f>INT(B1093)</f>
        <v/>
      </c>
      <c r="G1093" s="11">
        <f>INT(C1093)</f>
        <v/>
      </c>
    </row>
    <row r="1094">
      <c r="A1094" s="2" t="inlineStr">
        <is>
          <t>DRE08</t>
        </is>
      </c>
      <c r="B1094" s="3" t="n">
        <v>46069.25</v>
      </c>
      <c r="C1094" s="3" t="n">
        <v>46069.70081018518</v>
      </c>
      <c r="D1094" s="4">
        <f>(C1094-B1094)*24</f>
        <v/>
      </c>
      <c r="E1094" s="5">
        <f>IF(AND(HOUR(B1094)&gt;=6,HOUR(B1094)&lt;18),"Day Shift","Night Shift")</f>
        <v/>
      </c>
      <c r="F1094" s="6">
        <f>INT(B1094)</f>
        <v/>
      </c>
      <c r="G1094" s="6">
        <f>INT(C1094)</f>
        <v/>
      </c>
    </row>
    <row r="1095">
      <c r="A1095" s="2" t="inlineStr">
        <is>
          <t>EXD409</t>
        </is>
      </c>
      <c r="B1095" s="3" t="n">
        <v>46062.27344907408</v>
      </c>
      <c r="C1095" s="3" t="n">
        <v>46062.75</v>
      </c>
      <c r="D1095" s="4">
        <f>(C1095-B1095)*24</f>
        <v/>
      </c>
      <c r="E1095" s="5">
        <f>IF(AND(HOUR(B1095)&gt;=6,HOUR(B1095)&lt;18),"Day Shift","Night Shift")</f>
        <v/>
      </c>
      <c r="F1095" s="6">
        <f>INT(B1095)</f>
        <v/>
      </c>
      <c r="G1095" s="6">
        <f>INT(C1095)</f>
        <v/>
      </c>
    </row>
    <row r="1096">
      <c r="A1096" s="7" t="inlineStr">
        <is>
          <t>EXD409</t>
        </is>
      </c>
      <c r="B1096" s="8" t="n">
        <v>46062.75</v>
      </c>
      <c r="C1096" s="8" t="n">
        <v>46063.25</v>
      </c>
      <c r="D1096" s="9">
        <f>(C1096-B1096)*24</f>
        <v/>
      </c>
      <c r="E1096" s="10">
        <f>IF(AND(HOUR(B1096)&gt;=6,HOUR(B1096)&lt;18),"Day Shift","Night Shift")</f>
        <v/>
      </c>
      <c r="F1096" s="11">
        <f>INT(B1096)</f>
        <v/>
      </c>
      <c r="G1096" s="11">
        <f>INT(C1096)</f>
        <v/>
      </c>
    </row>
    <row r="1097">
      <c r="A1097" s="2" t="inlineStr">
        <is>
          <t>EXD409</t>
        </is>
      </c>
      <c r="B1097" s="3" t="n">
        <v>46063.25</v>
      </c>
      <c r="C1097" s="3" t="n">
        <v>46063.75</v>
      </c>
      <c r="D1097" s="4">
        <f>(C1097-B1097)*24</f>
        <v/>
      </c>
      <c r="E1097" s="5">
        <f>IF(AND(HOUR(B1097)&gt;=6,HOUR(B1097)&lt;18),"Day Shift","Night Shift")</f>
        <v/>
      </c>
      <c r="F1097" s="6">
        <f>INT(B1097)</f>
        <v/>
      </c>
      <c r="G1097" s="6">
        <f>INT(C1097)</f>
        <v/>
      </c>
    </row>
    <row r="1098">
      <c r="A1098" s="7" t="inlineStr">
        <is>
          <t>EXD409</t>
        </is>
      </c>
      <c r="B1098" s="8" t="n">
        <v>46063.75</v>
      </c>
      <c r="C1098" s="8" t="n">
        <v>46063.93829861111</v>
      </c>
      <c r="D1098" s="9">
        <f>(C1098-B1098)*24</f>
        <v/>
      </c>
      <c r="E1098" s="10">
        <f>IF(AND(HOUR(B1098)&gt;=6,HOUR(B1098)&lt;18),"Day Shift","Night Shift")</f>
        <v/>
      </c>
      <c r="F1098" s="11">
        <f>INT(B1098)</f>
        <v/>
      </c>
      <c r="G1098" s="11">
        <f>INT(C1098)</f>
        <v/>
      </c>
    </row>
    <row r="1099">
      <c r="A1099" s="2" t="inlineStr">
        <is>
          <t>EDD2541</t>
        </is>
      </c>
      <c r="B1099" s="3" t="n">
        <v>46062.27825231481</v>
      </c>
      <c r="C1099" s="3" t="n">
        <v>46062.61320601852</v>
      </c>
      <c r="D1099" s="4">
        <f>(C1099-B1099)*24</f>
        <v/>
      </c>
      <c r="E1099" s="5">
        <f>IF(AND(HOUR(B1099)&gt;=6,HOUR(B1099)&lt;18),"Day Shift","Night Shift")</f>
        <v/>
      </c>
      <c r="F1099" s="6">
        <f>INT(B1099)</f>
        <v/>
      </c>
      <c r="G1099" s="6">
        <f>INT(C1099)</f>
        <v/>
      </c>
    </row>
    <row r="1100">
      <c r="A1100" s="2" t="inlineStr">
        <is>
          <t>EXD98</t>
        </is>
      </c>
      <c r="B1100" s="3" t="n">
        <v>46062.31671296297</v>
      </c>
      <c r="C1100" s="3" t="n">
        <v>46062.54059027778</v>
      </c>
      <c r="D1100" s="4">
        <f>(C1100-B1100)*24</f>
        <v/>
      </c>
      <c r="E1100" s="5">
        <f>IF(AND(HOUR(B1100)&gt;=6,HOUR(B1100)&lt;18),"Day Shift","Night Shift")</f>
        <v/>
      </c>
      <c r="F1100" s="6">
        <f>INT(B1100)</f>
        <v/>
      </c>
      <c r="G1100" s="6">
        <f>INT(C1100)</f>
        <v/>
      </c>
    </row>
    <row r="1101">
      <c r="A1101" s="2" t="inlineStr">
        <is>
          <t>EXD408;EXD98</t>
        </is>
      </c>
      <c r="B1101" s="3" t="n">
        <v>46062.58339120371</v>
      </c>
      <c r="C1101" s="3" t="n">
        <v>46062.75</v>
      </c>
      <c r="D1101" s="4">
        <f>(C1101-B1101)*24</f>
        <v/>
      </c>
      <c r="E1101" s="5">
        <f>IF(AND(HOUR(B1101)&gt;=6,HOUR(B1101)&lt;18),"Day Shift","Night Shift")</f>
        <v/>
      </c>
      <c r="F1101" s="6">
        <f>INT(B1101)</f>
        <v/>
      </c>
      <c r="G1101" s="6">
        <f>INT(C1101)</f>
        <v/>
      </c>
    </row>
    <row r="1102">
      <c r="A1102" s="7" t="inlineStr">
        <is>
          <t>EXD408;EXD98</t>
        </is>
      </c>
      <c r="B1102" s="8" t="n">
        <v>46062.75</v>
      </c>
      <c r="C1102" s="8" t="n">
        <v>46063.25</v>
      </c>
      <c r="D1102" s="9">
        <f>(C1102-B1102)*24</f>
        <v/>
      </c>
      <c r="E1102" s="10">
        <f>IF(AND(HOUR(B1102)&gt;=6,HOUR(B1102)&lt;18),"Day Shift","Night Shift")</f>
        <v/>
      </c>
      <c r="F1102" s="11">
        <f>INT(B1102)</f>
        <v/>
      </c>
      <c r="G1102" s="11">
        <f>INT(C1102)</f>
        <v/>
      </c>
    </row>
    <row r="1103">
      <c r="A1103" s="2" t="inlineStr">
        <is>
          <t>EXD408;EXD98</t>
        </is>
      </c>
      <c r="B1103" s="3" t="n">
        <v>46063.25</v>
      </c>
      <c r="C1103" s="3" t="n">
        <v>46063.75</v>
      </c>
      <c r="D1103" s="4">
        <f>(C1103-B1103)*24</f>
        <v/>
      </c>
      <c r="E1103" s="5">
        <f>IF(AND(HOUR(B1103)&gt;=6,HOUR(B1103)&lt;18),"Day Shift","Night Shift")</f>
        <v/>
      </c>
      <c r="F1103" s="6">
        <f>INT(B1103)</f>
        <v/>
      </c>
      <c r="G1103" s="6">
        <f>INT(C1103)</f>
        <v/>
      </c>
    </row>
    <row r="1104">
      <c r="A1104" s="7" t="inlineStr">
        <is>
          <t>EXD408;EXD98</t>
        </is>
      </c>
      <c r="B1104" s="8" t="n">
        <v>46063.75</v>
      </c>
      <c r="C1104" s="8" t="n">
        <v>46063.80043981481</v>
      </c>
      <c r="D1104" s="9">
        <f>(C1104-B1104)*24</f>
        <v/>
      </c>
      <c r="E1104" s="10">
        <f>IF(AND(HOUR(B1104)&gt;=6,HOUR(B1104)&lt;18),"Day Shift","Night Shift")</f>
        <v/>
      </c>
      <c r="F1104" s="11">
        <f>INT(B1104)</f>
        <v/>
      </c>
      <c r="G1104" s="11">
        <f>INT(C1104)</f>
        <v/>
      </c>
    </row>
    <row r="1105">
      <c r="A1105" s="2" t="inlineStr">
        <is>
          <t>EDD2541</t>
        </is>
      </c>
      <c r="B1105" s="3" t="n">
        <v>46062.61320601852</v>
      </c>
      <c r="C1105" s="3" t="n">
        <v>46062.75</v>
      </c>
      <c r="D1105" s="4">
        <f>(C1105-B1105)*24</f>
        <v/>
      </c>
      <c r="E1105" s="5">
        <f>IF(AND(HOUR(B1105)&gt;=6,HOUR(B1105)&lt;18),"Day Shift","Night Shift")</f>
        <v/>
      </c>
      <c r="F1105" s="6">
        <f>INT(B1105)</f>
        <v/>
      </c>
      <c r="G1105" s="6">
        <f>INT(C1105)</f>
        <v/>
      </c>
    </row>
    <row r="1106">
      <c r="A1106" s="7" t="inlineStr">
        <is>
          <t>EDD2541</t>
        </is>
      </c>
      <c r="B1106" s="8" t="n">
        <v>46062.75</v>
      </c>
      <c r="C1106" s="8" t="n">
        <v>46062.94579861111</v>
      </c>
      <c r="D1106" s="9">
        <f>(C1106-B1106)*24</f>
        <v/>
      </c>
      <c r="E1106" s="10">
        <f>IF(AND(HOUR(B1106)&gt;=6,HOUR(B1106)&lt;18),"Day Shift","Night Shift")</f>
        <v/>
      </c>
      <c r="F1106" s="11">
        <f>INT(B1106)</f>
        <v/>
      </c>
      <c r="G1106" s="11">
        <f>INT(C1106)</f>
        <v/>
      </c>
    </row>
    <row r="1107">
      <c r="A1107" s="2" t="inlineStr">
        <is>
          <t>EDD1932</t>
        </is>
      </c>
      <c r="B1107" s="3" t="n">
        <v>46062.61402777778</v>
      </c>
      <c r="C1107" s="3" t="n">
        <v>46062.75</v>
      </c>
      <c r="D1107" s="4">
        <f>(C1107-B1107)*24</f>
        <v/>
      </c>
      <c r="E1107" s="5">
        <f>IF(AND(HOUR(B1107)&gt;=6,HOUR(B1107)&lt;18),"Day Shift","Night Shift")</f>
        <v/>
      </c>
      <c r="F1107" s="6">
        <f>INT(B1107)</f>
        <v/>
      </c>
      <c r="G1107" s="6">
        <f>INT(C1107)</f>
        <v/>
      </c>
    </row>
    <row r="1108">
      <c r="A1108" s="7" t="inlineStr">
        <is>
          <t>EDD1932</t>
        </is>
      </c>
      <c r="B1108" s="8" t="n">
        <v>46062.75</v>
      </c>
      <c r="C1108" s="8" t="n">
        <v>46063.02381944445</v>
      </c>
      <c r="D1108" s="9">
        <f>(C1108-B1108)*24</f>
        <v/>
      </c>
      <c r="E1108" s="10">
        <f>IF(AND(HOUR(B1108)&gt;=6,HOUR(B1108)&lt;18),"Day Shift","Night Shift")</f>
        <v/>
      </c>
      <c r="F1108" s="11">
        <f>INT(B1108)</f>
        <v/>
      </c>
      <c r="G1108" s="11">
        <f>INT(C1108)</f>
        <v/>
      </c>
    </row>
    <row r="1109">
      <c r="A1109" s="2" t="inlineStr">
        <is>
          <t>EXD98</t>
        </is>
      </c>
      <c r="B1109" s="3" t="n">
        <v>46062.64407407407</v>
      </c>
      <c r="C1109" s="3" t="n">
        <v>46062.75</v>
      </c>
      <c r="D1109" s="4">
        <f>(C1109-B1109)*24</f>
        <v/>
      </c>
      <c r="E1109" s="5">
        <f>IF(AND(HOUR(B1109)&gt;=6,HOUR(B1109)&lt;18),"Day Shift","Night Shift")</f>
        <v/>
      </c>
      <c r="F1109" s="6">
        <f>INT(B1109)</f>
        <v/>
      </c>
      <c r="G1109" s="6">
        <f>INT(C1109)</f>
        <v/>
      </c>
    </row>
    <row r="1110">
      <c r="A1110" s="7" t="inlineStr">
        <is>
          <t>EXD98</t>
        </is>
      </c>
      <c r="B1110" s="8" t="n">
        <v>46062.75</v>
      </c>
      <c r="C1110" s="8" t="n">
        <v>46063.25</v>
      </c>
      <c r="D1110" s="9">
        <f>(C1110-B1110)*24</f>
        <v/>
      </c>
      <c r="E1110" s="10">
        <f>IF(AND(HOUR(B1110)&gt;=6,HOUR(B1110)&lt;18),"Day Shift","Night Shift")</f>
        <v/>
      </c>
      <c r="F1110" s="11">
        <f>INT(B1110)</f>
        <v/>
      </c>
      <c r="G1110" s="11">
        <f>INT(C1110)</f>
        <v/>
      </c>
    </row>
    <row r="1111">
      <c r="A1111" s="2" t="inlineStr">
        <is>
          <t>EXD98</t>
        </is>
      </c>
      <c r="B1111" s="3" t="n">
        <v>46063.25</v>
      </c>
      <c r="C1111" s="3" t="n">
        <v>46063.3647337963</v>
      </c>
      <c r="D1111" s="4">
        <f>(C1111-B1111)*24</f>
        <v/>
      </c>
      <c r="E1111" s="5">
        <f>IF(AND(HOUR(B1111)&gt;=6,HOUR(B1111)&lt;18),"Day Shift","Night Shift")</f>
        <v/>
      </c>
      <c r="F1111" s="6">
        <f>INT(B1111)</f>
        <v/>
      </c>
      <c r="G1111" s="6">
        <f>INT(C1111)</f>
        <v/>
      </c>
    </row>
    <row r="1112">
      <c r="A1112" s="2" t="inlineStr">
        <is>
          <t>EXD51</t>
        </is>
      </c>
      <c r="B1112" s="3" t="n">
        <v>46062.66947916667</v>
      </c>
      <c r="C1112" s="3" t="n">
        <v>46062.75</v>
      </c>
      <c r="D1112" s="4">
        <f>(C1112-B1112)*24</f>
        <v/>
      </c>
      <c r="E1112" s="5">
        <f>IF(AND(HOUR(B1112)&gt;=6,HOUR(B1112)&lt;18),"Day Shift","Night Shift")</f>
        <v/>
      </c>
      <c r="F1112" s="6">
        <f>INT(B1112)</f>
        <v/>
      </c>
      <c r="G1112" s="6">
        <f>INT(C1112)</f>
        <v/>
      </c>
    </row>
    <row r="1113">
      <c r="A1113" s="7" t="inlineStr">
        <is>
          <t>EXD51</t>
        </is>
      </c>
      <c r="B1113" s="8" t="n">
        <v>46062.75</v>
      </c>
      <c r="C1113" s="8" t="n">
        <v>46063.25</v>
      </c>
      <c r="D1113" s="9">
        <f>(C1113-B1113)*24</f>
        <v/>
      </c>
      <c r="E1113" s="10">
        <f>IF(AND(HOUR(B1113)&gt;=6,HOUR(B1113)&lt;18),"Day Shift","Night Shift")</f>
        <v/>
      </c>
      <c r="F1113" s="11">
        <f>INT(B1113)</f>
        <v/>
      </c>
      <c r="G1113" s="11">
        <f>INT(C1113)</f>
        <v/>
      </c>
    </row>
    <row r="1114">
      <c r="A1114" s="2" t="inlineStr">
        <is>
          <t>EXD51</t>
        </is>
      </c>
      <c r="B1114" s="3" t="n">
        <v>46063.25</v>
      </c>
      <c r="C1114" s="3" t="n">
        <v>46063.75</v>
      </c>
      <c r="D1114" s="4">
        <f>(C1114-B1114)*24</f>
        <v/>
      </c>
      <c r="E1114" s="5">
        <f>IF(AND(HOUR(B1114)&gt;=6,HOUR(B1114)&lt;18),"Day Shift","Night Shift")</f>
        <v/>
      </c>
      <c r="F1114" s="6">
        <f>INT(B1114)</f>
        <v/>
      </c>
      <c r="G1114" s="6">
        <f>INT(C1114)</f>
        <v/>
      </c>
    </row>
    <row r="1115">
      <c r="A1115" s="7" t="inlineStr">
        <is>
          <t>EXD51</t>
        </is>
      </c>
      <c r="B1115" s="8" t="n">
        <v>46063.75</v>
      </c>
      <c r="C1115" s="8" t="n">
        <v>46064.25</v>
      </c>
      <c r="D1115" s="9">
        <f>(C1115-B1115)*24</f>
        <v/>
      </c>
      <c r="E1115" s="10">
        <f>IF(AND(HOUR(B1115)&gt;=6,HOUR(B1115)&lt;18),"Day Shift","Night Shift")</f>
        <v/>
      </c>
      <c r="F1115" s="11">
        <f>INT(B1115)</f>
        <v/>
      </c>
      <c r="G1115" s="11">
        <f>INT(C1115)</f>
        <v/>
      </c>
    </row>
    <row r="1116">
      <c r="A1116" s="2" t="inlineStr">
        <is>
          <t>EXD51</t>
        </is>
      </c>
      <c r="B1116" s="3" t="n">
        <v>46064.25</v>
      </c>
      <c r="C1116" s="3" t="n">
        <v>46064.49450231482</v>
      </c>
      <c r="D1116" s="4">
        <f>(C1116-B1116)*24</f>
        <v/>
      </c>
      <c r="E1116" s="5">
        <f>IF(AND(HOUR(B1116)&gt;=6,HOUR(B1116)&lt;18),"Day Shift","Night Shift")</f>
        <v/>
      </c>
      <c r="F1116" s="6">
        <f>INT(B1116)</f>
        <v/>
      </c>
      <c r="G1116" s="6">
        <f>INT(C1116)</f>
        <v/>
      </c>
    </row>
    <row r="1117">
      <c r="A1117" s="2" t="inlineStr">
        <is>
          <t>EXD60</t>
        </is>
      </c>
      <c r="B1117" s="3" t="n">
        <v>46062.70496527778</v>
      </c>
      <c r="C1117" s="3" t="n">
        <v>46062.75</v>
      </c>
      <c r="D1117" s="4">
        <f>(C1117-B1117)*24</f>
        <v/>
      </c>
      <c r="E1117" s="5">
        <f>IF(AND(HOUR(B1117)&gt;=6,HOUR(B1117)&lt;18),"Day Shift","Night Shift")</f>
        <v/>
      </c>
      <c r="F1117" s="6">
        <f>INT(B1117)</f>
        <v/>
      </c>
      <c r="G1117" s="6">
        <f>INT(C1117)</f>
        <v/>
      </c>
    </row>
    <row r="1118">
      <c r="A1118" s="7" t="inlineStr">
        <is>
          <t>EXD60</t>
        </is>
      </c>
      <c r="B1118" s="8" t="n">
        <v>46062.75</v>
      </c>
      <c r="C1118" s="8" t="n">
        <v>46062.98825231481</v>
      </c>
      <c r="D1118" s="9">
        <f>(C1118-B1118)*24</f>
        <v/>
      </c>
      <c r="E1118" s="10">
        <f>IF(AND(HOUR(B1118)&gt;=6,HOUR(B1118)&lt;18),"Day Shift","Night Shift")</f>
        <v/>
      </c>
      <c r="F1118" s="11">
        <f>INT(B1118)</f>
        <v/>
      </c>
      <c r="G1118" s="11">
        <f>INT(C1118)</f>
        <v/>
      </c>
    </row>
    <row r="1119">
      <c r="A1119" s="2" t="inlineStr">
        <is>
          <t>SHE36</t>
        </is>
      </c>
      <c r="B1119" s="3" t="n">
        <v>46062.70923611111</v>
      </c>
      <c r="C1119" s="3" t="n">
        <v>46062.75</v>
      </c>
      <c r="D1119" s="4">
        <f>(C1119-B1119)*24</f>
        <v/>
      </c>
      <c r="E1119" s="5">
        <f>IF(AND(HOUR(B1119)&gt;=6,HOUR(B1119)&lt;18),"Day Shift","Night Shift")</f>
        <v/>
      </c>
      <c r="F1119" s="6">
        <f>INT(B1119)</f>
        <v/>
      </c>
      <c r="G1119" s="6">
        <f>INT(C1119)</f>
        <v/>
      </c>
    </row>
    <row r="1120">
      <c r="A1120" s="7" t="inlineStr">
        <is>
          <t>SHE36</t>
        </is>
      </c>
      <c r="B1120" s="8" t="n">
        <v>46062.75</v>
      </c>
      <c r="C1120" s="8" t="n">
        <v>46063.25</v>
      </c>
      <c r="D1120" s="9">
        <f>(C1120-B1120)*24</f>
        <v/>
      </c>
      <c r="E1120" s="10">
        <f>IF(AND(HOUR(B1120)&gt;=6,HOUR(B1120)&lt;18),"Day Shift","Night Shift")</f>
        <v/>
      </c>
      <c r="F1120" s="11">
        <f>INT(B1120)</f>
        <v/>
      </c>
      <c r="G1120" s="11">
        <f>INT(C1120)</f>
        <v/>
      </c>
    </row>
    <row r="1121">
      <c r="A1121" s="2" t="inlineStr">
        <is>
          <t>SHE36</t>
        </is>
      </c>
      <c r="B1121" s="3" t="n">
        <v>46063.25</v>
      </c>
      <c r="C1121" s="3" t="n">
        <v>46063.29706018518</v>
      </c>
      <c r="D1121" s="4">
        <f>(C1121-B1121)*24</f>
        <v/>
      </c>
      <c r="E1121" s="5">
        <f>IF(AND(HOUR(B1121)&gt;=6,HOUR(B1121)&lt;18),"Day Shift","Night Shift")</f>
        <v/>
      </c>
      <c r="F1121" s="6">
        <f>INT(B1121)</f>
        <v/>
      </c>
      <c r="G1121" s="6">
        <f>INT(C1121)</f>
        <v/>
      </c>
    </row>
    <row r="1122">
      <c r="A1122" s="7" t="inlineStr">
        <is>
          <t>EXD55</t>
        </is>
      </c>
      <c r="B1122" s="8" t="n">
        <v>46062.8293287037</v>
      </c>
      <c r="C1122" s="8" t="n">
        <v>46063.25</v>
      </c>
      <c r="D1122" s="9">
        <f>(C1122-B1122)*24</f>
        <v/>
      </c>
      <c r="E1122" s="10">
        <f>IF(AND(HOUR(B1122)&gt;=6,HOUR(B1122)&lt;18),"Day Shift","Night Shift")</f>
        <v/>
      </c>
      <c r="F1122" s="11">
        <f>INT(B1122)</f>
        <v/>
      </c>
      <c r="G1122" s="11">
        <f>INT(C1122)</f>
        <v/>
      </c>
    </row>
    <row r="1123">
      <c r="A1123" s="2" t="inlineStr">
        <is>
          <t>EXD55</t>
        </is>
      </c>
      <c r="B1123" s="3" t="n">
        <v>46063.25</v>
      </c>
      <c r="C1123" s="3" t="n">
        <v>46063.75</v>
      </c>
      <c r="D1123" s="4">
        <f>(C1123-B1123)*24</f>
        <v/>
      </c>
      <c r="E1123" s="5">
        <f>IF(AND(HOUR(B1123)&gt;=6,HOUR(B1123)&lt;18),"Day Shift","Night Shift")</f>
        <v/>
      </c>
      <c r="F1123" s="6">
        <f>INT(B1123)</f>
        <v/>
      </c>
      <c r="G1123" s="6">
        <f>INT(C1123)</f>
        <v/>
      </c>
    </row>
    <row r="1124">
      <c r="A1124" s="7" t="inlineStr">
        <is>
          <t>EXD55</t>
        </is>
      </c>
      <c r="B1124" s="8" t="n">
        <v>46063.75</v>
      </c>
      <c r="C1124" s="8" t="n">
        <v>46064.25</v>
      </c>
      <c r="D1124" s="9">
        <f>(C1124-B1124)*24</f>
        <v/>
      </c>
      <c r="E1124" s="10">
        <f>IF(AND(HOUR(B1124)&gt;=6,HOUR(B1124)&lt;18),"Day Shift","Night Shift")</f>
        <v/>
      </c>
      <c r="F1124" s="11">
        <f>INT(B1124)</f>
        <v/>
      </c>
      <c r="G1124" s="11">
        <f>INT(C1124)</f>
        <v/>
      </c>
    </row>
    <row r="1125">
      <c r="A1125" s="2" t="inlineStr">
        <is>
          <t>EXD55</t>
        </is>
      </c>
      <c r="B1125" s="3" t="n">
        <v>46064.25</v>
      </c>
      <c r="C1125" s="3" t="n">
        <v>46064.46803240741</v>
      </c>
      <c r="D1125" s="4">
        <f>(C1125-B1125)*24</f>
        <v/>
      </c>
      <c r="E1125" s="5">
        <f>IF(AND(HOUR(B1125)&gt;=6,HOUR(B1125)&lt;18),"Day Shift","Night Shift")</f>
        <v/>
      </c>
      <c r="F1125" s="6">
        <f>INT(B1125)</f>
        <v/>
      </c>
      <c r="G1125" s="6">
        <f>INT(C1125)</f>
        <v/>
      </c>
    </row>
    <row r="1126">
      <c r="A1126" s="7" t="inlineStr">
        <is>
          <t>EXD73</t>
        </is>
      </c>
      <c r="B1126" s="8" t="n">
        <v>46062.85606481481</v>
      </c>
      <c r="C1126" s="8" t="n">
        <v>46063.25</v>
      </c>
      <c r="D1126" s="9">
        <f>(C1126-B1126)*24</f>
        <v/>
      </c>
      <c r="E1126" s="10">
        <f>IF(AND(HOUR(B1126)&gt;=6,HOUR(B1126)&lt;18),"Day Shift","Night Shift")</f>
        <v/>
      </c>
      <c r="F1126" s="11">
        <f>INT(B1126)</f>
        <v/>
      </c>
      <c r="G1126" s="11">
        <f>INT(C1126)</f>
        <v/>
      </c>
    </row>
    <row r="1127">
      <c r="A1127" s="2" t="inlineStr">
        <is>
          <t>EXD73</t>
        </is>
      </c>
      <c r="B1127" s="3" t="n">
        <v>46063.25</v>
      </c>
      <c r="C1127" s="3" t="n">
        <v>46063.75</v>
      </c>
      <c r="D1127" s="4">
        <f>(C1127-B1127)*24</f>
        <v/>
      </c>
      <c r="E1127" s="5">
        <f>IF(AND(HOUR(B1127)&gt;=6,HOUR(B1127)&lt;18),"Day Shift","Night Shift")</f>
        <v/>
      </c>
      <c r="F1127" s="6">
        <f>INT(B1127)</f>
        <v/>
      </c>
      <c r="G1127" s="6">
        <f>INT(C1127)</f>
        <v/>
      </c>
    </row>
    <row r="1128">
      <c r="A1128" s="7" t="inlineStr">
        <is>
          <t>EXD73</t>
        </is>
      </c>
      <c r="B1128" s="8" t="n">
        <v>46063.75</v>
      </c>
      <c r="C1128" s="8" t="n">
        <v>46064.08315972222</v>
      </c>
      <c r="D1128" s="9">
        <f>(C1128-B1128)*24</f>
        <v/>
      </c>
      <c r="E1128" s="10">
        <f>IF(AND(HOUR(B1128)&gt;=6,HOUR(B1128)&lt;18),"Day Shift","Night Shift")</f>
        <v/>
      </c>
      <c r="F1128" s="11">
        <f>INT(B1128)</f>
        <v/>
      </c>
      <c r="G1128" s="11">
        <f>INT(C1128)</f>
        <v/>
      </c>
    </row>
    <row r="1129">
      <c r="A1129" s="7" t="inlineStr">
        <is>
          <t>DRE42</t>
        </is>
      </c>
      <c r="B1129" s="8" t="n">
        <v>46062.92635416667</v>
      </c>
      <c r="C1129" s="8" t="n">
        <v>46063.25</v>
      </c>
      <c r="D1129" s="9">
        <f>(C1129-B1129)*24</f>
        <v/>
      </c>
      <c r="E1129" s="10">
        <f>IF(AND(HOUR(B1129)&gt;=6,HOUR(B1129)&lt;18),"Day Shift","Night Shift")</f>
        <v/>
      </c>
      <c r="F1129" s="11">
        <f>INT(B1129)</f>
        <v/>
      </c>
      <c r="G1129" s="11">
        <f>INT(C1129)</f>
        <v/>
      </c>
    </row>
    <row r="1130">
      <c r="A1130" s="2" t="inlineStr">
        <is>
          <t>DRE42</t>
        </is>
      </c>
      <c r="B1130" s="3" t="n">
        <v>46063.25</v>
      </c>
      <c r="C1130" s="3" t="n">
        <v>46063.75</v>
      </c>
      <c r="D1130" s="4">
        <f>(C1130-B1130)*24</f>
        <v/>
      </c>
      <c r="E1130" s="5">
        <f>IF(AND(HOUR(B1130)&gt;=6,HOUR(B1130)&lt;18),"Day Shift","Night Shift")</f>
        <v/>
      </c>
      <c r="F1130" s="6">
        <f>INT(B1130)</f>
        <v/>
      </c>
      <c r="G1130" s="6">
        <f>INT(C1130)</f>
        <v/>
      </c>
    </row>
    <row r="1131">
      <c r="A1131" s="7" t="inlineStr">
        <is>
          <t>DRE42</t>
        </is>
      </c>
      <c r="B1131" s="8" t="n">
        <v>46063.75</v>
      </c>
      <c r="C1131" s="8" t="n">
        <v>46063.84479166667</v>
      </c>
      <c r="D1131" s="9">
        <f>(C1131-B1131)*24</f>
        <v/>
      </c>
      <c r="E1131" s="10">
        <f>IF(AND(HOUR(B1131)&gt;=6,HOUR(B1131)&lt;18),"Day Shift","Night Shift")</f>
        <v/>
      </c>
      <c r="F1131" s="11">
        <f>INT(B1131)</f>
        <v/>
      </c>
      <c r="G1131" s="11">
        <f>INT(C1131)</f>
        <v/>
      </c>
    </row>
    <row r="1132">
      <c r="A1132" s="7" t="inlineStr">
        <is>
          <t>EDD175;EDD2134;EDD812</t>
        </is>
      </c>
      <c r="B1132" s="8" t="n">
        <v>46062.94131944444</v>
      </c>
      <c r="C1132" s="8" t="n">
        <v>46063.25</v>
      </c>
      <c r="D1132" s="9">
        <f>(C1132-B1132)*24</f>
        <v/>
      </c>
      <c r="E1132" s="10">
        <f>IF(AND(HOUR(B1132)&gt;=6,HOUR(B1132)&lt;18),"Day Shift","Night Shift")</f>
        <v/>
      </c>
      <c r="F1132" s="11">
        <f>INT(B1132)</f>
        <v/>
      </c>
      <c r="G1132" s="11">
        <f>INT(C1132)</f>
        <v/>
      </c>
    </row>
    <row r="1133">
      <c r="A1133" s="2" t="inlineStr">
        <is>
          <t>EDD175;EDD2134;EDD812</t>
        </is>
      </c>
      <c r="B1133" s="3" t="n">
        <v>46063.25</v>
      </c>
      <c r="C1133" s="3" t="n">
        <v>46063.75</v>
      </c>
      <c r="D1133" s="4">
        <f>(C1133-B1133)*24</f>
        <v/>
      </c>
      <c r="E1133" s="5">
        <f>IF(AND(HOUR(B1133)&gt;=6,HOUR(B1133)&lt;18),"Day Shift","Night Shift")</f>
        <v/>
      </c>
      <c r="F1133" s="6">
        <f>INT(B1133)</f>
        <v/>
      </c>
      <c r="G1133" s="6">
        <f>INT(C1133)</f>
        <v/>
      </c>
    </row>
    <row r="1134">
      <c r="A1134" s="7" t="inlineStr">
        <is>
          <t>EDD175;EDD2134;EDD812</t>
        </is>
      </c>
      <c r="B1134" s="8" t="n">
        <v>46063.75</v>
      </c>
      <c r="C1134" s="8" t="n">
        <v>46064.14886574074</v>
      </c>
      <c r="D1134" s="9">
        <f>(C1134-B1134)*24</f>
        <v/>
      </c>
      <c r="E1134" s="10">
        <f>IF(AND(HOUR(B1134)&gt;=6,HOUR(B1134)&lt;18),"Day Shift","Night Shift")</f>
        <v/>
      </c>
      <c r="F1134" s="11">
        <f>INT(B1134)</f>
        <v/>
      </c>
      <c r="G1134" s="11">
        <f>INT(C1134)</f>
        <v/>
      </c>
    </row>
    <row r="1135">
      <c r="A1135" s="7" t="inlineStr">
        <is>
          <t>EDD2541</t>
        </is>
      </c>
      <c r="B1135" s="8" t="n">
        <v>46062.94579861111</v>
      </c>
      <c r="C1135" s="8" t="n">
        <v>46063.17741898148</v>
      </c>
      <c r="D1135" s="9">
        <f>(C1135-B1135)*24</f>
        <v/>
      </c>
      <c r="E1135" s="10">
        <f>IF(AND(HOUR(B1135)&gt;=6,HOUR(B1135)&lt;18),"Day Shift","Night Shift")</f>
        <v/>
      </c>
      <c r="F1135" s="11">
        <f>INT(B1135)</f>
        <v/>
      </c>
      <c r="G1135" s="11">
        <f>INT(C1135)</f>
        <v/>
      </c>
    </row>
    <row r="1136">
      <c r="A1136" s="7" t="inlineStr">
        <is>
          <t>EXD101</t>
        </is>
      </c>
      <c r="B1136" s="8" t="n">
        <v>46062.96173611111</v>
      </c>
      <c r="C1136" s="8" t="n">
        <v>46063.25</v>
      </c>
      <c r="D1136" s="9">
        <f>(C1136-B1136)*24</f>
        <v/>
      </c>
      <c r="E1136" s="10">
        <f>IF(AND(HOUR(B1136)&gt;=6,HOUR(B1136)&lt;18),"Day Shift","Night Shift")</f>
        <v/>
      </c>
      <c r="F1136" s="11">
        <f>INT(B1136)</f>
        <v/>
      </c>
      <c r="G1136" s="11">
        <f>INT(C1136)</f>
        <v/>
      </c>
    </row>
    <row r="1137">
      <c r="A1137" s="2" t="inlineStr">
        <is>
          <t>EXD101</t>
        </is>
      </c>
      <c r="B1137" s="3" t="n">
        <v>46063.25</v>
      </c>
      <c r="C1137" s="3" t="n">
        <v>46063.75</v>
      </c>
      <c r="D1137" s="4">
        <f>(C1137-B1137)*24</f>
        <v/>
      </c>
      <c r="E1137" s="5">
        <f>IF(AND(HOUR(B1137)&gt;=6,HOUR(B1137)&lt;18),"Day Shift","Night Shift")</f>
        <v/>
      </c>
      <c r="F1137" s="6">
        <f>INT(B1137)</f>
        <v/>
      </c>
      <c r="G1137" s="6">
        <f>INT(C1137)</f>
        <v/>
      </c>
    </row>
    <row r="1138">
      <c r="A1138" s="7" t="inlineStr">
        <is>
          <t>EXD101</t>
        </is>
      </c>
      <c r="B1138" s="8" t="n">
        <v>46063.75</v>
      </c>
      <c r="C1138" s="8" t="n">
        <v>46064.25</v>
      </c>
      <c r="D1138" s="9">
        <f>(C1138-B1138)*24</f>
        <v/>
      </c>
      <c r="E1138" s="10">
        <f>IF(AND(HOUR(B1138)&gt;=6,HOUR(B1138)&lt;18),"Day Shift","Night Shift")</f>
        <v/>
      </c>
      <c r="F1138" s="11">
        <f>INT(B1138)</f>
        <v/>
      </c>
      <c r="G1138" s="11">
        <f>INT(C1138)</f>
        <v/>
      </c>
    </row>
    <row r="1139">
      <c r="A1139" s="2" t="inlineStr">
        <is>
          <t>EXD101</t>
        </is>
      </c>
      <c r="B1139" s="3" t="n">
        <v>46064.25</v>
      </c>
      <c r="C1139" s="3" t="n">
        <v>46064.25278935185</v>
      </c>
      <c r="D1139" s="4">
        <f>(C1139-B1139)*24</f>
        <v/>
      </c>
      <c r="E1139" s="5">
        <f>IF(AND(HOUR(B1139)&gt;=6,HOUR(B1139)&lt;18),"Day Shift","Night Shift")</f>
        <v/>
      </c>
      <c r="F1139" s="6">
        <f>INT(B1139)</f>
        <v/>
      </c>
      <c r="G1139" s="6">
        <f>INT(C1139)</f>
        <v/>
      </c>
    </row>
    <row r="1140">
      <c r="A1140" s="7" t="inlineStr">
        <is>
          <t>EXD61</t>
        </is>
      </c>
      <c r="B1140" s="8" t="n">
        <v>46062.97204861111</v>
      </c>
      <c r="C1140" s="8" t="n">
        <v>46063.25</v>
      </c>
      <c r="D1140" s="9">
        <f>(C1140-B1140)*24</f>
        <v/>
      </c>
      <c r="E1140" s="10">
        <f>IF(AND(HOUR(B1140)&gt;=6,HOUR(B1140)&lt;18),"Day Shift","Night Shift")</f>
        <v/>
      </c>
      <c r="F1140" s="11">
        <f>INT(B1140)</f>
        <v/>
      </c>
      <c r="G1140" s="11">
        <f>INT(C1140)</f>
        <v/>
      </c>
    </row>
    <row r="1141">
      <c r="A1141" s="2" t="inlineStr">
        <is>
          <t>EXD61</t>
        </is>
      </c>
      <c r="B1141" s="3" t="n">
        <v>46063.25</v>
      </c>
      <c r="C1141" s="3" t="n">
        <v>46063.75</v>
      </c>
      <c r="D1141" s="4">
        <f>(C1141-B1141)*24</f>
        <v/>
      </c>
      <c r="E1141" s="5">
        <f>IF(AND(HOUR(B1141)&gt;=6,HOUR(B1141)&lt;18),"Day Shift","Night Shift")</f>
        <v/>
      </c>
      <c r="F1141" s="6">
        <f>INT(B1141)</f>
        <v/>
      </c>
      <c r="G1141" s="6">
        <f>INT(C1141)</f>
        <v/>
      </c>
    </row>
    <row r="1142">
      <c r="A1142" s="7" t="inlineStr">
        <is>
          <t>EXD61</t>
        </is>
      </c>
      <c r="B1142" s="8" t="n">
        <v>46063.75</v>
      </c>
      <c r="C1142" s="8" t="n">
        <v>46064.25</v>
      </c>
      <c r="D1142" s="9">
        <f>(C1142-B1142)*24</f>
        <v/>
      </c>
      <c r="E1142" s="10">
        <f>IF(AND(HOUR(B1142)&gt;=6,HOUR(B1142)&lt;18),"Day Shift","Night Shift")</f>
        <v/>
      </c>
      <c r="F1142" s="11">
        <f>INT(B1142)</f>
        <v/>
      </c>
      <c r="G1142" s="11">
        <f>INT(C1142)</f>
        <v/>
      </c>
    </row>
    <row r="1143">
      <c r="A1143" s="2" t="inlineStr">
        <is>
          <t>EXD61</t>
        </is>
      </c>
      <c r="B1143" s="3" t="n">
        <v>46064.25</v>
      </c>
      <c r="C1143" s="3" t="n">
        <v>46064.75</v>
      </c>
      <c r="D1143" s="4">
        <f>(C1143-B1143)*24</f>
        <v/>
      </c>
      <c r="E1143" s="5">
        <f>IF(AND(HOUR(B1143)&gt;=6,HOUR(B1143)&lt;18),"Day Shift","Night Shift")</f>
        <v/>
      </c>
      <c r="F1143" s="6">
        <f>INT(B1143)</f>
        <v/>
      </c>
      <c r="G1143" s="6">
        <f>INT(C1143)</f>
        <v/>
      </c>
    </row>
    <row r="1144">
      <c r="A1144" s="7" t="inlineStr">
        <is>
          <t>EXD61</t>
        </is>
      </c>
      <c r="B1144" s="8" t="n">
        <v>46064.75</v>
      </c>
      <c r="C1144" s="8" t="n">
        <v>46065.23891203704</v>
      </c>
      <c r="D1144" s="9">
        <f>(C1144-B1144)*24</f>
        <v/>
      </c>
      <c r="E1144" s="10">
        <f>IF(AND(HOUR(B1144)&gt;=6,HOUR(B1144)&lt;18),"Day Shift","Night Shift")</f>
        <v/>
      </c>
      <c r="F1144" s="11">
        <f>INT(B1144)</f>
        <v/>
      </c>
      <c r="G1144" s="11">
        <f>INT(C1144)</f>
        <v/>
      </c>
    </row>
    <row r="1145">
      <c r="A1145" s="7" t="inlineStr">
        <is>
          <t>EXD60</t>
        </is>
      </c>
      <c r="B1145" s="8" t="n">
        <v>46062.98825231481</v>
      </c>
      <c r="C1145" s="8" t="n">
        <v>46063.25</v>
      </c>
      <c r="D1145" s="9">
        <f>(C1145-B1145)*24</f>
        <v/>
      </c>
      <c r="E1145" s="10">
        <f>IF(AND(HOUR(B1145)&gt;=6,HOUR(B1145)&lt;18),"Day Shift","Night Shift")</f>
        <v/>
      </c>
      <c r="F1145" s="11">
        <f>INT(B1145)</f>
        <v/>
      </c>
      <c r="G1145" s="11">
        <f>INT(C1145)</f>
        <v/>
      </c>
    </row>
    <row r="1146">
      <c r="A1146" s="2" t="inlineStr">
        <is>
          <t>EXD60</t>
        </is>
      </c>
      <c r="B1146" s="3" t="n">
        <v>46063.25</v>
      </c>
      <c r="C1146" s="3" t="n">
        <v>46063.35317129629</v>
      </c>
      <c r="D1146" s="4">
        <f>(C1146-B1146)*24</f>
        <v/>
      </c>
      <c r="E1146" s="5">
        <f>IF(AND(HOUR(B1146)&gt;=6,HOUR(B1146)&lt;18),"Day Shift","Night Shift")</f>
        <v/>
      </c>
      <c r="F1146" s="6">
        <f>INT(B1146)</f>
        <v/>
      </c>
      <c r="G1146" s="6">
        <f>INT(C1146)</f>
        <v/>
      </c>
    </row>
    <row r="1147">
      <c r="A1147" s="7" t="inlineStr">
        <is>
          <t>LDW265</t>
        </is>
      </c>
      <c r="B1147" s="8" t="n">
        <v>46062.99068287037</v>
      </c>
      <c r="C1147" s="8" t="n">
        <v>46063.25</v>
      </c>
      <c r="D1147" s="9">
        <f>(C1147-B1147)*24</f>
        <v/>
      </c>
      <c r="E1147" s="10">
        <f>IF(AND(HOUR(B1147)&gt;=6,HOUR(B1147)&lt;18),"Day Shift","Night Shift")</f>
        <v/>
      </c>
      <c r="F1147" s="11">
        <f>INT(B1147)</f>
        <v/>
      </c>
      <c r="G1147" s="11">
        <f>INT(C1147)</f>
        <v/>
      </c>
    </row>
    <row r="1148">
      <c r="A1148" s="2" t="inlineStr">
        <is>
          <t>LDW265</t>
        </is>
      </c>
      <c r="B1148" s="3" t="n">
        <v>46063.25</v>
      </c>
      <c r="C1148" s="3" t="n">
        <v>46063.75</v>
      </c>
      <c r="D1148" s="4">
        <f>(C1148-B1148)*24</f>
        <v/>
      </c>
      <c r="E1148" s="5">
        <f>IF(AND(HOUR(B1148)&gt;=6,HOUR(B1148)&lt;18),"Day Shift","Night Shift")</f>
        <v/>
      </c>
      <c r="F1148" s="6">
        <f>INT(B1148)</f>
        <v/>
      </c>
      <c r="G1148" s="6">
        <f>INT(C1148)</f>
        <v/>
      </c>
    </row>
    <row r="1149">
      <c r="A1149" s="7" t="inlineStr">
        <is>
          <t>LDW265</t>
        </is>
      </c>
      <c r="B1149" s="8" t="n">
        <v>46063.75</v>
      </c>
      <c r="C1149" s="8" t="n">
        <v>46064.25</v>
      </c>
      <c r="D1149" s="9">
        <f>(C1149-B1149)*24</f>
        <v/>
      </c>
      <c r="E1149" s="10">
        <f>IF(AND(HOUR(B1149)&gt;=6,HOUR(B1149)&lt;18),"Day Shift","Night Shift")</f>
        <v/>
      </c>
      <c r="F1149" s="11">
        <f>INT(B1149)</f>
        <v/>
      </c>
      <c r="G1149" s="11">
        <f>INT(C1149)</f>
        <v/>
      </c>
    </row>
    <row r="1150">
      <c r="A1150" s="2" t="inlineStr">
        <is>
          <t>LDW265</t>
        </is>
      </c>
      <c r="B1150" s="3" t="n">
        <v>46064.25</v>
      </c>
      <c r="C1150" s="3" t="n">
        <v>46064.75</v>
      </c>
      <c r="D1150" s="4">
        <f>(C1150-B1150)*24</f>
        <v/>
      </c>
      <c r="E1150" s="5">
        <f>IF(AND(HOUR(B1150)&gt;=6,HOUR(B1150)&lt;18),"Day Shift","Night Shift")</f>
        <v/>
      </c>
      <c r="F1150" s="6">
        <f>INT(B1150)</f>
        <v/>
      </c>
      <c r="G1150" s="6">
        <f>INT(C1150)</f>
        <v/>
      </c>
    </row>
    <row r="1151">
      <c r="A1151" s="7" t="inlineStr">
        <is>
          <t>LDW265</t>
        </is>
      </c>
      <c r="B1151" s="8" t="n">
        <v>46064.75</v>
      </c>
      <c r="C1151" s="8" t="n">
        <v>46065.25</v>
      </c>
      <c r="D1151" s="9">
        <f>(C1151-B1151)*24</f>
        <v/>
      </c>
      <c r="E1151" s="10">
        <f>IF(AND(HOUR(B1151)&gt;=6,HOUR(B1151)&lt;18),"Day Shift","Night Shift")</f>
        <v/>
      </c>
      <c r="F1151" s="11">
        <f>INT(B1151)</f>
        <v/>
      </c>
      <c r="G1151" s="11">
        <f>INT(C1151)</f>
        <v/>
      </c>
    </row>
    <row r="1152">
      <c r="A1152" s="2" t="inlineStr">
        <is>
          <t>LDW265</t>
        </is>
      </c>
      <c r="B1152" s="3" t="n">
        <v>46065.25</v>
      </c>
      <c r="C1152" s="3" t="n">
        <v>46065.75</v>
      </c>
      <c r="D1152" s="4">
        <f>(C1152-B1152)*24</f>
        <v/>
      </c>
      <c r="E1152" s="5">
        <f>IF(AND(HOUR(B1152)&gt;=6,HOUR(B1152)&lt;18),"Day Shift","Night Shift")</f>
        <v/>
      </c>
      <c r="F1152" s="6">
        <f>INT(B1152)</f>
        <v/>
      </c>
      <c r="G1152" s="6">
        <f>INT(C1152)</f>
        <v/>
      </c>
    </row>
    <row r="1153">
      <c r="A1153" s="7" t="inlineStr">
        <is>
          <t>LDW265</t>
        </is>
      </c>
      <c r="B1153" s="8" t="n">
        <v>46065.75</v>
      </c>
      <c r="C1153" s="8" t="n">
        <v>46066.25</v>
      </c>
      <c r="D1153" s="9">
        <f>(C1153-B1153)*24</f>
        <v/>
      </c>
      <c r="E1153" s="10">
        <f>IF(AND(HOUR(B1153)&gt;=6,HOUR(B1153)&lt;18),"Day Shift","Night Shift")</f>
        <v/>
      </c>
      <c r="F1153" s="11">
        <f>INT(B1153)</f>
        <v/>
      </c>
      <c r="G1153" s="11">
        <f>INT(C1153)</f>
        <v/>
      </c>
    </row>
    <row r="1154">
      <c r="A1154" s="2" t="inlineStr">
        <is>
          <t>LDW265</t>
        </is>
      </c>
      <c r="B1154" s="3" t="n">
        <v>46066.25</v>
      </c>
      <c r="C1154" s="3" t="n">
        <v>46066.75</v>
      </c>
      <c r="D1154" s="4">
        <f>(C1154-B1154)*24</f>
        <v/>
      </c>
      <c r="E1154" s="5">
        <f>IF(AND(HOUR(B1154)&gt;=6,HOUR(B1154)&lt;18),"Day Shift","Night Shift")</f>
        <v/>
      </c>
      <c r="F1154" s="6">
        <f>INT(B1154)</f>
        <v/>
      </c>
      <c r="G1154" s="6">
        <f>INT(C1154)</f>
        <v/>
      </c>
    </row>
    <row r="1155">
      <c r="A1155" s="7" t="inlineStr">
        <is>
          <t>LDW265</t>
        </is>
      </c>
      <c r="B1155" s="8" t="n">
        <v>46066.75</v>
      </c>
      <c r="C1155" s="8" t="n">
        <v>46067.25</v>
      </c>
      <c r="D1155" s="9">
        <f>(C1155-B1155)*24</f>
        <v/>
      </c>
      <c r="E1155" s="10">
        <f>IF(AND(HOUR(B1155)&gt;=6,HOUR(B1155)&lt;18),"Day Shift","Night Shift")</f>
        <v/>
      </c>
      <c r="F1155" s="11">
        <f>INT(B1155)</f>
        <v/>
      </c>
      <c r="G1155" s="11">
        <f>INT(C1155)</f>
        <v/>
      </c>
    </row>
    <row r="1156">
      <c r="A1156" s="2" t="inlineStr">
        <is>
          <t>LDW265</t>
        </is>
      </c>
      <c r="B1156" s="3" t="n">
        <v>46067.25</v>
      </c>
      <c r="C1156" s="3" t="n">
        <v>46067.49390046296</v>
      </c>
      <c r="D1156" s="4">
        <f>(C1156-B1156)*24</f>
        <v/>
      </c>
      <c r="E1156" s="5">
        <f>IF(AND(HOUR(B1156)&gt;=6,HOUR(B1156)&lt;18),"Day Shift","Night Shift")</f>
        <v/>
      </c>
      <c r="F1156" s="6">
        <f>INT(B1156)</f>
        <v/>
      </c>
      <c r="G1156" s="6">
        <f>INT(C1156)</f>
        <v/>
      </c>
    </row>
    <row r="1157">
      <c r="A1157" s="7" t="inlineStr">
        <is>
          <t>EDD1932;EDD2541</t>
        </is>
      </c>
      <c r="B1157" s="8" t="n">
        <v>46063.02381944445</v>
      </c>
      <c r="C1157" s="8" t="n">
        <v>46063.25</v>
      </c>
      <c r="D1157" s="9">
        <f>(C1157-B1157)*24</f>
        <v/>
      </c>
      <c r="E1157" s="10">
        <f>IF(AND(HOUR(B1157)&gt;=6,HOUR(B1157)&lt;18),"Day Shift","Night Shift")</f>
        <v/>
      </c>
      <c r="F1157" s="11">
        <f>INT(B1157)</f>
        <v/>
      </c>
      <c r="G1157" s="11">
        <f>INT(C1157)</f>
        <v/>
      </c>
    </row>
    <row r="1158">
      <c r="A1158" s="2" t="inlineStr">
        <is>
          <t>EDD1932;EDD2541</t>
        </is>
      </c>
      <c r="B1158" s="3" t="n">
        <v>46063.25</v>
      </c>
      <c r="C1158" s="3" t="n">
        <v>46063.32519675926</v>
      </c>
      <c r="D1158" s="4">
        <f>(C1158-B1158)*24</f>
        <v/>
      </c>
      <c r="E1158" s="5">
        <f>IF(AND(HOUR(B1158)&gt;=6,HOUR(B1158)&lt;18),"Day Shift","Night Shift")</f>
        <v/>
      </c>
      <c r="F1158" s="6">
        <f>INT(B1158)</f>
        <v/>
      </c>
      <c r="G1158" s="6">
        <f>INT(C1158)</f>
        <v/>
      </c>
    </row>
    <row r="1159">
      <c r="A1159" s="7" t="inlineStr">
        <is>
          <t>EXD56</t>
        </is>
      </c>
      <c r="B1159" s="8" t="n">
        <v>46063.14159722222</v>
      </c>
      <c r="C1159" s="8" t="n">
        <v>46063.25</v>
      </c>
      <c r="D1159" s="9">
        <f>(C1159-B1159)*24</f>
        <v/>
      </c>
      <c r="E1159" s="10">
        <f>IF(AND(HOUR(B1159)&gt;=6,HOUR(B1159)&lt;18),"Day Shift","Night Shift")</f>
        <v/>
      </c>
      <c r="F1159" s="11">
        <f>INT(B1159)</f>
        <v/>
      </c>
      <c r="G1159" s="11">
        <f>INT(C1159)</f>
        <v/>
      </c>
    </row>
    <row r="1160">
      <c r="A1160" s="2" t="inlineStr">
        <is>
          <t>EXD56</t>
        </is>
      </c>
      <c r="B1160" s="3" t="n">
        <v>46063.25</v>
      </c>
      <c r="C1160" s="3" t="n">
        <v>46063.75</v>
      </c>
      <c r="D1160" s="4">
        <f>(C1160-B1160)*24</f>
        <v/>
      </c>
      <c r="E1160" s="5">
        <f>IF(AND(HOUR(B1160)&gt;=6,HOUR(B1160)&lt;18),"Day Shift","Night Shift")</f>
        <v/>
      </c>
      <c r="F1160" s="6">
        <f>INT(B1160)</f>
        <v/>
      </c>
      <c r="G1160" s="6">
        <f>INT(C1160)</f>
        <v/>
      </c>
    </row>
    <row r="1161">
      <c r="A1161" s="7" t="inlineStr">
        <is>
          <t>EXD56</t>
        </is>
      </c>
      <c r="B1161" s="8" t="n">
        <v>46063.75</v>
      </c>
      <c r="C1161" s="8" t="n">
        <v>46063.849375</v>
      </c>
      <c r="D1161" s="9">
        <f>(C1161-B1161)*24</f>
        <v/>
      </c>
      <c r="E1161" s="10">
        <f>IF(AND(HOUR(B1161)&gt;=6,HOUR(B1161)&lt;18),"Day Shift","Night Shift")</f>
        <v/>
      </c>
      <c r="F1161" s="11">
        <f>INT(B1161)</f>
        <v/>
      </c>
      <c r="G1161" s="11">
        <f>INT(C1161)</f>
        <v/>
      </c>
    </row>
    <row r="1162">
      <c r="A1162" s="7" t="inlineStr">
        <is>
          <t>EXD100</t>
        </is>
      </c>
      <c r="B1162" s="8" t="n">
        <v>46063.17380787037</v>
      </c>
      <c r="C1162" s="8" t="n">
        <v>46063.25</v>
      </c>
      <c r="D1162" s="9">
        <f>(C1162-B1162)*24</f>
        <v/>
      </c>
      <c r="E1162" s="10">
        <f>IF(AND(HOUR(B1162)&gt;=6,HOUR(B1162)&lt;18),"Day Shift","Night Shift")</f>
        <v/>
      </c>
      <c r="F1162" s="11">
        <f>INT(B1162)</f>
        <v/>
      </c>
      <c r="G1162" s="11">
        <f>INT(C1162)</f>
        <v/>
      </c>
    </row>
    <row r="1163">
      <c r="A1163" s="2" t="inlineStr">
        <is>
          <t>EXD100</t>
        </is>
      </c>
      <c r="B1163" s="3" t="n">
        <v>46063.25</v>
      </c>
      <c r="C1163" s="3" t="n">
        <v>46063.75</v>
      </c>
      <c r="D1163" s="4">
        <f>(C1163-B1163)*24</f>
        <v/>
      </c>
      <c r="E1163" s="5">
        <f>IF(AND(HOUR(B1163)&gt;=6,HOUR(B1163)&lt;18),"Day Shift","Night Shift")</f>
        <v/>
      </c>
      <c r="F1163" s="6">
        <f>INT(B1163)</f>
        <v/>
      </c>
      <c r="G1163" s="6">
        <f>INT(C1163)</f>
        <v/>
      </c>
    </row>
    <row r="1164">
      <c r="A1164" s="7" t="inlineStr">
        <is>
          <t>EXD100</t>
        </is>
      </c>
      <c r="B1164" s="8" t="n">
        <v>46063.75</v>
      </c>
      <c r="C1164" s="8" t="n">
        <v>46063.98752314815</v>
      </c>
      <c r="D1164" s="9">
        <f>(C1164-B1164)*24</f>
        <v/>
      </c>
      <c r="E1164" s="10">
        <f>IF(AND(HOUR(B1164)&gt;=6,HOUR(B1164)&lt;18),"Day Shift","Night Shift")</f>
        <v/>
      </c>
      <c r="F1164" s="11">
        <f>INT(B1164)</f>
        <v/>
      </c>
      <c r="G1164" s="11">
        <f>INT(C1164)</f>
        <v/>
      </c>
    </row>
    <row r="1165">
      <c r="A1165" s="2" t="inlineStr">
        <is>
          <t>R04N Blockage</t>
        </is>
      </c>
      <c r="B1165" s="3" t="n">
        <v>46063.25</v>
      </c>
      <c r="C1165" s="3" t="n">
        <v>46063.75</v>
      </c>
      <c r="D1165" s="4">
        <f>(C1165-B1165)*24</f>
        <v/>
      </c>
      <c r="E1165" s="5">
        <f>IF(AND(HOUR(B1165)&gt;=6,HOUR(B1165)&lt;18),"Day Shift","Night Shift")</f>
        <v/>
      </c>
      <c r="F1165" s="6">
        <f>INT(B1165)</f>
        <v/>
      </c>
      <c r="G1165" s="6">
        <f>INT(C1165)</f>
        <v/>
      </c>
    </row>
    <row r="1166">
      <c r="A1166" s="7" t="inlineStr">
        <is>
          <t>R04N Blockage</t>
        </is>
      </c>
      <c r="B1166" s="8" t="n">
        <v>46063.75</v>
      </c>
      <c r="C1166" s="8" t="n">
        <v>46064.25</v>
      </c>
      <c r="D1166" s="9">
        <f>(C1166-B1166)*24</f>
        <v/>
      </c>
      <c r="E1166" s="10">
        <f>IF(AND(HOUR(B1166)&gt;=6,HOUR(B1166)&lt;18),"Day Shift","Night Shift")</f>
        <v/>
      </c>
      <c r="F1166" s="11">
        <f>INT(B1166)</f>
        <v/>
      </c>
      <c r="G1166" s="11">
        <f>INT(C1166)</f>
        <v/>
      </c>
    </row>
    <row r="1167">
      <c r="A1167" s="2" t="inlineStr">
        <is>
          <t>R04N Blockage</t>
        </is>
      </c>
      <c r="B1167" s="3" t="n">
        <v>46064.25</v>
      </c>
      <c r="C1167" s="3" t="n">
        <v>46064.75</v>
      </c>
      <c r="D1167" s="4">
        <f>(C1167-B1167)*24</f>
        <v/>
      </c>
      <c r="E1167" s="5">
        <f>IF(AND(HOUR(B1167)&gt;=6,HOUR(B1167)&lt;18),"Day Shift","Night Shift")</f>
        <v/>
      </c>
      <c r="F1167" s="6">
        <f>INT(B1167)</f>
        <v/>
      </c>
      <c r="G1167" s="6">
        <f>INT(C1167)</f>
        <v/>
      </c>
    </row>
    <row r="1168">
      <c r="A1168" s="7" t="inlineStr">
        <is>
          <t>R04N Blockage</t>
        </is>
      </c>
      <c r="B1168" s="8" t="n">
        <v>46064.75</v>
      </c>
      <c r="C1168" s="8" t="n">
        <v>46065.25</v>
      </c>
      <c r="D1168" s="9">
        <f>(C1168-B1168)*24</f>
        <v/>
      </c>
      <c r="E1168" s="10">
        <f>IF(AND(HOUR(B1168)&gt;=6,HOUR(B1168)&lt;18),"Day Shift","Night Shift")</f>
        <v/>
      </c>
      <c r="F1168" s="11">
        <f>INT(B1168)</f>
        <v/>
      </c>
      <c r="G1168" s="11">
        <f>INT(C1168)</f>
        <v/>
      </c>
    </row>
    <row r="1169">
      <c r="A1169" s="2" t="inlineStr">
        <is>
          <t>R04N Blockage</t>
        </is>
      </c>
      <c r="B1169" s="3" t="n">
        <v>46065.25</v>
      </c>
      <c r="C1169" s="3" t="n">
        <v>46065.75</v>
      </c>
      <c r="D1169" s="4">
        <f>(C1169-B1169)*24</f>
        <v/>
      </c>
      <c r="E1169" s="5">
        <f>IF(AND(HOUR(B1169)&gt;=6,HOUR(B1169)&lt;18),"Day Shift","Night Shift")</f>
        <v/>
      </c>
      <c r="F1169" s="6">
        <f>INT(B1169)</f>
        <v/>
      </c>
      <c r="G1169" s="6">
        <f>INT(C1169)</f>
        <v/>
      </c>
    </row>
    <row r="1170">
      <c r="A1170" s="7" t="inlineStr">
        <is>
          <t>R04N Blockage</t>
        </is>
      </c>
      <c r="B1170" s="8" t="n">
        <v>46065.75</v>
      </c>
      <c r="C1170" s="8" t="n">
        <v>46066.25</v>
      </c>
      <c r="D1170" s="9">
        <f>(C1170-B1170)*24</f>
        <v/>
      </c>
      <c r="E1170" s="10">
        <f>IF(AND(HOUR(B1170)&gt;=6,HOUR(B1170)&lt;18),"Day Shift","Night Shift")</f>
        <v/>
      </c>
      <c r="F1170" s="11">
        <f>INT(B1170)</f>
        <v/>
      </c>
      <c r="G1170" s="11">
        <f>INT(C1170)</f>
        <v/>
      </c>
    </row>
    <row r="1171">
      <c r="A1171" s="2" t="inlineStr">
        <is>
          <t>R04N Blockage</t>
        </is>
      </c>
      <c r="B1171" s="3" t="n">
        <v>46066.25</v>
      </c>
      <c r="C1171" s="3" t="n">
        <v>46066.75</v>
      </c>
      <c r="D1171" s="4">
        <f>(C1171-B1171)*24</f>
        <v/>
      </c>
      <c r="E1171" s="5">
        <f>IF(AND(HOUR(B1171)&gt;=6,HOUR(B1171)&lt;18),"Day Shift","Night Shift")</f>
        <v/>
      </c>
      <c r="F1171" s="6">
        <f>INT(B1171)</f>
        <v/>
      </c>
      <c r="G1171" s="6">
        <f>INT(C1171)</f>
        <v/>
      </c>
    </row>
    <row r="1172">
      <c r="A1172" s="7" t="inlineStr">
        <is>
          <t>R04N Blockage</t>
        </is>
      </c>
      <c r="B1172" s="8" t="n">
        <v>46066.75</v>
      </c>
      <c r="C1172" s="8" t="n">
        <v>46067.25</v>
      </c>
      <c r="D1172" s="9">
        <f>(C1172-B1172)*24</f>
        <v/>
      </c>
      <c r="E1172" s="10">
        <f>IF(AND(HOUR(B1172)&gt;=6,HOUR(B1172)&lt;18),"Day Shift","Night Shift")</f>
        <v/>
      </c>
      <c r="F1172" s="11">
        <f>INT(B1172)</f>
        <v/>
      </c>
      <c r="G1172" s="11">
        <f>INT(C1172)</f>
        <v/>
      </c>
    </row>
    <row r="1173">
      <c r="A1173" s="2" t="inlineStr">
        <is>
          <t>R04N Blockage</t>
        </is>
      </c>
      <c r="B1173" s="3" t="n">
        <v>46067.25</v>
      </c>
      <c r="C1173" s="3" t="n">
        <v>46067.75</v>
      </c>
      <c r="D1173" s="4">
        <f>(C1173-B1173)*24</f>
        <v/>
      </c>
      <c r="E1173" s="5">
        <f>IF(AND(HOUR(B1173)&gt;=6,HOUR(B1173)&lt;18),"Day Shift","Night Shift")</f>
        <v/>
      </c>
      <c r="F1173" s="6">
        <f>INT(B1173)</f>
        <v/>
      </c>
      <c r="G1173" s="6">
        <f>INT(C1173)</f>
        <v/>
      </c>
    </row>
    <row r="1174">
      <c r="A1174" s="7" t="inlineStr">
        <is>
          <t>R04N Blockage</t>
        </is>
      </c>
      <c r="B1174" s="8" t="n">
        <v>46067.75</v>
      </c>
      <c r="C1174" s="8" t="n">
        <v>46068.25</v>
      </c>
      <c r="D1174" s="9">
        <f>(C1174-B1174)*24</f>
        <v/>
      </c>
      <c r="E1174" s="10">
        <f>IF(AND(HOUR(B1174)&gt;=6,HOUR(B1174)&lt;18),"Day Shift","Night Shift")</f>
        <v/>
      </c>
      <c r="F1174" s="11">
        <f>INT(B1174)</f>
        <v/>
      </c>
      <c r="G1174" s="11">
        <f>INT(C1174)</f>
        <v/>
      </c>
    </row>
    <row r="1175">
      <c r="A1175" s="2" t="inlineStr">
        <is>
          <t>R04N Blockage</t>
        </is>
      </c>
      <c r="B1175" s="3" t="n">
        <v>46068.25</v>
      </c>
      <c r="C1175" s="3" t="n">
        <v>46068.75</v>
      </c>
      <c r="D1175" s="4">
        <f>(C1175-B1175)*24</f>
        <v/>
      </c>
      <c r="E1175" s="5">
        <f>IF(AND(HOUR(B1175)&gt;=6,HOUR(B1175)&lt;18),"Day Shift","Night Shift")</f>
        <v/>
      </c>
      <c r="F1175" s="6">
        <f>INT(B1175)</f>
        <v/>
      </c>
      <c r="G1175" s="6">
        <f>INT(C1175)</f>
        <v/>
      </c>
    </row>
    <row r="1176">
      <c r="A1176" s="7" t="inlineStr">
        <is>
          <t>R04N Blockage</t>
        </is>
      </c>
      <c r="B1176" s="8" t="n">
        <v>46068.75</v>
      </c>
      <c r="C1176" s="8" t="n">
        <v>46069.25</v>
      </c>
      <c r="D1176" s="9">
        <f>(C1176-B1176)*24</f>
        <v/>
      </c>
      <c r="E1176" s="10">
        <f>IF(AND(HOUR(B1176)&gt;=6,HOUR(B1176)&lt;18),"Day Shift","Night Shift")</f>
        <v/>
      </c>
      <c r="F1176" s="11">
        <f>INT(B1176)</f>
        <v/>
      </c>
      <c r="G1176" s="11">
        <f>INT(C1176)</f>
        <v/>
      </c>
    </row>
    <row r="1177">
      <c r="A1177" s="2" t="inlineStr">
        <is>
          <t>R04N Blockage</t>
        </is>
      </c>
      <c r="B1177" s="3" t="n">
        <v>46069.25</v>
      </c>
      <c r="C1177" s="3" t="n">
        <v>46069.75</v>
      </c>
      <c r="D1177" s="4">
        <f>(C1177-B1177)*24</f>
        <v/>
      </c>
      <c r="E1177" s="5">
        <f>IF(AND(HOUR(B1177)&gt;=6,HOUR(B1177)&lt;18),"Day Shift","Night Shift")</f>
        <v/>
      </c>
      <c r="F1177" s="6">
        <f>INT(B1177)</f>
        <v/>
      </c>
      <c r="G1177" s="6">
        <f>INT(C1177)</f>
        <v/>
      </c>
    </row>
    <row r="1178">
      <c r="A1178" s="7" t="inlineStr">
        <is>
          <t>R04N Blockage</t>
        </is>
      </c>
      <c r="B1178" s="8" t="n">
        <v>46069.75</v>
      </c>
      <c r="C1178" s="8" t="n">
        <v>46070.25</v>
      </c>
      <c r="D1178" s="9">
        <f>(C1178-B1178)*24</f>
        <v/>
      </c>
      <c r="E1178" s="10">
        <f>IF(AND(HOUR(B1178)&gt;=6,HOUR(B1178)&lt;18),"Day Shift","Night Shift")</f>
        <v/>
      </c>
      <c r="F1178" s="11">
        <f>INT(B1178)</f>
        <v/>
      </c>
      <c r="G1178" s="11">
        <f>INT(C1178)</f>
        <v/>
      </c>
    </row>
    <row r="1179">
      <c r="A1179" s="2" t="inlineStr">
        <is>
          <t>R04N Blockage</t>
        </is>
      </c>
      <c r="B1179" s="3" t="n">
        <v>46070.25</v>
      </c>
      <c r="C1179" s="3" t="n">
        <v>46070.75</v>
      </c>
      <c r="D1179" s="4">
        <f>(C1179-B1179)*24</f>
        <v/>
      </c>
      <c r="E1179" s="5">
        <f>IF(AND(HOUR(B1179)&gt;=6,HOUR(B1179)&lt;18),"Day Shift","Night Shift")</f>
        <v/>
      </c>
      <c r="F1179" s="6">
        <f>INT(B1179)</f>
        <v/>
      </c>
      <c r="G1179" s="6">
        <f>INT(C1179)</f>
        <v/>
      </c>
    </row>
    <row r="1180">
      <c r="A1180" s="7" t="inlineStr">
        <is>
          <t>R04N Blockage</t>
        </is>
      </c>
      <c r="B1180" s="8" t="n">
        <v>46070.75</v>
      </c>
      <c r="C1180" s="8" t="n">
        <v>46071.25</v>
      </c>
      <c r="D1180" s="9">
        <f>(C1180-B1180)*24</f>
        <v/>
      </c>
      <c r="E1180" s="10">
        <f>IF(AND(HOUR(B1180)&gt;=6,HOUR(B1180)&lt;18),"Day Shift","Night Shift")</f>
        <v/>
      </c>
      <c r="F1180" s="11">
        <f>INT(B1180)</f>
        <v/>
      </c>
      <c r="G1180" s="11">
        <f>INT(C1180)</f>
        <v/>
      </c>
    </row>
    <row r="1181">
      <c r="A1181" s="2" t="inlineStr">
        <is>
          <t>R04N Blockage</t>
        </is>
      </c>
      <c r="B1181" s="3" t="n">
        <v>46071.25</v>
      </c>
      <c r="C1181" s="3" t="n">
        <v>46071.75</v>
      </c>
      <c r="D1181" s="4">
        <f>(C1181-B1181)*24</f>
        <v/>
      </c>
      <c r="E1181" s="5">
        <f>IF(AND(HOUR(B1181)&gt;=6,HOUR(B1181)&lt;18),"Day Shift","Night Shift")</f>
        <v/>
      </c>
      <c r="F1181" s="6">
        <f>INT(B1181)</f>
        <v/>
      </c>
      <c r="G1181" s="6">
        <f>INT(C1181)</f>
        <v/>
      </c>
    </row>
    <row r="1182">
      <c r="A1182" s="7" t="inlineStr">
        <is>
          <t>R04N Blockage</t>
        </is>
      </c>
      <c r="B1182" s="8" t="n">
        <v>46071.75</v>
      </c>
      <c r="C1182" s="8" t="n">
        <v>46072.25</v>
      </c>
      <c r="D1182" s="9">
        <f>(C1182-B1182)*24</f>
        <v/>
      </c>
      <c r="E1182" s="10">
        <f>IF(AND(HOUR(B1182)&gt;=6,HOUR(B1182)&lt;18),"Day Shift","Night Shift")</f>
        <v/>
      </c>
      <c r="F1182" s="11">
        <f>INT(B1182)</f>
        <v/>
      </c>
      <c r="G1182" s="11">
        <f>INT(C1182)</f>
        <v/>
      </c>
    </row>
    <row r="1183">
      <c r="A1183" s="2" t="inlineStr">
        <is>
          <t>R04N Blockage</t>
        </is>
      </c>
      <c r="B1183" s="3" t="n">
        <v>46072.25</v>
      </c>
      <c r="C1183" s="3" t="n">
        <v>46072.75</v>
      </c>
      <c r="D1183" s="4">
        <f>(C1183-B1183)*24</f>
        <v/>
      </c>
      <c r="E1183" s="5">
        <f>IF(AND(HOUR(B1183)&gt;=6,HOUR(B1183)&lt;18),"Day Shift","Night Shift")</f>
        <v/>
      </c>
      <c r="F1183" s="6">
        <f>INT(B1183)</f>
        <v/>
      </c>
      <c r="G1183" s="6">
        <f>INT(C1183)</f>
        <v/>
      </c>
    </row>
    <row r="1184">
      <c r="A1184" s="7" t="inlineStr">
        <is>
          <t>R04N Blockage</t>
        </is>
      </c>
      <c r="B1184" s="8" t="n">
        <v>46072.75</v>
      </c>
      <c r="C1184" s="8" t="n">
        <v>46073.25</v>
      </c>
      <c r="D1184" s="9">
        <f>(C1184-B1184)*24</f>
        <v/>
      </c>
      <c r="E1184" s="10">
        <f>IF(AND(HOUR(B1184)&gt;=6,HOUR(B1184)&lt;18),"Day Shift","Night Shift")</f>
        <v/>
      </c>
      <c r="F1184" s="11">
        <f>INT(B1184)</f>
        <v/>
      </c>
      <c r="G1184" s="11">
        <f>INT(C1184)</f>
        <v/>
      </c>
    </row>
    <row r="1185">
      <c r="A1185" s="2" t="inlineStr">
        <is>
          <t>R04N Blockage</t>
        </is>
      </c>
      <c r="B1185" s="3" t="n">
        <v>46073.25</v>
      </c>
      <c r="C1185" s="3" t="n">
        <v>46073.75</v>
      </c>
      <c r="D1185" s="4">
        <f>(C1185-B1185)*24</f>
        <v/>
      </c>
      <c r="E1185" s="5">
        <f>IF(AND(HOUR(B1185)&gt;=6,HOUR(B1185)&lt;18),"Day Shift","Night Shift")</f>
        <v/>
      </c>
      <c r="F1185" s="6">
        <f>INT(B1185)</f>
        <v/>
      </c>
      <c r="G1185" s="6">
        <f>INT(C1185)</f>
        <v/>
      </c>
    </row>
    <row r="1186">
      <c r="A1186" s="7" t="inlineStr">
        <is>
          <t>R04N Blockage</t>
        </is>
      </c>
      <c r="B1186" s="8" t="n">
        <v>46073.75</v>
      </c>
      <c r="C1186" s="8" t="n">
        <v>46074.25</v>
      </c>
      <c r="D1186" s="9">
        <f>(C1186-B1186)*24</f>
        <v/>
      </c>
      <c r="E1186" s="10">
        <f>IF(AND(HOUR(B1186)&gt;=6,HOUR(B1186)&lt;18),"Day Shift","Night Shift")</f>
        <v/>
      </c>
      <c r="F1186" s="11">
        <f>INT(B1186)</f>
        <v/>
      </c>
      <c r="G1186" s="11">
        <f>INT(C1186)</f>
        <v/>
      </c>
    </row>
    <row r="1187">
      <c r="A1187" s="2" t="inlineStr">
        <is>
          <t>R04N Blockage</t>
        </is>
      </c>
      <c r="B1187" s="3" t="n">
        <v>46074.25</v>
      </c>
      <c r="C1187" s="3" t="n">
        <v>46074.75</v>
      </c>
      <c r="D1187" s="4">
        <f>(C1187-B1187)*24</f>
        <v/>
      </c>
      <c r="E1187" s="5">
        <f>IF(AND(HOUR(B1187)&gt;=6,HOUR(B1187)&lt;18),"Day Shift","Night Shift")</f>
        <v/>
      </c>
      <c r="F1187" s="6">
        <f>INT(B1187)</f>
        <v/>
      </c>
      <c r="G1187" s="6">
        <f>INT(C1187)</f>
        <v/>
      </c>
    </row>
    <row r="1188">
      <c r="A1188" s="7" t="inlineStr">
        <is>
          <t>R04N Blockage</t>
        </is>
      </c>
      <c r="B1188" s="8" t="n">
        <v>46074.75</v>
      </c>
      <c r="C1188" s="8" t="n">
        <v>46075.25</v>
      </c>
      <c r="D1188" s="9">
        <f>(C1188-B1188)*24</f>
        <v/>
      </c>
      <c r="E1188" s="10">
        <f>IF(AND(HOUR(B1188)&gt;=6,HOUR(B1188)&lt;18),"Day Shift","Night Shift")</f>
        <v/>
      </c>
      <c r="F1188" s="11">
        <f>INT(B1188)</f>
        <v/>
      </c>
      <c r="G1188" s="11">
        <f>INT(C1188)</f>
        <v/>
      </c>
    </row>
    <row r="1189">
      <c r="A1189" s="2" t="inlineStr">
        <is>
          <t>R04N Blockage</t>
        </is>
      </c>
      <c r="B1189" s="3" t="n">
        <v>46075.25</v>
      </c>
      <c r="C1189" s="3" t="n">
        <v>46075.75</v>
      </c>
      <c r="D1189" s="4">
        <f>(C1189-B1189)*24</f>
        <v/>
      </c>
      <c r="E1189" s="5">
        <f>IF(AND(HOUR(B1189)&gt;=6,HOUR(B1189)&lt;18),"Day Shift","Night Shift")</f>
        <v/>
      </c>
      <c r="F1189" s="6">
        <f>INT(B1189)</f>
        <v/>
      </c>
      <c r="G1189" s="6">
        <f>INT(C1189)</f>
        <v/>
      </c>
    </row>
    <row r="1190">
      <c r="A1190" s="7" t="inlineStr">
        <is>
          <t>R04N Blockage</t>
        </is>
      </c>
      <c r="B1190" s="8" t="n">
        <v>46075.75</v>
      </c>
      <c r="C1190" s="8" t="n">
        <v>46076.25</v>
      </c>
      <c r="D1190" s="9">
        <f>(C1190-B1190)*24</f>
        <v/>
      </c>
      <c r="E1190" s="10">
        <f>IF(AND(HOUR(B1190)&gt;=6,HOUR(B1190)&lt;18),"Day Shift","Night Shift")</f>
        <v/>
      </c>
      <c r="F1190" s="11">
        <f>INT(B1190)</f>
        <v/>
      </c>
      <c r="G1190" s="11">
        <f>INT(C1190)</f>
        <v/>
      </c>
    </row>
    <row r="1191">
      <c r="A1191" s="2" t="inlineStr">
        <is>
          <t>R04N Blockage</t>
        </is>
      </c>
      <c r="B1191" s="3" t="n">
        <v>46076.25</v>
      </c>
      <c r="C1191" s="3" t="n">
        <v>46076.75</v>
      </c>
      <c r="D1191" s="4">
        <f>(C1191-B1191)*24</f>
        <v/>
      </c>
      <c r="E1191" s="5">
        <f>IF(AND(HOUR(B1191)&gt;=6,HOUR(B1191)&lt;18),"Day Shift","Night Shift")</f>
        <v/>
      </c>
      <c r="F1191" s="6">
        <f>INT(B1191)</f>
        <v/>
      </c>
      <c r="G1191" s="6">
        <f>INT(C1191)</f>
        <v/>
      </c>
    </row>
    <row r="1192">
      <c r="A1192" s="7" t="inlineStr">
        <is>
          <t>R04N Blockage</t>
        </is>
      </c>
      <c r="B1192" s="8" t="n">
        <v>46076.75</v>
      </c>
      <c r="C1192" s="8" t="n">
        <v>46077.25</v>
      </c>
      <c r="D1192" s="9">
        <f>(C1192-B1192)*24</f>
        <v/>
      </c>
      <c r="E1192" s="10">
        <f>IF(AND(HOUR(B1192)&gt;=6,HOUR(B1192)&lt;18),"Day Shift","Night Shift")</f>
        <v/>
      </c>
      <c r="F1192" s="11">
        <f>INT(B1192)</f>
        <v/>
      </c>
      <c r="G1192" s="11">
        <f>INT(C1192)</f>
        <v/>
      </c>
    </row>
    <row r="1193">
      <c r="A1193" s="2" t="inlineStr">
        <is>
          <t>R04N Blockage</t>
        </is>
      </c>
      <c r="B1193" s="3" t="n">
        <v>46077.25</v>
      </c>
      <c r="C1193" s="3" t="n">
        <v>46077.75</v>
      </c>
      <c r="D1193" s="4">
        <f>(C1193-B1193)*24</f>
        <v/>
      </c>
      <c r="E1193" s="5">
        <f>IF(AND(HOUR(B1193)&gt;=6,HOUR(B1193)&lt;18),"Day Shift","Night Shift")</f>
        <v/>
      </c>
      <c r="F1193" s="6">
        <f>INT(B1193)</f>
        <v/>
      </c>
      <c r="G1193" s="6">
        <f>INT(C1193)</f>
        <v/>
      </c>
    </row>
    <row r="1194">
      <c r="A1194" s="7" t="inlineStr">
        <is>
          <t>R04N Blockage</t>
        </is>
      </c>
      <c r="B1194" s="8" t="n">
        <v>46077.75</v>
      </c>
      <c r="C1194" s="8" t="n">
        <v>46078.25</v>
      </c>
      <c r="D1194" s="9">
        <f>(C1194-B1194)*24</f>
        <v/>
      </c>
      <c r="E1194" s="10">
        <f>IF(AND(HOUR(B1194)&gt;=6,HOUR(B1194)&lt;18),"Day Shift","Night Shift")</f>
        <v/>
      </c>
      <c r="F1194" s="11">
        <f>INT(B1194)</f>
        <v/>
      </c>
      <c r="G1194" s="11">
        <f>INT(C1194)</f>
        <v/>
      </c>
    </row>
    <row r="1195">
      <c r="A1195" s="2" t="inlineStr">
        <is>
          <t>R04N Blockage</t>
        </is>
      </c>
      <c r="B1195" s="3" t="n">
        <v>46078.25</v>
      </c>
      <c r="C1195" s="3" t="n">
        <v>46078.75</v>
      </c>
      <c r="D1195" s="4">
        <f>(C1195-B1195)*24</f>
        <v/>
      </c>
      <c r="E1195" s="5">
        <f>IF(AND(HOUR(B1195)&gt;=6,HOUR(B1195)&lt;18),"Day Shift","Night Shift")</f>
        <v/>
      </c>
      <c r="F1195" s="6">
        <f>INT(B1195)</f>
        <v/>
      </c>
      <c r="G1195" s="6">
        <f>INT(C1195)</f>
        <v/>
      </c>
    </row>
    <row r="1196">
      <c r="A1196" s="7" t="inlineStr">
        <is>
          <t>R04N Blockage</t>
        </is>
      </c>
      <c r="B1196" s="8" t="n">
        <v>46078.75</v>
      </c>
      <c r="C1196" s="8" t="n">
        <v>46079.25</v>
      </c>
      <c r="D1196" s="9">
        <f>(C1196-B1196)*24</f>
        <v/>
      </c>
      <c r="E1196" s="10">
        <f>IF(AND(HOUR(B1196)&gt;=6,HOUR(B1196)&lt;18),"Day Shift","Night Shift")</f>
        <v/>
      </c>
      <c r="F1196" s="11">
        <f>INT(B1196)</f>
        <v/>
      </c>
      <c r="G1196" s="11">
        <f>INT(C1196)</f>
        <v/>
      </c>
    </row>
    <row r="1197">
      <c r="A1197" s="2" t="inlineStr">
        <is>
          <t>R04N Blockage</t>
        </is>
      </c>
      <c r="B1197" s="3" t="n">
        <v>46079.25</v>
      </c>
      <c r="C1197" s="3" t="n">
        <v>46079.75</v>
      </c>
      <c r="D1197" s="4">
        <f>(C1197-B1197)*24</f>
        <v/>
      </c>
      <c r="E1197" s="5">
        <f>IF(AND(HOUR(B1197)&gt;=6,HOUR(B1197)&lt;18),"Day Shift","Night Shift")</f>
        <v/>
      </c>
      <c r="F1197" s="6">
        <f>INT(B1197)</f>
        <v/>
      </c>
      <c r="G1197" s="6">
        <f>INT(C1197)</f>
        <v/>
      </c>
    </row>
    <row r="1198">
      <c r="A1198" s="7" t="inlineStr">
        <is>
          <t>R04N Blockage</t>
        </is>
      </c>
      <c r="B1198" s="8" t="n">
        <v>46079.75</v>
      </c>
      <c r="C1198" s="8" t="n">
        <v>46080.25</v>
      </c>
      <c r="D1198" s="9">
        <f>(C1198-B1198)*24</f>
        <v/>
      </c>
      <c r="E1198" s="10">
        <f>IF(AND(HOUR(B1198)&gt;=6,HOUR(B1198)&lt;18),"Day Shift","Night Shift")</f>
        <v/>
      </c>
      <c r="F1198" s="11">
        <f>INT(B1198)</f>
        <v/>
      </c>
      <c r="G1198" s="11">
        <f>INT(C1198)</f>
        <v/>
      </c>
    </row>
    <row r="1199">
      <c r="A1199" s="2" t="inlineStr">
        <is>
          <t>R04N Blockage</t>
        </is>
      </c>
      <c r="B1199" s="3" t="n">
        <v>46080.25</v>
      </c>
      <c r="C1199" s="3" t="n">
        <v>46080.75</v>
      </c>
      <c r="D1199" s="4">
        <f>(C1199-B1199)*24</f>
        <v/>
      </c>
      <c r="E1199" s="5">
        <f>IF(AND(HOUR(B1199)&gt;=6,HOUR(B1199)&lt;18),"Day Shift","Night Shift")</f>
        <v/>
      </c>
      <c r="F1199" s="6">
        <f>INT(B1199)</f>
        <v/>
      </c>
      <c r="G1199" s="6">
        <f>INT(C1199)</f>
        <v/>
      </c>
    </row>
    <row r="1200">
      <c r="A1200" s="7" t="inlineStr">
        <is>
          <t>R04N Blockage</t>
        </is>
      </c>
      <c r="B1200" s="8" t="n">
        <v>46080.75</v>
      </c>
      <c r="C1200" s="8" t="n">
        <v>46081.25</v>
      </c>
      <c r="D1200" s="9">
        <f>(C1200-B1200)*24</f>
        <v/>
      </c>
      <c r="E1200" s="10">
        <f>IF(AND(HOUR(B1200)&gt;=6,HOUR(B1200)&lt;18),"Day Shift","Night Shift")</f>
        <v/>
      </c>
      <c r="F1200" s="11">
        <f>INT(B1200)</f>
        <v/>
      </c>
      <c r="G1200" s="11">
        <f>INT(C1200)</f>
        <v/>
      </c>
    </row>
    <row r="1201">
      <c r="A1201" s="2" t="inlineStr">
        <is>
          <t>R04N Blockage</t>
        </is>
      </c>
      <c r="B1201" s="3" t="n">
        <v>46081.25</v>
      </c>
      <c r="C1201" s="3" t="n">
        <v>46081.75</v>
      </c>
      <c r="D1201" s="4">
        <f>(C1201-B1201)*24</f>
        <v/>
      </c>
      <c r="E1201" s="5">
        <f>IF(AND(HOUR(B1201)&gt;=6,HOUR(B1201)&lt;18),"Day Shift","Night Shift")</f>
        <v/>
      </c>
      <c r="F1201" s="6">
        <f>INT(B1201)</f>
        <v/>
      </c>
      <c r="G1201" s="6">
        <f>INT(C1201)</f>
        <v/>
      </c>
    </row>
    <row r="1202">
      <c r="A1202" s="7" t="inlineStr">
        <is>
          <t>R04N Blockage</t>
        </is>
      </c>
      <c r="B1202" s="8" t="n">
        <v>46081.75</v>
      </c>
      <c r="C1202" s="8" t="n">
        <v>46082.25</v>
      </c>
      <c r="D1202" s="9">
        <f>(C1202-B1202)*24</f>
        <v/>
      </c>
      <c r="E1202" s="10">
        <f>IF(AND(HOUR(B1202)&gt;=6,HOUR(B1202)&lt;18),"Day Shift","Night Shift")</f>
        <v/>
      </c>
      <c r="F1202" s="11">
        <f>INT(B1202)</f>
        <v/>
      </c>
      <c r="G1202" s="11">
        <f>INT(C1202)</f>
        <v/>
      </c>
    </row>
    <row r="1203">
      <c r="A1203" s="2" t="inlineStr">
        <is>
          <t>R04N Blockage</t>
        </is>
      </c>
      <c r="B1203" s="3" t="n">
        <v>46082.25</v>
      </c>
      <c r="C1203" s="3" t="n">
        <v>46082.75</v>
      </c>
      <c r="D1203" s="4">
        <f>(C1203-B1203)*24</f>
        <v/>
      </c>
      <c r="E1203" s="5">
        <f>IF(AND(HOUR(B1203)&gt;=6,HOUR(B1203)&lt;18),"Day Shift","Night Shift")</f>
        <v/>
      </c>
      <c r="F1203" s="6">
        <f>INT(B1203)</f>
        <v/>
      </c>
      <c r="G1203" s="6">
        <f>INT(C1203)</f>
        <v/>
      </c>
    </row>
    <row r="1204">
      <c r="A1204" s="7" t="inlineStr">
        <is>
          <t>R04N Blockage</t>
        </is>
      </c>
      <c r="B1204" s="8" t="n">
        <v>46082.75</v>
      </c>
      <c r="C1204" s="8" t="n">
        <v>46083.25</v>
      </c>
      <c r="D1204" s="9">
        <f>(C1204-B1204)*24</f>
        <v/>
      </c>
      <c r="E1204" s="10">
        <f>IF(AND(HOUR(B1204)&gt;=6,HOUR(B1204)&lt;18),"Day Shift","Night Shift")</f>
        <v/>
      </c>
      <c r="F1204" s="11">
        <f>INT(B1204)</f>
        <v/>
      </c>
      <c r="G1204" s="11">
        <f>INT(C1204)</f>
        <v/>
      </c>
    </row>
    <row r="1205">
      <c r="A1205" s="2" t="inlineStr">
        <is>
          <t>R04N Blockage</t>
        </is>
      </c>
      <c r="B1205" s="3" t="n">
        <v>46083.25</v>
      </c>
      <c r="C1205" s="3" t="n">
        <v>46083.75</v>
      </c>
      <c r="D1205" s="4">
        <f>(C1205-B1205)*24</f>
        <v/>
      </c>
      <c r="E1205" s="5">
        <f>IF(AND(HOUR(B1205)&gt;=6,HOUR(B1205)&lt;18),"Day Shift","Night Shift")</f>
        <v/>
      </c>
      <c r="F1205" s="6">
        <f>INT(B1205)</f>
        <v/>
      </c>
      <c r="G1205" s="6">
        <f>INT(C1205)</f>
        <v/>
      </c>
    </row>
    <row r="1206">
      <c r="A1206" s="7" t="inlineStr">
        <is>
          <t>R04N Blockage</t>
        </is>
      </c>
      <c r="B1206" s="8" t="n">
        <v>46083.75</v>
      </c>
      <c r="C1206" s="8" t="n">
        <v>46084.25</v>
      </c>
      <c r="D1206" s="9">
        <f>(C1206-B1206)*24</f>
        <v/>
      </c>
      <c r="E1206" s="10">
        <f>IF(AND(HOUR(B1206)&gt;=6,HOUR(B1206)&lt;18),"Day Shift","Night Shift")</f>
        <v/>
      </c>
      <c r="F1206" s="11">
        <f>INT(B1206)</f>
        <v/>
      </c>
      <c r="G1206" s="11">
        <f>INT(C1206)</f>
        <v/>
      </c>
    </row>
    <row r="1207">
      <c r="A1207" s="2" t="inlineStr">
        <is>
          <t>R04N Blockage</t>
        </is>
      </c>
      <c r="B1207" s="3" t="n">
        <v>46084.25</v>
      </c>
      <c r="C1207" s="3" t="n">
        <v>46084.75</v>
      </c>
      <c r="D1207" s="4">
        <f>(C1207-B1207)*24</f>
        <v/>
      </c>
      <c r="E1207" s="5">
        <f>IF(AND(HOUR(B1207)&gt;=6,HOUR(B1207)&lt;18),"Day Shift","Night Shift")</f>
        <v/>
      </c>
      <c r="F1207" s="6">
        <f>INT(B1207)</f>
        <v/>
      </c>
      <c r="G1207" s="6">
        <f>INT(C1207)</f>
        <v/>
      </c>
    </row>
    <row r="1208">
      <c r="A1208" s="7" t="inlineStr">
        <is>
          <t>R04N Blockage</t>
        </is>
      </c>
      <c r="B1208" s="8" t="n">
        <v>46084.75</v>
      </c>
      <c r="C1208" s="8" t="n">
        <v>46085.25</v>
      </c>
      <c r="D1208" s="9">
        <f>(C1208-B1208)*24</f>
        <v/>
      </c>
      <c r="E1208" s="10">
        <f>IF(AND(HOUR(B1208)&gt;=6,HOUR(B1208)&lt;18),"Day Shift","Night Shift")</f>
        <v/>
      </c>
      <c r="F1208" s="11">
        <f>INT(B1208)</f>
        <v/>
      </c>
      <c r="G1208" s="11">
        <f>INT(C1208)</f>
        <v/>
      </c>
    </row>
    <row r="1209">
      <c r="A1209" s="2" t="inlineStr">
        <is>
          <t>R04N Blockage</t>
        </is>
      </c>
      <c r="B1209" s="3" t="n">
        <v>46085.25</v>
      </c>
      <c r="C1209" s="3" t="n">
        <v>46085.75</v>
      </c>
      <c r="D1209" s="4">
        <f>(C1209-B1209)*24</f>
        <v/>
      </c>
      <c r="E1209" s="5">
        <f>IF(AND(HOUR(B1209)&gt;=6,HOUR(B1209)&lt;18),"Day Shift","Night Shift")</f>
        <v/>
      </c>
      <c r="F1209" s="6">
        <f>INT(B1209)</f>
        <v/>
      </c>
      <c r="G1209" s="6">
        <f>INT(C1209)</f>
        <v/>
      </c>
    </row>
    <row r="1210">
      <c r="A1210" s="7" t="inlineStr">
        <is>
          <t>R04N Blockage</t>
        </is>
      </c>
      <c r="B1210" s="8" t="n">
        <v>46085.75</v>
      </c>
      <c r="C1210" s="8" t="n">
        <v>46086.25</v>
      </c>
      <c r="D1210" s="9">
        <f>(C1210-B1210)*24</f>
        <v/>
      </c>
      <c r="E1210" s="10">
        <f>IF(AND(HOUR(B1210)&gt;=6,HOUR(B1210)&lt;18),"Day Shift","Night Shift")</f>
        <v/>
      </c>
      <c r="F1210" s="11">
        <f>INT(B1210)</f>
        <v/>
      </c>
      <c r="G1210" s="11">
        <f>INT(C1210)</f>
        <v/>
      </c>
    </row>
    <row r="1211">
      <c r="A1211" s="2" t="inlineStr">
        <is>
          <t>R04N Blockage</t>
        </is>
      </c>
      <c r="B1211" s="3" t="n">
        <v>46086.25</v>
      </c>
      <c r="C1211" s="3" t="n">
        <v>46086.75</v>
      </c>
      <c r="D1211" s="4">
        <f>(C1211-B1211)*24</f>
        <v/>
      </c>
      <c r="E1211" s="5">
        <f>IF(AND(HOUR(B1211)&gt;=6,HOUR(B1211)&lt;18),"Day Shift","Night Shift")</f>
        <v/>
      </c>
      <c r="F1211" s="6">
        <f>INT(B1211)</f>
        <v/>
      </c>
      <c r="G1211" s="6">
        <f>INT(C1211)</f>
        <v/>
      </c>
    </row>
    <row r="1212">
      <c r="A1212" s="7" t="inlineStr">
        <is>
          <t>R04N Blockage</t>
        </is>
      </c>
      <c r="B1212" s="8" t="n">
        <v>46086.75</v>
      </c>
      <c r="C1212" s="8" t="n">
        <v>46087.25</v>
      </c>
      <c r="D1212" s="9">
        <f>(C1212-B1212)*24</f>
        <v/>
      </c>
      <c r="E1212" s="10">
        <f>IF(AND(HOUR(B1212)&gt;=6,HOUR(B1212)&lt;18),"Day Shift","Night Shift")</f>
        <v/>
      </c>
      <c r="F1212" s="11">
        <f>INT(B1212)</f>
        <v/>
      </c>
      <c r="G1212" s="11">
        <f>INT(C1212)</f>
        <v/>
      </c>
    </row>
    <row r="1213">
      <c r="A1213" s="2" t="inlineStr">
        <is>
          <t>R04N Blockage</t>
        </is>
      </c>
      <c r="B1213" s="3" t="n">
        <v>46087.25</v>
      </c>
      <c r="C1213" s="3" t="n">
        <v>46087.75</v>
      </c>
      <c r="D1213" s="4">
        <f>(C1213-B1213)*24</f>
        <v/>
      </c>
      <c r="E1213" s="5">
        <f>IF(AND(HOUR(B1213)&gt;=6,HOUR(B1213)&lt;18),"Day Shift","Night Shift")</f>
        <v/>
      </c>
      <c r="F1213" s="6">
        <f>INT(B1213)</f>
        <v/>
      </c>
      <c r="G1213" s="6">
        <f>INT(C1213)</f>
        <v/>
      </c>
    </row>
    <row r="1214">
      <c r="A1214" s="7" t="inlineStr">
        <is>
          <t>R04N Blockage</t>
        </is>
      </c>
      <c r="B1214" s="8" t="n">
        <v>46087.75</v>
      </c>
      <c r="C1214" s="8" t="n">
        <v>46088.25</v>
      </c>
      <c r="D1214" s="9">
        <f>(C1214-B1214)*24</f>
        <v/>
      </c>
      <c r="E1214" s="10">
        <f>IF(AND(HOUR(B1214)&gt;=6,HOUR(B1214)&lt;18),"Day Shift","Night Shift")</f>
        <v/>
      </c>
      <c r="F1214" s="11">
        <f>INT(B1214)</f>
        <v/>
      </c>
      <c r="G1214" s="11">
        <f>INT(C1214)</f>
        <v/>
      </c>
    </row>
    <row r="1215">
      <c r="A1215" s="2" t="inlineStr">
        <is>
          <t>R04N Blockage</t>
        </is>
      </c>
      <c r="B1215" s="3" t="n">
        <v>46088.25</v>
      </c>
      <c r="C1215" s="3" t="n">
        <v>46088.75</v>
      </c>
      <c r="D1215" s="4">
        <f>(C1215-B1215)*24</f>
        <v/>
      </c>
      <c r="E1215" s="5">
        <f>IF(AND(HOUR(B1215)&gt;=6,HOUR(B1215)&lt;18),"Day Shift","Night Shift")</f>
        <v/>
      </c>
      <c r="F1215" s="6">
        <f>INT(B1215)</f>
        <v/>
      </c>
      <c r="G1215" s="6">
        <f>INT(C1215)</f>
        <v/>
      </c>
    </row>
    <row r="1216">
      <c r="A1216" s="7" t="inlineStr">
        <is>
          <t>R04N Blockage</t>
        </is>
      </c>
      <c r="B1216" s="8" t="n">
        <v>46088.75</v>
      </c>
      <c r="C1216" s="8" t="n">
        <v>46089.25</v>
      </c>
      <c r="D1216" s="9">
        <f>(C1216-B1216)*24</f>
        <v/>
      </c>
      <c r="E1216" s="10">
        <f>IF(AND(HOUR(B1216)&gt;=6,HOUR(B1216)&lt;18),"Day Shift","Night Shift")</f>
        <v/>
      </c>
      <c r="F1216" s="11">
        <f>INT(B1216)</f>
        <v/>
      </c>
      <c r="G1216" s="11">
        <f>INT(C1216)</f>
        <v/>
      </c>
    </row>
    <row r="1217">
      <c r="A1217" s="2" t="inlineStr">
        <is>
          <t>R04N Blockage</t>
        </is>
      </c>
      <c r="B1217" s="3" t="n">
        <v>46089.25</v>
      </c>
      <c r="C1217" s="3" t="n">
        <v>46089.75</v>
      </c>
      <c r="D1217" s="4">
        <f>(C1217-B1217)*24</f>
        <v/>
      </c>
      <c r="E1217" s="5">
        <f>IF(AND(HOUR(B1217)&gt;=6,HOUR(B1217)&lt;18),"Day Shift","Night Shift")</f>
        <v/>
      </c>
      <c r="F1217" s="6">
        <f>INT(B1217)</f>
        <v/>
      </c>
      <c r="G1217" s="6">
        <f>INT(C1217)</f>
        <v/>
      </c>
    </row>
    <row r="1218">
      <c r="A1218" s="7" t="inlineStr">
        <is>
          <t>R04N Blockage</t>
        </is>
      </c>
      <c r="B1218" s="8" t="n">
        <v>46089.75</v>
      </c>
      <c r="C1218" s="8" t="n">
        <v>46090.25</v>
      </c>
      <c r="D1218" s="9">
        <f>(C1218-B1218)*24</f>
        <v/>
      </c>
      <c r="E1218" s="10">
        <f>IF(AND(HOUR(B1218)&gt;=6,HOUR(B1218)&lt;18),"Day Shift","Night Shift")</f>
        <v/>
      </c>
      <c r="F1218" s="11">
        <f>INT(B1218)</f>
        <v/>
      </c>
      <c r="G1218" s="11">
        <f>INT(C1218)</f>
        <v/>
      </c>
    </row>
    <row r="1219">
      <c r="A1219" s="2" t="inlineStr">
        <is>
          <t>R04N Blockage</t>
        </is>
      </c>
      <c r="B1219" s="3" t="n">
        <v>46090.25</v>
      </c>
      <c r="C1219" s="3" t="n">
        <v>46090.75</v>
      </c>
      <c r="D1219" s="4">
        <f>(C1219-B1219)*24</f>
        <v/>
      </c>
      <c r="E1219" s="5">
        <f>IF(AND(HOUR(B1219)&gt;=6,HOUR(B1219)&lt;18),"Day Shift","Night Shift")</f>
        <v/>
      </c>
      <c r="F1219" s="6">
        <f>INT(B1219)</f>
        <v/>
      </c>
      <c r="G1219" s="6">
        <f>INT(C1219)</f>
        <v/>
      </c>
    </row>
    <row r="1220">
      <c r="A1220" s="7" t="inlineStr">
        <is>
          <t>R04N Blockage</t>
        </is>
      </c>
      <c r="B1220" s="8" t="n">
        <v>46090.75</v>
      </c>
      <c r="C1220" s="8" t="n">
        <v>46091.25</v>
      </c>
      <c r="D1220" s="9">
        <f>(C1220-B1220)*24</f>
        <v/>
      </c>
      <c r="E1220" s="10">
        <f>IF(AND(HOUR(B1220)&gt;=6,HOUR(B1220)&lt;18),"Day Shift","Night Shift")</f>
        <v/>
      </c>
      <c r="F1220" s="11">
        <f>INT(B1220)</f>
        <v/>
      </c>
      <c r="G1220" s="11">
        <f>INT(C1220)</f>
        <v/>
      </c>
    </row>
    <row r="1221">
      <c r="A1221" s="2" t="inlineStr">
        <is>
          <t>R04N Blockage</t>
        </is>
      </c>
      <c r="B1221" s="3" t="n">
        <v>46091.25</v>
      </c>
      <c r="C1221" s="3" t="n">
        <v>46091.75</v>
      </c>
      <c r="D1221" s="4">
        <f>(C1221-B1221)*24</f>
        <v/>
      </c>
      <c r="E1221" s="5">
        <f>IF(AND(HOUR(B1221)&gt;=6,HOUR(B1221)&lt;18),"Day Shift","Night Shift")</f>
        <v/>
      </c>
      <c r="F1221" s="6">
        <f>INT(B1221)</f>
        <v/>
      </c>
      <c r="G1221" s="6">
        <f>INT(C1221)</f>
        <v/>
      </c>
    </row>
    <row r="1222">
      <c r="A1222" s="7" t="inlineStr">
        <is>
          <t>R04N Blockage</t>
        </is>
      </c>
      <c r="B1222" s="8" t="n">
        <v>46091.75</v>
      </c>
      <c r="C1222" s="8" t="n">
        <v>46092.25</v>
      </c>
      <c r="D1222" s="9">
        <f>(C1222-B1222)*24</f>
        <v/>
      </c>
      <c r="E1222" s="10">
        <f>IF(AND(HOUR(B1222)&gt;=6,HOUR(B1222)&lt;18),"Day Shift","Night Shift")</f>
        <v/>
      </c>
      <c r="F1222" s="11">
        <f>INT(B1222)</f>
        <v/>
      </c>
      <c r="G1222" s="11">
        <f>INT(C1222)</f>
        <v/>
      </c>
    </row>
    <row r="1223">
      <c r="A1223" s="2" t="inlineStr">
        <is>
          <t>R04N Blockage</t>
        </is>
      </c>
      <c r="B1223" s="3" t="n">
        <v>46092.25</v>
      </c>
      <c r="C1223" s="3" t="n">
        <v>46092.75</v>
      </c>
      <c r="D1223" s="4">
        <f>(C1223-B1223)*24</f>
        <v/>
      </c>
      <c r="E1223" s="5">
        <f>IF(AND(HOUR(B1223)&gt;=6,HOUR(B1223)&lt;18),"Day Shift","Night Shift")</f>
        <v/>
      </c>
      <c r="F1223" s="6">
        <f>INT(B1223)</f>
        <v/>
      </c>
      <c r="G1223" s="6">
        <f>INT(C1223)</f>
        <v/>
      </c>
    </row>
    <row r="1224">
      <c r="A1224" s="7" t="inlineStr">
        <is>
          <t>R04N Blockage</t>
        </is>
      </c>
      <c r="B1224" s="8" t="n">
        <v>46092.75</v>
      </c>
      <c r="C1224" s="8" t="n">
        <v>46093.25</v>
      </c>
      <c r="D1224" s="9">
        <f>(C1224-B1224)*24</f>
        <v/>
      </c>
      <c r="E1224" s="10">
        <f>IF(AND(HOUR(B1224)&gt;=6,HOUR(B1224)&lt;18),"Day Shift","Night Shift")</f>
        <v/>
      </c>
      <c r="F1224" s="11">
        <f>INT(B1224)</f>
        <v/>
      </c>
      <c r="G1224" s="11">
        <f>INT(C1224)</f>
        <v/>
      </c>
    </row>
    <row r="1225">
      <c r="A1225" s="2" t="inlineStr">
        <is>
          <t>R04N Blockage</t>
        </is>
      </c>
      <c r="B1225" s="3" t="n">
        <v>46093.25</v>
      </c>
      <c r="C1225" s="3" t="n">
        <v>46093.75</v>
      </c>
      <c r="D1225" s="4">
        <f>(C1225-B1225)*24</f>
        <v/>
      </c>
      <c r="E1225" s="5">
        <f>IF(AND(HOUR(B1225)&gt;=6,HOUR(B1225)&lt;18),"Day Shift","Night Shift")</f>
        <v/>
      </c>
      <c r="F1225" s="6">
        <f>INT(B1225)</f>
        <v/>
      </c>
      <c r="G1225" s="6">
        <f>INT(C1225)</f>
        <v/>
      </c>
    </row>
    <row r="1226">
      <c r="A1226" s="7" t="inlineStr">
        <is>
          <t>R04N Blockage</t>
        </is>
      </c>
      <c r="B1226" s="8" t="n">
        <v>46093.75</v>
      </c>
      <c r="C1226" s="8" t="n">
        <v>46094.25</v>
      </c>
      <c r="D1226" s="9">
        <f>(C1226-B1226)*24</f>
        <v/>
      </c>
      <c r="E1226" s="10">
        <f>IF(AND(HOUR(B1226)&gt;=6,HOUR(B1226)&lt;18),"Day Shift","Night Shift")</f>
        <v/>
      </c>
      <c r="F1226" s="11">
        <f>INT(B1226)</f>
        <v/>
      </c>
      <c r="G1226" s="11">
        <f>INT(C1226)</f>
        <v/>
      </c>
    </row>
    <row r="1227">
      <c r="A1227" s="2" t="inlineStr">
        <is>
          <t>R04N Blockage</t>
        </is>
      </c>
      <c r="B1227" s="3" t="n">
        <v>46094.25</v>
      </c>
      <c r="C1227" s="3" t="n">
        <v>46094.75</v>
      </c>
      <c r="D1227" s="4">
        <f>(C1227-B1227)*24</f>
        <v/>
      </c>
      <c r="E1227" s="5">
        <f>IF(AND(HOUR(B1227)&gt;=6,HOUR(B1227)&lt;18),"Day Shift","Night Shift")</f>
        <v/>
      </c>
      <c r="F1227" s="6">
        <f>INT(B1227)</f>
        <v/>
      </c>
      <c r="G1227" s="6">
        <f>INT(C1227)</f>
        <v/>
      </c>
    </row>
    <row r="1228">
      <c r="A1228" s="7" t="inlineStr">
        <is>
          <t>R04N Blockage</t>
        </is>
      </c>
      <c r="B1228" s="8" t="n">
        <v>46094.75</v>
      </c>
      <c r="C1228" s="8" t="n">
        <v>46095.25</v>
      </c>
      <c r="D1228" s="9">
        <f>(C1228-B1228)*24</f>
        <v/>
      </c>
      <c r="E1228" s="10">
        <f>IF(AND(HOUR(B1228)&gt;=6,HOUR(B1228)&lt;18),"Day Shift","Night Shift")</f>
        <v/>
      </c>
      <c r="F1228" s="11">
        <f>INT(B1228)</f>
        <v/>
      </c>
      <c r="G1228" s="11">
        <f>INT(C1228)</f>
        <v/>
      </c>
    </row>
    <row r="1229">
      <c r="A1229" s="2" t="inlineStr">
        <is>
          <t>R04N Blockage</t>
        </is>
      </c>
      <c r="B1229" s="3" t="n">
        <v>46095.25</v>
      </c>
      <c r="C1229" s="3" t="n">
        <v>46095.75</v>
      </c>
      <c r="D1229" s="4">
        <f>(C1229-B1229)*24</f>
        <v/>
      </c>
      <c r="E1229" s="5">
        <f>IF(AND(HOUR(B1229)&gt;=6,HOUR(B1229)&lt;18),"Day Shift","Night Shift")</f>
        <v/>
      </c>
      <c r="F1229" s="6">
        <f>INT(B1229)</f>
        <v/>
      </c>
      <c r="G1229" s="6">
        <f>INT(C1229)</f>
        <v/>
      </c>
    </row>
    <row r="1230">
      <c r="A1230" s="7" t="inlineStr">
        <is>
          <t>R04N Blockage</t>
        </is>
      </c>
      <c r="B1230" s="8" t="n">
        <v>46095.75</v>
      </c>
      <c r="C1230" s="8" t="n">
        <v>46096.25</v>
      </c>
      <c r="D1230" s="9">
        <f>(C1230-B1230)*24</f>
        <v/>
      </c>
      <c r="E1230" s="10">
        <f>IF(AND(HOUR(B1230)&gt;=6,HOUR(B1230)&lt;18),"Day Shift","Night Shift")</f>
        <v/>
      </c>
      <c r="F1230" s="11">
        <f>INT(B1230)</f>
        <v/>
      </c>
      <c r="G1230" s="11">
        <f>INT(C1230)</f>
        <v/>
      </c>
    </row>
    <row r="1231">
      <c r="A1231" s="2" t="inlineStr">
        <is>
          <t>R04N Blockage</t>
        </is>
      </c>
      <c r="B1231" s="3" t="n">
        <v>46096.25</v>
      </c>
      <c r="C1231" s="3" t="n">
        <v>46096.75</v>
      </c>
      <c r="D1231" s="4">
        <f>(C1231-B1231)*24</f>
        <v/>
      </c>
      <c r="E1231" s="5">
        <f>IF(AND(HOUR(B1231)&gt;=6,HOUR(B1231)&lt;18),"Day Shift","Night Shift")</f>
        <v/>
      </c>
      <c r="F1231" s="6">
        <f>INT(B1231)</f>
        <v/>
      </c>
      <c r="G1231" s="6">
        <f>INT(C1231)</f>
        <v/>
      </c>
    </row>
    <row r="1232">
      <c r="A1232" s="7" t="inlineStr">
        <is>
          <t>R04N Blockage</t>
        </is>
      </c>
      <c r="B1232" s="8" t="n">
        <v>46096.75</v>
      </c>
      <c r="C1232" s="8" t="n">
        <v>46097.25</v>
      </c>
      <c r="D1232" s="9">
        <f>(C1232-B1232)*24</f>
        <v/>
      </c>
      <c r="E1232" s="10">
        <f>IF(AND(HOUR(B1232)&gt;=6,HOUR(B1232)&lt;18),"Day Shift","Night Shift")</f>
        <v/>
      </c>
      <c r="F1232" s="11">
        <f>INT(B1232)</f>
        <v/>
      </c>
      <c r="G1232" s="11">
        <f>INT(C1232)</f>
        <v/>
      </c>
    </row>
    <row r="1233">
      <c r="A1233" s="2" t="inlineStr">
        <is>
          <t>R04N Blockage</t>
        </is>
      </c>
      <c r="B1233" s="3" t="n">
        <v>46097.25</v>
      </c>
      <c r="C1233" s="3" t="n">
        <v>46097.75</v>
      </c>
      <c r="D1233" s="4">
        <f>(C1233-B1233)*24</f>
        <v/>
      </c>
      <c r="E1233" s="5">
        <f>IF(AND(HOUR(B1233)&gt;=6,HOUR(B1233)&lt;18),"Day Shift","Night Shift")</f>
        <v/>
      </c>
      <c r="F1233" s="6">
        <f>INT(B1233)</f>
        <v/>
      </c>
      <c r="G1233" s="6">
        <f>INT(C1233)</f>
        <v/>
      </c>
    </row>
    <row r="1234">
      <c r="A1234" s="7" t="inlineStr">
        <is>
          <t>R04N Blockage</t>
        </is>
      </c>
      <c r="B1234" s="8" t="n">
        <v>46097.75</v>
      </c>
      <c r="C1234" s="8" t="n">
        <v>46098.25</v>
      </c>
      <c r="D1234" s="9">
        <f>(C1234-B1234)*24</f>
        <v/>
      </c>
      <c r="E1234" s="10">
        <f>IF(AND(HOUR(B1234)&gt;=6,HOUR(B1234)&lt;18),"Day Shift","Night Shift")</f>
        <v/>
      </c>
      <c r="F1234" s="11">
        <f>INT(B1234)</f>
        <v/>
      </c>
      <c r="G1234" s="11">
        <f>INT(C1234)</f>
        <v/>
      </c>
    </row>
    <row r="1235">
      <c r="A1235" s="2" t="inlineStr">
        <is>
          <t>R04N Blockage</t>
        </is>
      </c>
      <c r="B1235" s="3" t="n">
        <v>46098.25</v>
      </c>
      <c r="C1235" s="3" t="n">
        <v>46098.75</v>
      </c>
      <c r="D1235" s="4">
        <f>(C1235-B1235)*24</f>
        <v/>
      </c>
      <c r="E1235" s="5">
        <f>IF(AND(HOUR(B1235)&gt;=6,HOUR(B1235)&lt;18),"Day Shift","Night Shift")</f>
        <v/>
      </c>
      <c r="F1235" s="6">
        <f>INT(B1235)</f>
        <v/>
      </c>
      <c r="G1235" s="6">
        <f>INT(C1235)</f>
        <v/>
      </c>
    </row>
    <row r="1236">
      <c r="A1236" s="7" t="inlineStr">
        <is>
          <t>R04N Blockage</t>
        </is>
      </c>
      <c r="B1236" s="8" t="n">
        <v>46098.75</v>
      </c>
      <c r="C1236" s="8" t="n">
        <v>46099.25</v>
      </c>
      <c r="D1236" s="9">
        <f>(C1236-B1236)*24</f>
        <v/>
      </c>
      <c r="E1236" s="10">
        <f>IF(AND(HOUR(B1236)&gt;=6,HOUR(B1236)&lt;18),"Day Shift","Night Shift")</f>
        <v/>
      </c>
      <c r="F1236" s="11">
        <f>INT(B1236)</f>
        <v/>
      </c>
      <c r="G1236" s="11">
        <f>INT(C1236)</f>
        <v/>
      </c>
    </row>
    <row r="1237">
      <c r="A1237" s="2" t="inlineStr">
        <is>
          <t>R04N Blockage</t>
        </is>
      </c>
      <c r="B1237" s="3" t="n">
        <v>46099.25</v>
      </c>
      <c r="C1237" s="3" t="n">
        <v>46099.75</v>
      </c>
      <c r="D1237" s="4">
        <f>(C1237-B1237)*24</f>
        <v/>
      </c>
      <c r="E1237" s="5">
        <f>IF(AND(HOUR(B1237)&gt;=6,HOUR(B1237)&lt;18),"Day Shift","Night Shift")</f>
        <v/>
      </c>
      <c r="F1237" s="6">
        <f>INT(B1237)</f>
        <v/>
      </c>
      <c r="G1237" s="6">
        <f>INT(C1237)</f>
        <v/>
      </c>
    </row>
    <row r="1238">
      <c r="A1238" s="7" t="inlineStr">
        <is>
          <t>R04N Blockage</t>
        </is>
      </c>
      <c r="B1238" s="8" t="n">
        <v>46099.75</v>
      </c>
      <c r="C1238" s="8" t="n">
        <v>46100.25</v>
      </c>
      <c r="D1238" s="9">
        <f>(C1238-B1238)*24</f>
        <v/>
      </c>
      <c r="E1238" s="10">
        <f>IF(AND(HOUR(B1238)&gt;=6,HOUR(B1238)&lt;18),"Day Shift","Night Shift")</f>
        <v/>
      </c>
      <c r="F1238" s="11">
        <f>INT(B1238)</f>
        <v/>
      </c>
      <c r="G1238" s="11">
        <f>INT(C1238)</f>
        <v/>
      </c>
    </row>
    <row r="1239">
      <c r="A1239" s="2" t="inlineStr">
        <is>
          <t>R04N Blockage</t>
        </is>
      </c>
      <c r="B1239" s="3" t="n">
        <v>46100.25</v>
      </c>
      <c r="C1239" s="3" t="n">
        <v>46100.75</v>
      </c>
      <c r="D1239" s="4">
        <f>(C1239-B1239)*24</f>
        <v/>
      </c>
      <c r="E1239" s="5">
        <f>IF(AND(HOUR(B1239)&gt;=6,HOUR(B1239)&lt;18),"Day Shift","Night Shift")</f>
        <v/>
      </c>
      <c r="F1239" s="6">
        <f>INT(B1239)</f>
        <v/>
      </c>
      <c r="G1239" s="6">
        <f>INT(C1239)</f>
        <v/>
      </c>
    </row>
    <row r="1240">
      <c r="A1240" s="7" t="inlineStr">
        <is>
          <t>R04N Blockage</t>
        </is>
      </c>
      <c r="B1240" s="8" t="n">
        <v>46100.75</v>
      </c>
      <c r="C1240" s="8" t="n">
        <v>46101.25</v>
      </c>
      <c r="D1240" s="9">
        <f>(C1240-B1240)*24</f>
        <v/>
      </c>
      <c r="E1240" s="10">
        <f>IF(AND(HOUR(B1240)&gt;=6,HOUR(B1240)&lt;18),"Day Shift","Night Shift")</f>
        <v/>
      </c>
      <c r="F1240" s="11">
        <f>INT(B1240)</f>
        <v/>
      </c>
      <c r="G1240" s="11">
        <f>INT(C1240)</f>
        <v/>
      </c>
    </row>
    <row r="1241">
      <c r="A1241" s="2" t="inlineStr">
        <is>
          <t>R04N Blockage</t>
        </is>
      </c>
      <c r="B1241" s="3" t="n">
        <v>46101.25</v>
      </c>
      <c r="C1241" s="3" t="n">
        <v>46101.75</v>
      </c>
      <c r="D1241" s="4">
        <f>(C1241-B1241)*24</f>
        <v/>
      </c>
      <c r="E1241" s="5">
        <f>IF(AND(HOUR(B1241)&gt;=6,HOUR(B1241)&lt;18),"Day Shift","Night Shift")</f>
        <v/>
      </c>
      <c r="F1241" s="6">
        <f>INT(B1241)</f>
        <v/>
      </c>
      <c r="G1241" s="6">
        <f>INT(C1241)</f>
        <v/>
      </c>
    </row>
    <row r="1242">
      <c r="A1242" s="7" t="inlineStr">
        <is>
          <t>R04N Blockage</t>
        </is>
      </c>
      <c r="B1242" s="8" t="n">
        <v>46101.75</v>
      </c>
      <c r="C1242" s="8" t="n">
        <v>46102.25</v>
      </c>
      <c r="D1242" s="9">
        <f>(C1242-B1242)*24</f>
        <v/>
      </c>
      <c r="E1242" s="10">
        <f>IF(AND(HOUR(B1242)&gt;=6,HOUR(B1242)&lt;18),"Day Shift","Night Shift")</f>
        <v/>
      </c>
      <c r="F1242" s="11">
        <f>INT(B1242)</f>
        <v/>
      </c>
      <c r="G1242" s="11">
        <f>INT(C1242)</f>
        <v/>
      </c>
    </row>
    <row r="1243">
      <c r="A1243" s="2" t="inlineStr">
        <is>
          <t>R04N Blockage</t>
        </is>
      </c>
      <c r="B1243" s="3" t="n">
        <v>46102.25</v>
      </c>
      <c r="C1243" s="3" t="n">
        <v>46102.75</v>
      </c>
      <c r="D1243" s="4">
        <f>(C1243-B1243)*24</f>
        <v/>
      </c>
      <c r="E1243" s="5">
        <f>IF(AND(HOUR(B1243)&gt;=6,HOUR(B1243)&lt;18),"Day Shift","Night Shift")</f>
        <v/>
      </c>
      <c r="F1243" s="6">
        <f>INT(B1243)</f>
        <v/>
      </c>
      <c r="G1243" s="6">
        <f>INT(C1243)</f>
        <v/>
      </c>
    </row>
    <row r="1244">
      <c r="A1244" s="7" t="inlineStr">
        <is>
          <t>R04N Blockage</t>
        </is>
      </c>
      <c r="B1244" s="8" t="n">
        <v>46102.75</v>
      </c>
      <c r="C1244" s="8" t="n">
        <v>46103.25</v>
      </c>
      <c r="D1244" s="9">
        <f>(C1244-B1244)*24</f>
        <v/>
      </c>
      <c r="E1244" s="10">
        <f>IF(AND(HOUR(B1244)&gt;=6,HOUR(B1244)&lt;18),"Day Shift","Night Shift")</f>
        <v/>
      </c>
      <c r="F1244" s="11">
        <f>INT(B1244)</f>
        <v/>
      </c>
      <c r="G1244" s="11">
        <f>INT(C1244)</f>
        <v/>
      </c>
    </row>
    <row r="1245">
      <c r="A1245" s="2" t="inlineStr">
        <is>
          <t>R04N Blockage</t>
        </is>
      </c>
      <c r="B1245" s="3" t="n">
        <v>46103.25</v>
      </c>
      <c r="C1245" s="3" t="n">
        <v>46103.75</v>
      </c>
      <c r="D1245" s="4">
        <f>(C1245-B1245)*24</f>
        <v/>
      </c>
      <c r="E1245" s="5">
        <f>IF(AND(HOUR(B1245)&gt;=6,HOUR(B1245)&lt;18),"Day Shift","Night Shift")</f>
        <v/>
      </c>
      <c r="F1245" s="6">
        <f>INT(B1245)</f>
        <v/>
      </c>
      <c r="G1245" s="6">
        <f>INT(C1245)</f>
        <v/>
      </c>
    </row>
    <row r="1246">
      <c r="A1246" s="7" t="inlineStr">
        <is>
          <t>R04N Blockage</t>
        </is>
      </c>
      <c r="B1246" s="8" t="n">
        <v>46103.75</v>
      </c>
      <c r="C1246" s="8" t="n">
        <v>46104.25</v>
      </c>
      <c r="D1246" s="9">
        <f>(C1246-B1246)*24</f>
        <v/>
      </c>
      <c r="E1246" s="10">
        <f>IF(AND(HOUR(B1246)&gt;=6,HOUR(B1246)&lt;18),"Day Shift","Night Shift")</f>
        <v/>
      </c>
      <c r="F1246" s="11">
        <f>INT(B1246)</f>
        <v/>
      </c>
      <c r="G1246" s="11">
        <f>INT(C1246)</f>
        <v/>
      </c>
    </row>
    <row r="1247">
      <c r="A1247" s="2" t="inlineStr">
        <is>
          <t>R04N Blockage</t>
        </is>
      </c>
      <c r="B1247" s="3" t="n">
        <v>46104.25</v>
      </c>
      <c r="C1247" s="3" t="n">
        <v>46104.75</v>
      </c>
      <c r="D1247" s="4">
        <f>(C1247-B1247)*24</f>
        <v/>
      </c>
      <c r="E1247" s="5">
        <f>IF(AND(HOUR(B1247)&gt;=6,HOUR(B1247)&lt;18),"Day Shift","Night Shift")</f>
        <v/>
      </c>
      <c r="F1247" s="6">
        <f>INT(B1247)</f>
        <v/>
      </c>
      <c r="G1247" s="6">
        <f>INT(C1247)</f>
        <v/>
      </c>
    </row>
    <row r="1248">
      <c r="A1248" s="7" t="inlineStr">
        <is>
          <t>R04N Blockage</t>
        </is>
      </c>
      <c r="B1248" s="8" t="n">
        <v>46104.75</v>
      </c>
      <c r="C1248" s="8" t="n">
        <v>46105.25</v>
      </c>
      <c r="D1248" s="9">
        <f>(C1248-B1248)*24</f>
        <v/>
      </c>
      <c r="E1248" s="10">
        <f>IF(AND(HOUR(B1248)&gt;=6,HOUR(B1248)&lt;18),"Day Shift","Night Shift")</f>
        <v/>
      </c>
      <c r="F1248" s="11">
        <f>INT(B1248)</f>
        <v/>
      </c>
      <c r="G1248" s="11">
        <f>INT(C1248)</f>
        <v/>
      </c>
    </row>
    <row r="1249">
      <c r="A1249" s="2" t="inlineStr">
        <is>
          <t>R04N Blockage</t>
        </is>
      </c>
      <c r="B1249" s="3" t="n">
        <v>46105.25</v>
      </c>
      <c r="C1249" s="3" t="n">
        <v>46105.75</v>
      </c>
      <c r="D1249" s="4">
        <f>(C1249-B1249)*24</f>
        <v/>
      </c>
      <c r="E1249" s="5">
        <f>IF(AND(HOUR(B1249)&gt;=6,HOUR(B1249)&lt;18),"Day Shift","Night Shift")</f>
        <v/>
      </c>
      <c r="F1249" s="6">
        <f>INT(B1249)</f>
        <v/>
      </c>
      <c r="G1249" s="6">
        <f>INT(C1249)</f>
        <v/>
      </c>
    </row>
    <row r="1250">
      <c r="A1250" s="7" t="inlineStr">
        <is>
          <t>R04N Blockage</t>
        </is>
      </c>
      <c r="B1250" s="8" t="n">
        <v>46105.75</v>
      </c>
      <c r="C1250" s="8" t="n">
        <v>46106.25</v>
      </c>
      <c r="D1250" s="9">
        <f>(C1250-B1250)*24</f>
        <v/>
      </c>
      <c r="E1250" s="10">
        <f>IF(AND(HOUR(B1250)&gt;=6,HOUR(B1250)&lt;18),"Day Shift","Night Shift")</f>
        <v/>
      </c>
      <c r="F1250" s="11">
        <f>INT(B1250)</f>
        <v/>
      </c>
      <c r="G1250" s="11">
        <f>INT(C1250)</f>
        <v/>
      </c>
    </row>
    <row r="1251">
      <c r="A1251" s="2" t="inlineStr">
        <is>
          <t>R04N Blockage</t>
        </is>
      </c>
      <c r="B1251" s="3" t="n">
        <v>46106.25</v>
      </c>
      <c r="C1251" s="3" t="n">
        <v>46106.75</v>
      </c>
      <c r="D1251" s="4">
        <f>(C1251-B1251)*24</f>
        <v/>
      </c>
      <c r="E1251" s="5">
        <f>IF(AND(HOUR(B1251)&gt;=6,HOUR(B1251)&lt;18),"Day Shift","Night Shift")</f>
        <v/>
      </c>
      <c r="F1251" s="6">
        <f>INT(B1251)</f>
        <v/>
      </c>
      <c r="G1251" s="6">
        <f>INT(C1251)</f>
        <v/>
      </c>
    </row>
    <row r="1252">
      <c r="A1252" s="7" t="inlineStr">
        <is>
          <t>R04N Blockage</t>
        </is>
      </c>
      <c r="B1252" s="8" t="n">
        <v>46106.75</v>
      </c>
      <c r="C1252" s="8" t="n">
        <v>46107.25</v>
      </c>
      <c r="D1252" s="9">
        <f>(C1252-B1252)*24</f>
        <v/>
      </c>
      <c r="E1252" s="10">
        <f>IF(AND(HOUR(B1252)&gt;=6,HOUR(B1252)&lt;18),"Day Shift","Night Shift")</f>
        <v/>
      </c>
      <c r="F1252" s="11">
        <f>INT(B1252)</f>
        <v/>
      </c>
      <c r="G1252" s="11">
        <f>INT(C1252)</f>
        <v/>
      </c>
    </row>
    <row r="1253">
      <c r="A1253" s="2" t="inlineStr">
        <is>
          <t>R04N Blockage</t>
        </is>
      </c>
      <c r="B1253" s="3" t="n">
        <v>46107.25</v>
      </c>
      <c r="C1253" s="3" t="n">
        <v>46107.75</v>
      </c>
      <c r="D1253" s="4">
        <f>(C1253-B1253)*24</f>
        <v/>
      </c>
      <c r="E1253" s="5">
        <f>IF(AND(HOUR(B1253)&gt;=6,HOUR(B1253)&lt;18),"Day Shift","Night Shift")</f>
        <v/>
      </c>
      <c r="F1253" s="6">
        <f>INT(B1253)</f>
        <v/>
      </c>
      <c r="G1253" s="6">
        <f>INT(C1253)</f>
        <v/>
      </c>
    </row>
    <row r="1254">
      <c r="A1254" s="7" t="inlineStr">
        <is>
          <t>R04N Blockage</t>
        </is>
      </c>
      <c r="B1254" s="8" t="n">
        <v>46107.75</v>
      </c>
      <c r="C1254" s="8" t="n">
        <v>46108.25</v>
      </c>
      <c r="D1254" s="9">
        <f>(C1254-B1254)*24</f>
        <v/>
      </c>
      <c r="E1254" s="10">
        <f>IF(AND(HOUR(B1254)&gt;=6,HOUR(B1254)&lt;18),"Day Shift","Night Shift")</f>
        <v/>
      </c>
      <c r="F1254" s="11">
        <f>INT(B1254)</f>
        <v/>
      </c>
      <c r="G1254" s="11">
        <f>INT(C1254)</f>
        <v/>
      </c>
    </row>
    <row r="1255">
      <c r="A1255" s="2" t="inlineStr">
        <is>
          <t>R04N Blockage</t>
        </is>
      </c>
      <c r="B1255" s="3" t="n">
        <v>46108.25</v>
      </c>
      <c r="C1255" s="3" t="n">
        <v>46108.75</v>
      </c>
      <c r="D1255" s="4">
        <f>(C1255-B1255)*24</f>
        <v/>
      </c>
      <c r="E1255" s="5">
        <f>IF(AND(HOUR(B1255)&gt;=6,HOUR(B1255)&lt;18),"Day Shift","Night Shift")</f>
        <v/>
      </c>
      <c r="F1255" s="6">
        <f>INT(B1255)</f>
        <v/>
      </c>
      <c r="G1255" s="6">
        <f>INT(C1255)</f>
        <v/>
      </c>
    </row>
    <row r="1256">
      <c r="A1256" s="7" t="inlineStr">
        <is>
          <t>R04N Blockage</t>
        </is>
      </c>
      <c r="B1256" s="8" t="n">
        <v>46108.75</v>
      </c>
      <c r="C1256" s="8" t="n">
        <v>46109.25</v>
      </c>
      <c r="D1256" s="9">
        <f>(C1256-B1256)*24</f>
        <v/>
      </c>
      <c r="E1256" s="10">
        <f>IF(AND(HOUR(B1256)&gt;=6,HOUR(B1256)&lt;18),"Day Shift","Night Shift")</f>
        <v/>
      </c>
      <c r="F1256" s="11">
        <f>INT(B1256)</f>
        <v/>
      </c>
      <c r="G1256" s="11">
        <f>INT(C1256)</f>
        <v/>
      </c>
    </row>
    <row r="1257">
      <c r="A1257" s="2" t="inlineStr">
        <is>
          <t>R04N Blockage</t>
        </is>
      </c>
      <c r="B1257" s="3" t="n">
        <v>46109.25</v>
      </c>
      <c r="C1257" s="3" t="n">
        <v>46109.75</v>
      </c>
      <c r="D1257" s="4">
        <f>(C1257-B1257)*24</f>
        <v/>
      </c>
      <c r="E1257" s="5">
        <f>IF(AND(HOUR(B1257)&gt;=6,HOUR(B1257)&lt;18),"Day Shift","Night Shift")</f>
        <v/>
      </c>
      <c r="F1257" s="6">
        <f>INT(B1257)</f>
        <v/>
      </c>
      <c r="G1257" s="6">
        <f>INT(C1257)</f>
        <v/>
      </c>
    </row>
    <row r="1258">
      <c r="A1258" s="7" t="inlineStr">
        <is>
          <t>R04N Blockage</t>
        </is>
      </c>
      <c r="B1258" s="8" t="n">
        <v>46109.75</v>
      </c>
      <c r="C1258" s="8" t="n">
        <v>46110.25</v>
      </c>
      <c r="D1258" s="9">
        <f>(C1258-B1258)*24</f>
        <v/>
      </c>
      <c r="E1258" s="10">
        <f>IF(AND(HOUR(B1258)&gt;=6,HOUR(B1258)&lt;18),"Day Shift","Night Shift")</f>
        <v/>
      </c>
      <c r="F1258" s="11">
        <f>INT(B1258)</f>
        <v/>
      </c>
      <c r="G1258" s="11">
        <f>INT(C1258)</f>
        <v/>
      </c>
    </row>
    <row r="1259">
      <c r="A1259" s="2" t="inlineStr">
        <is>
          <t>R04N Blockage</t>
        </is>
      </c>
      <c r="B1259" s="3" t="n">
        <v>46110.25</v>
      </c>
      <c r="C1259" s="3" t="n">
        <v>46110.75</v>
      </c>
      <c r="D1259" s="4">
        <f>(C1259-B1259)*24</f>
        <v/>
      </c>
      <c r="E1259" s="5">
        <f>IF(AND(HOUR(B1259)&gt;=6,HOUR(B1259)&lt;18),"Day Shift","Night Shift")</f>
        <v/>
      </c>
      <c r="F1259" s="6">
        <f>INT(B1259)</f>
        <v/>
      </c>
      <c r="G1259" s="6">
        <f>INT(C1259)</f>
        <v/>
      </c>
    </row>
    <row r="1260">
      <c r="A1260" s="7" t="inlineStr">
        <is>
          <t>R04N Blockage</t>
        </is>
      </c>
      <c r="B1260" s="8" t="n">
        <v>46110.75</v>
      </c>
      <c r="C1260" s="8" t="n">
        <v>46111.25</v>
      </c>
      <c r="D1260" s="9">
        <f>(C1260-B1260)*24</f>
        <v/>
      </c>
      <c r="E1260" s="10">
        <f>IF(AND(HOUR(B1260)&gt;=6,HOUR(B1260)&lt;18),"Day Shift","Night Shift")</f>
        <v/>
      </c>
      <c r="F1260" s="11">
        <f>INT(B1260)</f>
        <v/>
      </c>
      <c r="G1260" s="11">
        <f>INT(C1260)</f>
        <v/>
      </c>
    </row>
    <row r="1261">
      <c r="A1261" s="2" t="inlineStr">
        <is>
          <t>R04N Blockage</t>
        </is>
      </c>
      <c r="B1261" s="3" t="n">
        <v>46111.25</v>
      </c>
      <c r="C1261" s="3" t="n">
        <v>46111.75</v>
      </c>
      <c r="D1261" s="4">
        <f>(C1261-B1261)*24</f>
        <v/>
      </c>
      <c r="E1261" s="5">
        <f>IF(AND(HOUR(B1261)&gt;=6,HOUR(B1261)&lt;18),"Day Shift","Night Shift")</f>
        <v/>
      </c>
      <c r="F1261" s="6">
        <f>INT(B1261)</f>
        <v/>
      </c>
      <c r="G1261" s="6">
        <f>INT(C1261)</f>
        <v/>
      </c>
    </row>
    <row r="1262">
      <c r="A1262" s="7" t="inlineStr">
        <is>
          <t>R04N Blockage</t>
        </is>
      </c>
      <c r="B1262" s="8" t="n">
        <v>46111.75</v>
      </c>
      <c r="C1262" s="8" t="n">
        <v>46112.25</v>
      </c>
      <c r="D1262" s="9">
        <f>(C1262-B1262)*24</f>
        <v/>
      </c>
      <c r="E1262" s="10">
        <f>IF(AND(HOUR(B1262)&gt;=6,HOUR(B1262)&lt;18),"Day Shift","Night Shift")</f>
        <v/>
      </c>
      <c r="F1262" s="11">
        <f>INT(B1262)</f>
        <v/>
      </c>
      <c r="G1262" s="11">
        <f>INT(C1262)</f>
        <v/>
      </c>
    </row>
    <row r="1263">
      <c r="A1263" s="2" t="inlineStr">
        <is>
          <t>R04N Blockage</t>
        </is>
      </c>
      <c r="B1263" s="3" t="n">
        <v>46112.25</v>
      </c>
      <c r="C1263" s="3" t="n">
        <v>46112.75</v>
      </c>
      <c r="D1263" s="4">
        <f>(C1263-B1263)*24</f>
        <v/>
      </c>
      <c r="E1263" s="5">
        <f>IF(AND(HOUR(B1263)&gt;=6,HOUR(B1263)&lt;18),"Day Shift","Night Shift")</f>
        <v/>
      </c>
      <c r="F1263" s="6">
        <f>INT(B1263)</f>
        <v/>
      </c>
      <c r="G1263" s="6">
        <f>INT(C1263)</f>
        <v/>
      </c>
    </row>
    <row r="1264">
      <c r="A1264" s="7" t="inlineStr">
        <is>
          <t>R04N Blockage</t>
        </is>
      </c>
      <c r="B1264" s="8" t="n">
        <v>46112.75</v>
      </c>
      <c r="C1264" s="8" t="n">
        <v>46113.25</v>
      </c>
      <c r="D1264" s="9">
        <f>(C1264-B1264)*24</f>
        <v/>
      </c>
      <c r="E1264" s="10">
        <f>IF(AND(HOUR(B1264)&gt;=6,HOUR(B1264)&lt;18),"Day Shift","Night Shift")</f>
        <v/>
      </c>
      <c r="F1264" s="11">
        <f>INT(B1264)</f>
        <v/>
      </c>
      <c r="G1264" s="11">
        <f>INT(C1264)</f>
        <v/>
      </c>
    </row>
    <row r="1265">
      <c r="A1265" s="2" t="inlineStr">
        <is>
          <t>R04N Blockage</t>
        </is>
      </c>
      <c r="B1265" s="3" t="n">
        <v>46113.25</v>
      </c>
      <c r="C1265" s="3" t="n">
        <v>46113.75</v>
      </c>
      <c r="D1265" s="4">
        <f>(C1265-B1265)*24</f>
        <v/>
      </c>
      <c r="E1265" s="5">
        <f>IF(AND(HOUR(B1265)&gt;=6,HOUR(B1265)&lt;18),"Day Shift","Night Shift")</f>
        <v/>
      </c>
      <c r="F1265" s="6">
        <f>INT(B1265)</f>
        <v/>
      </c>
      <c r="G1265" s="6">
        <f>INT(C1265)</f>
        <v/>
      </c>
    </row>
    <row r="1266">
      <c r="A1266" s="7" t="inlineStr">
        <is>
          <t>R04N Blockage</t>
        </is>
      </c>
      <c r="B1266" s="8" t="n">
        <v>46113.75</v>
      </c>
      <c r="C1266" s="8" t="n">
        <v>46114.25</v>
      </c>
      <c r="D1266" s="9">
        <f>(C1266-B1266)*24</f>
        <v/>
      </c>
      <c r="E1266" s="10">
        <f>IF(AND(HOUR(B1266)&gt;=6,HOUR(B1266)&lt;18),"Day Shift","Night Shift")</f>
        <v/>
      </c>
      <c r="F1266" s="11">
        <f>INT(B1266)</f>
        <v/>
      </c>
      <c r="G1266" s="11">
        <f>INT(C1266)</f>
        <v/>
      </c>
    </row>
    <row r="1267">
      <c r="A1267" s="2" t="inlineStr">
        <is>
          <t>R04N Blockage</t>
        </is>
      </c>
      <c r="B1267" s="3" t="n">
        <v>46114.25</v>
      </c>
      <c r="C1267" s="3" t="n">
        <v>46114.75</v>
      </c>
      <c r="D1267" s="4">
        <f>(C1267-B1267)*24</f>
        <v/>
      </c>
      <c r="E1267" s="5">
        <f>IF(AND(HOUR(B1267)&gt;=6,HOUR(B1267)&lt;18),"Day Shift","Night Shift")</f>
        <v/>
      </c>
      <c r="F1267" s="6">
        <f>INT(B1267)</f>
        <v/>
      </c>
      <c r="G1267" s="6">
        <f>INT(C1267)</f>
        <v/>
      </c>
    </row>
    <row r="1268">
      <c r="A1268" s="7" t="inlineStr">
        <is>
          <t>R04N Blockage</t>
        </is>
      </c>
      <c r="B1268" s="8" t="n">
        <v>46114.75</v>
      </c>
      <c r="C1268" s="8" t="n">
        <v>46115.25</v>
      </c>
      <c r="D1268" s="9">
        <f>(C1268-B1268)*24</f>
        <v/>
      </c>
      <c r="E1268" s="10">
        <f>IF(AND(HOUR(B1268)&gt;=6,HOUR(B1268)&lt;18),"Day Shift","Night Shift")</f>
        <v/>
      </c>
      <c r="F1268" s="11">
        <f>INT(B1268)</f>
        <v/>
      </c>
      <c r="G1268" s="11">
        <f>INT(C1268)</f>
        <v/>
      </c>
    </row>
    <row r="1269">
      <c r="A1269" s="2" t="inlineStr">
        <is>
          <t>R04N Blockage</t>
        </is>
      </c>
      <c r="B1269" s="3" t="n">
        <v>46115.25</v>
      </c>
      <c r="C1269" s="3" t="n">
        <v>46115.75</v>
      </c>
      <c r="D1269" s="4">
        <f>(C1269-B1269)*24</f>
        <v/>
      </c>
      <c r="E1269" s="5">
        <f>IF(AND(HOUR(B1269)&gt;=6,HOUR(B1269)&lt;18),"Day Shift","Night Shift")</f>
        <v/>
      </c>
      <c r="F1269" s="6">
        <f>INT(B1269)</f>
        <v/>
      </c>
      <c r="G1269" s="6">
        <f>INT(C1269)</f>
        <v/>
      </c>
    </row>
    <row r="1270">
      <c r="A1270" s="7" t="inlineStr">
        <is>
          <t>R04N Blockage</t>
        </is>
      </c>
      <c r="B1270" s="8" t="n">
        <v>46115.75</v>
      </c>
      <c r="C1270" s="8" t="n">
        <v>46116.25</v>
      </c>
      <c r="D1270" s="9">
        <f>(C1270-B1270)*24</f>
        <v/>
      </c>
      <c r="E1270" s="10">
        <f>IF(AND(HOUR(B1270)&gt;=6,HOUR(B1270)&lt;18),"Day Shift","Night Shift")</f>
        <v/>
      </c>
      <c r="F1270" s="11">
        <f>INT(B1270)</f>
        <v/>
      </c>
      <c r="G1270" s="11">
        <f>INT(C1270)</f>
        <v/>
      </c>
    </row>
    <row r="1271">
      <c r="A1271" s="2" t="inlineStr">
        <is>
          <t>R04N Blockage</t>
        </is>
      </c>
      <c r="B1271" s="3" t="n">
        <v>46116.25</v>
      </c>
      <c r="C1271" s="3" t="n">
        <v>46116.75</v>
      </c>
      <c r="D1271" s="4">
        <f>(C1271-B1271)*24</f>
        <v/>
      </c>
      <c r="E1271" s="5">
        <f>IF(AND(HOUR(B1271)&gt;=6,HOUR(B1271)&lt;18),"Day Shift","Night Shift")</f>
        <v/>
      </c>
      <c r="F1271" s="6">
        <f>INT(B1271)</f>
        <v/>
      </c>
      <c r="G1271" s="6">
        <f>INT(C1271)</f>
        <v/>
      </c>
    </row>
    <row r="1272">
      <c r="A1272" s="7" t="inlineStr">
        <is>
          <t>R04N Blockage</t>
        </is>
      </c>
      <c r="B1272" s="8" t="n">
        <v>46116.75</v>
      </c>
      <c r="C1272" s="8" t="n">
        <v>46117.25</v>
      </c>
      <c r="D1272" s="9">
        <f>(C1272-B1272)*24</f>
        <v/>
      </c>
      <c r="E1272" s="10">
        <f>IF(AND(HOUR(B1272)&gt;=6,HOUR(B1272)&lt;18),"Day Shift","Night Shift")</f>
        <v/>
      </c>
      <c r="F1272" s="11">
        <f>INT(B1272)</f>
        <v/>
      </c>
      <c r="G1272" s="11">
        <f>INT(C1272)</f>
        <v/>
      </c>
    </row>
    <row r="1273">
      <c r="A1273" s="2" t="inlineStr">
        <is>
          <t>R04N Blockage</t>
        </is>
      </c>
      <c r="B1273" s="3" t="n">
        <v>46117.25</v>
      </c>
      <c r="C1273" s="3" t="n">
        <v>46117.75</v>
      </c>
      <c r="D1273" s="4">
        <f>(C1273-B1273)*24</f>
        <v/>
      </c>
      <c r="E1273" s="5">
        <f>IF(AND(HOUR(B1273)&gt;=6,HOUR(B1273)&lt;18),"Day Shift","Night Shift")</f>
        <v/>
      </c>
      <c r="F1273" s="6">
        <f>INT(B1273)</f>
        <v/>
      </c>
      <c r="G1273" s="6">
        <f>INT(C1273)</f>
        <v/>
      </c>
    </row>
    <row r="1274">
      <c r="A1274" s="7" t="inlineStr">
        <is>
          <t>R04N Blockage</t>
        </is>
      </c>
      <c r="B1274" s="8" t="n">
        <v>46117.75</v>
      </c>
      <c r="C1274" s="8" t="n">
        <v>46118.25</v>
      </c>
      <c r="D1274" s="9">
        <f>(C1274-B1274)*24</f>
        <v/>
      </c>
      <c r="E1274" s="10">
        <f>IF(AND(HOUR(B1274)&gt;=6,HOUR(B1274)&lt;18),"Day Shift","Night Shift")</f>
        <v/>
      </c>
      <c r="F1274" s="11">
        <f>INT(B1274)</f>
        <v/>
      </c>
      <c r="G1274" s="11">
        <f>INT(C1274)</f>
        <v/>
      </c>
    </row>
    <row r="1275">
      <c r="A1275" s="2" t="inlineStr">
        <is>
          <t>R04N Blockage</t>
        </is>
      </c>
      <c r="B1275" s="3" t="n">
        <v>46118.25</v>
      </c>
      <c r="C1275" s="3" t="n">
        <v>46118.75</v>
      </c>
      <c r="D1275" s="4">
        <f>(C1275-B1275)*24</f>
        <v/>
      </c>
      <c r="E1275" s="5">
        <f>IF(AND(HOUR(B1275)&gt;=6,HOUR(B1275)&lt;18),"Day Shift","Night Shift")</f>
        <v/>
      </c>
      <c r="F1275" s="6">
        <f>INT(B1275)</f>
        <v/>
      </c>
      <c r="G1275" s="6">
        <f>INT(C1275)</f>
        <v/>
      </c>
    </row>
    <row r="1276">
      <c r="A1276" s="7" t="inlineStr">
        <is>
          <t>R04N Blockage</t>
        </is>
      </c>
      <c r="B1276" s="8" t="n">
        <v>46118.75</v>
      </c>
      <c r="C1276" s="8" t="n">
        <v>46119.25</v>
      </c>
      <c r="D1276" s="9">
        <f>(C1276-B1276)*24</f>
        <v/>
      </c>
      <c r="E1276" s="10">
        <f>IF(AND(HOUR(B1276)&gt;=6,HOUR(B1276)&lt;18),"Day Shift","Night Shift")</f>
        <v/>
      </c>
      <c r="F1276" s="11">
        <f>INT(B1276)</f>
        <v/>
      </c>
      <c r="G1276" s="11">
        <f>INT(C1276)</f>
        <v/>
      </c>
    </row>
    <row r="1277">
      <c r="A1277" s="2" t="inlineStr">
        <is>
          <t>R04N Blockage</t>
        </is>
      </c>
      <c r="B1277" s="3" t="n">
        <v>46119.25</v>
      </c>
      <c r="C1277" s="3" t="n">
        <v>46119.75</v>
      </c>
      <c r="D1277" s="4">
        <f>(C1277-B1277)*24</f>
        <v/>
      </c>
      <c r="E1277" s="5">
        <f>IF(AND(HOUR(B1277)&gt;=6,HOUR(B1277)&lt;18),"Day Shift","Night Shift")</f>
        <v/>
      </c>
      <c r="F1277" s="6">
        <f>INT(B1277)</f>
        <v/>
      </c>
      <c r="G1277" s="6">
        <f>INT(C1277)</f>
        <v/>
      </c>
    </row>
    <row r="1278">
      <c r="A1278" s="7" t="inlineStr">
        <is>
          <t>R04N Blockage</t>
        </is>
      </c>
      <c r="B1278" s="8" t="n">
        <v>46119.75</v>
      </c>
      <c r="C1278" s="8" t="n">
        <v>46120.25</v>
      </c>
      <c r="D1278" s="9">
        <f>(C1278-B1278)*24</f>
        <v/>
      </c>
      <c r="E1278" s="10">
        <f>IF(AND(HOUR(B1278)&gt;=6,HOUR(B1278)&lt;18),"Day Shift","Night Shift")</f>
        <v/>
      </c>
      <c r="F1278" s="11">
        <f>INT(B1278)</f>
        <v/>
      </c>
      <c r="G1278" s="11">
        <f>INT(C1278)</f>
        <v/>
      </c>
    </row>
    <row r="1279">
      <c r="A1279" s="2" t="inlineStr">
        <is>
          <t>R04N Blockage</t>
        </is>
      </c>
      <c r="B1279" s="3" t="n">
        <v>46120.25</v>
      </c>
      <c r="C1279" s="3" t="n">
        <v>46120.75</v>
      </c>
      <c r="D1279" s="4">
        <f>(C1279-B1279)*24</f>
        <v/>
      </c>
      <c r="E1279" s="5">
        <f>IF(AND(HOUR(B1279)&gt;=6,HOUR(B1279)&lt;18),"Day Shift","Night Shift")</f>
        <v/>
      </c>
      <c r="F1279" s="6">
        <f>INT(B1279)</f>
        <v/>
      </c>
      <c r="G1279" s="6">
        <f>INT(C1279)</f>
        <v/>
      </c>
    </row>
    <row r="1280">
      <c r="A1280" s="7" t="inlineStr">
        <is>
          <t>R04N Blockage</t>
        </is>
      </c>
      <c r="B1280" s="8" t="n">
        <v>46120.75</v>
      </c>
      <c r="C1280" s="8" t="n">
        <v>46121.25</v>
      </c>
      <c r="D1280" s="9">
        <f>(C1280-B1280)*24</f>
        <v/>
      </c>
      <c r="E1280" s="10">
        <f>IF(AND(HOUR(B1280)&gt;=6,HOUR(B1280)&lt;18),"Day Shift","Night Shift")</f>
        <v/>
      </c>
      <c r="F1280" s="11">
        <f>INT(B1280)</f>
        <v/>
      </c>
      <c r="G1280" s="11">
        <f>INT(C1280)</f>
        <v/>
      </c>
    </row>
    <row r="1281">
      <c r="A1281" s="2" t="inlineStr">
        <is>
          <t>R04N Blockage</t>
        </is>
      </c>
      <c r="B1281" s="3" t="n">
        <v>46121.25</v>
      </c>
      <c r="C1281" s="3" t="n">
        <v>46121.75</v>
      </c>
      <c r="D1281" s="4">
        <f>(C1281-B1281)*24</f>
        <v/>
      </c>
      <c r="E1281" s="5">
        <f>IF(AND(HOUR(B1281)&gt;=6,HOUR(B1281)&lt;18),"Day Shift","Night Shift")</f>
        <v/>
      </c>
      <c r="F1281" s="6">
        <f>INT(B1281)</f>
        <v/>
      </c>
      <c r="G1281" s="6">
        <f>INT(C1281)</f>
        <v/>
      </c>
    </row>
    <row r="1282">
      <c r="A1282" s="7" t="inlineStr">
        <is>
          <t>R04N Blockage</t>
        </is>
      </c>
      <c r="B1282" s="8" t="n">
        <v>46121.75</v>
      </c>
      <c r="C1282" s="8" t="n">
        <v>46122.25</v>
      </c>
      <c r="D1282" s="9">
        <f>(C1282-B1282)*24</f>
        <v/>
      </c>
      <c r="E1282" s="10">
        <f>IF(AND(HOUR(B1282)&gt;=6,HOUR(B1282)&lt;18),"Day Shift","Night Shift")</f>
        <v/>
      </c>
      <c r="F1282" s="11">
        <f>INT(B1282)</f>
        <v/>
      </c>
      <c r="G1282" s="11">
        <f>INT(C1282)</f>
        <v/>
      </c>
    </row>
    <row r="1283">
      <c r="A1283" s="2" t="inlineStr">
        <is>
          <t>R04N Blockage</t>
        </is>
      </c>
      <c r="B1283" s="3" t="n">
        <v>46122.25</v>
      </c>
      <c r="C1283" s="3" t="n">
        <v>46122.75</v>
      </c>
      <c r="D1283" s="4">
        <f>(C1283-B1283)*24</f>
        <v/>
      </c>
      <c r="E1283" s="5">
        <f>IF(AND(HOUR(B1283)&gt;=6,HOUR(B1283)&lt;18),"Day Shift","Night Shift")</f>
        <v/>
      </c>
      <c r="F1283" s="6">
        <f>INT(B1283)</f>
        <v/>
      </c>
      <c r="G1283" s="6">
        <f>INT(C1283)</f>
        <v/>
      </c>
    </row>
    <row r="1284">
      <c r="A1284" s="7" t="inlineStr">
        <is>
          <t>R04N Blockage</t>
        </is>
      </c>
      <c r="B1284" s="8" t="n">
        <v>46122.75</v>
      </c>
      <c r="C1284" s="8" t="n">
        <v>46123.25</v>
      </c>
      <c r="D1284" s="9">
        <f>(C1284-B1284)*24</f>
        <v/>
      </c>
      <c r="E1284" s="10">
        <f>IF(AND(HOUR(B1284)&gt;=6,HOUR(B1284)&lt;18),"Day Shift","Night Shift")</f>
        <v/>
      </c>
      <c r="F1284" s="11">
        <f>INT(B1284)</f>
        <v/>
      </c>
      <c r="G1284" s="11">
        <f>INT(C1284)</f>
        <v/>
      </c>
    </row>
    <row r="1285">
      <c r="A1285" s="2" t="inlineStr">
        <is>
          <t>R04N Blockage</t>
        </is>
      </c>
      <c r="B1285" s="3" t="n">
        <v>46123.25</v>
      </c>
      <c r="C1285" s="3" t="n">
        <v>46123.75</v>
      </c>
      <c r="D1285" s="4">
        <f>(C1285-B1285)*24</f>
        <v/>
      </c>
      <c r="E1285" s="5">
        <f>IF(AND(HOUR(B1285)&gt;=6,HOUR(B1285)&lt;18),"Day Shift","Night Shift")</f>
        <v/>
      </c>
      <c r="F1285" s="6">
        <f>INT(B1285)</f>
        <v/>
      </c>
      <c r="G1285" s="6">
        <f>INT(C1285)</f>
        <v/>
      </c>
    </row>
    <row r="1286">
      <c r="A1286" s="7" t="inlineStr">
        <is>
          <t>R04N Blockage</t>
        </is>
      </c>
      <c r="B1286" s="8" t="n">
        <v>46123.75</v>
      </c>
      <c r="C1286" s="8" t="n">
        <v>46124.25</v>
      </c>
      <c r="D1286" s="9">
        <f>(C1286-B1286)*24</f>
        <v/>
      </c>
      <c r="E1286" s="10">
        <f>IF(AND(HOUR(B1286)&gt;=6,HOUR(B1286)&lt;18),"Day Shift","Night Shift")</f>
        <v/>
      </c>
      <c r="F1286" s="11">
        <f>INT(B1286)</f>
        <v/>
      </c>
      <c r="G1286" s="11">
        <f>INT(C1286)</f>
        <v/>
      </c>
    </row>
    <row r="1287">
      <c r="A1287" s="2" t="inlineStr">
        <is>
          <t>R04N Blockage</t>
        </is>
      </c>
      <c r="B1287" s="3" t="n">
        <v>46124.25</v>
      </c>
      <c r="C1287" s="3" t="n">
        <v>46124.75</v>
      </c>
      <c r="D1287" s="4">
        <f>(C1287-B1287)*24</f>
        <v/>
      </c>
      <c r="E1287" s="5">
        <f>IF(AND(HOUR(B1287)&gt;=6,HOUR(B1287)&lt;18),"Day Shift","Night Shift")</f>
        <v/>
      </c>
      <c r="F1287" s="6">
        <f>INT(B1287)</f>
        <v/>
      </c>
      <c r="G1287" s="6">
        <f>INT(C1287)</f>
        <v/>
      </c>
    </row>
    <row r="1288">
      <c r="A1288" s="7" t="inlineStr">
        <is>
          <t>R04N Blockage</t>
        </is>
      </c>
      <c r="B1288" s="8" t="n">
        <v>46124.75</v>
      </c>
      <c r="C1288" s="8" t="n">
        <v>46125.25</v>
      </c>
      <c r="D1288" s="9">
        <f>(C1288-B1288)*24</f>
        <v/>
      </c>
      <c r="E1288" s="10">
        <f>IF(AND(HOUR(B1288)&gt;=6,HOUR(B1288)&lt;18),"Day Shift","Night Shift")</f>
        <v/>
      </c>
      <c r="F1288" s="11">
        <f>INT(B1288)</f>
        <v/>
      </c>
      <c r="G1288" s="11">
        <f>INT(C1288)</f>
        <v/>
      </c>
    </row>
    <row r="1289">
      <c r="A1289" s="2" t="inlineStr">
        <is>
          <t>R04N Blockage</t>
        </is>
      </c>
      <c r="B1289" s="3" t="n">
        <v>46125.25</v>
      </c>
      <c r="C1289" s="3" t="n">
        <v>46125.75</v>
      </c>
      <c r="D1289" s="4">
        <f>(C1289-B1289)*24</f>
        <v/>
      </c>
      <c r="E1289" s="5">
        <f>IF(AND(HOUR(B1289)&gt;=6,HOUR(B1289)&lt;18),"Day Shift","Night Shift")</f>
        <v/>
      </c>
      <c r="F1289" s="6">
        <f>INT(B1289)</f>
        <v/>
      </c>
      <c r="G1289" s="6">
        <f>INT(C1289)</f>
        <v/>
      </c>
    </row>
    <row r="1290">
      <c r="A1290" s="7" t="inlineStr">
        <is>
          <t>R04N Blockage</t>
        </is>
      </c>
      <c r="B1290" s="8" t="n">
        <v>46125.75</v>
      </c>
      <c r="C1290" s="8" t="n">
        <v>46126.25</v>
      </c>
      <c r="D1290" s="9">
        <f>(C1290-B1290)*24</f>
        <v/>
      </c>
      <c r="E1290" s="10">
        <f>IF(AND(HOUR(B1290)&gt;=6,HOUR(B1290)&lt;18),"Day Shift","Night Shift")</f>
        <v/>
      </c>
      <c r="F1290" s="11">
        <f>INT(B1290)</f>
        <v/>
      </c>
      <c r="G1290" s="11">
        <f>INT(C1290)</f>
        <v/>
      </c>
    </row>
    <row r="1291">
      <c r="A1291" s="2" t="inlineStr">
        <is>
          <t>R04N Blockage</t>
        </is>
      </c>
      <c r="B1291" s="3" t="n">
        <v>46126.25</v>
      </c>
      <c r="C1291" s="3" t="n">
        <v>46126.75</v>
      </c>
      <c r="D1291" s="4">
        <f>(C1291-B1291)*24</f>
        <v/>
      </c>
      <c r="E1291" s="5">
        <f>IF(AND(HOUR(B1291)&gt;=6,HOUR(B1291)&lt;18),"Day Shift","Night Shift")</f>
        <v/>
      </c>
      <c r="F1291" s="6">
        <f>INT(B1291)</f>
        <v/>
      </c>
      <c r="G1291" s="6">
        <f>INT(C1291)</f>
        <v/>
      </c>
    </row>
    <row r="1292">
      <c r="A1292" s="7" t="inlineStr">
        <is>
          <t>R04N Blockage</t>
        </is>
      </c>
      <c r="B1292" s="8" t="n">
        <v>46126.75</v>
      </c>
      <c r="C1292" s="8" t="n">
        <v>46127.25</v>
      </c>
      <c r="D1292" s="9">
        <f>(C1292-B1292)*24</f>
        <v/>
      </c>
      <c r="E1292" s="10">
        <f>IF(AND(HOUR(B1292)&gt;=6,HOUR(B1292)&lt;18),"Day Shift","Night Shift")</f>
        <v/>
      </c>
      <c r="F1292" s="11">
        <f>INT(B1292)</f>
        <v/>
      </c>
      <c r="G1292" s="11">
        <f>INT(C1292)</f>
        <v/>
      </c>
    </row>
    <row r="1293">
      <c r="A1293" s="2" t="inlineStr">
        <is>
          <t>R04N Blockage</t>
        </is>
      </c>
      <c r="B1293" s="3" t="n">
        <v>46127.25</v>
      </c>
      <c r="C1293" s="3" t="n">
        <v>46127.75</v>
      </c>
      <c r="D1293" s="4">
        <f>(C1293-B1293)*24</f>
        <v/>
      </c>
      <c r="E1293" s="5">
        <f>IF(AND(HOUR(B1293)&gt;=6,HOUR(B1293)&lt;18),"Day Shift","Night Shift")</f>
        <v/>
      </c>
      <c r="F1293" s="6">
        <f>INT(B1293)</f>
        <v/>
      </c>
      <c r="G1293" s="6">
        <f>INT(C1293)</f>
        <v/>
      </c>
    </row>
    <row r="1294">
      <c r="A1294" s="7" t="inlineStr">
        <is>
          <t>R04N Blockage</t>
        </is>
      </c>
      <c r="B1294" s="8" t="n">
        <v>46127.75</v>
      </c>
      <c r="C1294" s="8" t="n">
        <v>46128.25</v>
      </c>
      <c r="D1294" s="9">
        <f>(C1294-B1294)*24</f>
        <v/>
      </c>
      <c r="E1294" s="10">
        <f>IF(AND(HOUR(B1294)&gt;=6,HOUR(B1294)&lt;18),"Day Shift","Night Shift")</f>
        <v/>
      </c>
      <c r="F1294" s="11">
        <f>INT(B1294)</f>
        <v/>
      </c>
      <c r="G1294" s="11">
        <f>INT(C1294)</f>
        <v/>
      </c>
    </row>
    <row r="1295">
      <c r="A1295" s="2" t="inlineStr">
        <is>
          <t>R04N Blockage</t>
        </is>
      </c>
      <c r="B1295" s="3" t="n">
        <v>46128.25</v>
      </c>
      <c r="C1295" s="3" t="n">
        <v>46128.75</v>
      </c>
      <c r="D1295" s="4">
        <f>(C1295-B1295)*24</f>
        <v/>
      </c>
      <c r="E1295" s="5">
        <f>IF(AND(HOUR(B1295)&gt;=6,HOUR(B1295)&lt;18),"Day Shift","Night Shift")</f>
        <v/>
      </c>
      <c r="F1295" s="6">
        <f>INT(B1295)</f>
        <v/>
      </c>
      <c r="G1295" s="6">
        <f>INT(C1295)</f>
        <v/>
      </c>
    </row>
    <row r="1296">
      <c r="A1296" s="7" t="inlineStr">
        <is>
          <t>R04N Blockage</t>
        </is>
      </c>
      <c r="B1296" s="8" t="n">
        <v>46128.75</v>
      </c>
      <c r="C1296" s="8" t="n">
        <v>46129.25</v>
      </c>
      <c r="D1296" s="9">
        <f>(C1296-B1296)*24</f>
        <v/>
      </c>
      <c r="E1296" s="10">
        <f>IF(AND(HOUR(B1296)&gt;=6,HOUR(B1296)&lt;18),"Day Shift","Night Shift")</f>
        <v/>
      </c>
      <c r="F1296" s="11">
        <f>INT(B1296)</f>
        <v/>
      </c>
      <c r="G1296" s="11">
        <f>INT(C1296)</f>
        <v/>
      </c>
    </row>
    <row r="1297">
      <c r="A1297" s="2" t="inlineStr">
        <is>
          <t>R04N Blockage</t>
        </is>
      </c>
      <c r="B1297" s="3" t="n">
        <v>46129.25</v>
      </c>
      <c r="C1297" s="3" t="n">
        <v>46129.75</v>
      </c>
      <c r="D1297" s="4">
        <f>(C1297-B1297)*24</f>
        <v/>
      </c>
      <c r="E1297" s="5">
        <f>IF(AND(HOUR(B1297)&gt;=6,HOUR(B1297)&lt;18),"Day Shift","Night Shift")</f>
        <v/>
      </c>
      <c r="F1297" s="6">
        <f>INT(B1297)</f>
        <v/>
      </c>
      <c r="G1297" s="6">
        <f>INT(C1297)</f>
        <v/>
      </c>
    </row>
    <row r="1298">
      <c r="A1298" s="7" t="inlineStr">
        <is>
          <t>R04N Blockage</t>
        </is>
      </c>
      <c r="B1298" s="8" t="n">
        <v>46129.75</v>
      </c>
      <c r="C1298" s="8" t="n">
        <v>46130.25</v>
      </c>
      <c r="D1298" s="9">
        <f>(C1298-B1298)*24</f>
        <v/>
      </c>
      <c r="E1298" s="10">
        <f>IF(AND(HOUR(B1298)&gt;=6,HOUR(B1298)&lt;18),"Day Shift","Night Shift")</f>
        <v/>
      </c>
      <c r="F1298" s="11">
        <f>INT(B1298)</f>
        <v/>
      </c>
      <c r="G1298" s="11">
        <f>INT(C1298)</f>
        <v/>
      </c>
    </row>
    <row r="1299">
      <c r="A1299" s="2" t="inlineStr">
        <is>
          <t>R04N Blockage</t>
        </is>
      </c>
      <c r="B1299" s="3" t="n">
        <v>46130.25</v>
      </c>
      <c r="C1299" s="3" t="n">
        <v>46130.75</v>
      </c>
      <c r="D1299" s="4">
        <f>(C1299-B1299)*24</f>
        <v/>
      </c>
      <c r="E1299" s="5">
        <f>IF(AND(HOUR(B1299)&gt;=6,HOUR(B1299)&lt;18),"Day Shift","Night Shift")</f>
        <v/>
      </c>
      <c r="F1299" s="6">
        <f>INT(B1299)</f>
        <v/>
      </c>
      <c r="G1299" s="6">
        <f>INT(C1299)</f>
        <v/>
      </c>
    </row>
    <row r="1300">
      <c r="A1300" s="7" t="inlineStr">
        <is>
          <t>R04N Blockage</t>
        </is>
      </c>
      <c r="B1300" s="8" t="n">
        <v>46130.75</v>
      </c>
      <c r="C1300" s="8" t="n">
        <v>46131.25</v>
      </c>
      <c r="D1300" s="9">
        <f>(C1300-B1300)*24</f>
        <v/>
      </c>
      <c r="E1300" s="10">
        <f>IF(AND(HOUR(B1300)&gt;=6,HOUR(B1300)&lt;18),"Day Shift","Night Shift")</f>
        <v/>
      </c>
      <c r="F1300" s="11">
        <f>INT(B1300)</f>
        <v/>
      </c>
      <c r="G1300" s="11">
        <f>INT(C1300)</f>
        <v/>
      </c>
    </row>
    <row r="1301">
      <c r="A1301" s="2" t="inlineStr">
        <is>
          <t>R04N Blockage</t>
        </is>
      </c>
      <c r="B1301" s="3" t="n">
        <v>46131.25</v>
      </c>
      <c r="C1301" s="3" t="n">
        <v>46131.75</v>
      </c>
      <c r="D1301" s="4">
        <f>(C1301-B1301)*24</f>
        <v/>
      </c>
      <c r="E1301" s="5">
        <f>IF(AND(HOUR(B1301)&gt;=6,HOUR(B1301)&lt;18),"Day Shift","Night Shift")</f>
        <v/>
      </c>
      <c r="F1301" s="6">
        <f>INT(B1301)</f>
        <v/>
      </c>
      <c r="G1301" s="6">
        <f>INT(C1301)</f>
        <v/>
      </c>
    </row>
    <row r="1302">
      <c r="A1302" s="7" t="inlineStr">
        <is>
          <t>R04N Blockage</t>
        </is>
      </c>
      <c r="B1302" s="8" t="n">
        <v>46131.75</v>
      </c>
      <c r="C1302" s="8" t="n">
        <v>46132.25</v>
      </c>
      <c r="D1302" s="9">
        <f>(C1302-B1302)*24</f>
        <v/>
      </c>
      <c r="E1302" s="10">
        <f>IF(AND(HOUR(B1302)&gt;=6,HOUR(B1302)&lt;18),"Day Shift","Night Shift")</f>
        <v/>
      </c>
      <c r="F1302" s="11">
        <f>INT(B1302)</f>
        <v/>
      </c>
      <c r="G1302" s="11">
        <f>INT(C1302)</f>
        <v/>
      </c>
    </row>
    <row r="1303">
      <c r="A1303" s="2" t="inlineStr">
        <is>
          <t>R04N Blockage</t>
        </is>
      </c>
      <c r="B1303" s="3" t="n">
        <v>46132.25</v>
      </c>
      <c r="C1303" s="3" t="n">
        <v>46132.75</v>
      </c>
      <c r="D1303" s="4">
        <f>(C1303-B1303)*24</f>
        <v/>
      </c>
      <c r="E1303" s="5">
        <f>IF(AND(HOUR(B1303)&gt;=6,HOUR(B1303)&lt;18),"Day Shift","Night Shift")</f>
        <v/>
      </c>
      <c r="F1303" s="6">
        <f>INT(B1303)</f>
        <v/>
      </c>
      <c r="G1303" s="6">
        <f>INT(C1303)</f>
        <v/>
      </c>
    </row>
    <row r="1304">
      <c r="A1304" s="7" t="inlineStr">
        <is>
          <t>R04N Blockage</t>
        </is>
      </c>
      <c r="B1304" s="8" t="n">
        <v>46132.75</v>
      </c>
      <c r="C1304" s="8" t="n">
        <v>46133.25</v>
      </c>
      <c r="D1304" s="9">
        <f>(C1304-B1304)*24</f>
        <v/>
      </c>
      <c r="E1304" s="10">
        <f>IF(AND(HOUR(B1304)&gt;=6,HOUR(B1304)&lt;18),"Day Shift","Night Shift")</f>
        <v/>
      </c>
      <c r="F1304" s="11">
        <f>INT(B1304)</f>
        <v/>
      </c>
      <c r="G1304" s="11">
        <f>INT(C1304)</f>
        <v/>
      </c>
    </row>
    <row r="1305">
      <c r="A1305" s="2" t="inlineStr">
        <is>
          <t>R04N Blockage</t>
        </is>
      </c>
      <c r="B1305" s="3" t="n">
        <v>46133.25</v>
      </c>
      <c r="C1305" s="3" t="n">
        <v>46133.75</v>
      </c>
      <c r="D1305" s="4">
        <f>(C1305-B1305)*24</f>
        <v/>
      </c>
      <c r="E1305" s="5">
        <f>IF(AND(HOUR(B1305)&gt;=6,HOUR(B1305)&lt;18),"Day Shift","Night Shift")</f>
        <v/>
      </c>
      <c r="F1305" s="6">
        <f>INT(B1305)</f>
        <v/>
      </c>
      <c r="G1305" s="6">
        <f>INT(C1305)</f>
        <v/>
      </c>
    </row>
    <row r="1306">
      <c r="A1306" s="7" t="inlineStr">
        <is>
          <t>R04N Blockage</t>
        </is>
      </c>
      <c r="B1306" s="8" t="n">
        <v>46133.75</v>
      </c>
      <c r="C1306" s="8" t="n">
        <v>46134.25</v>
      </c>
      <c r="D1306" s="9">
        <f>(C1306-B1306)*24</f>
        <v/>
      </c>
      <c r="E1306" s="10">
        <f>IF(AND(HOUR(B1306)&gt;=6,HOUR(B1306)&lt;18),"Day Shift","Night Shift")</f>
        <v/>
      </c>
      <c r="F1306" s="11">
        <f>INT(B1306)</f>
        <v/>
      </c>
      <c r="G1306" s="11">
        <f>INT(C1306)</f>
        <v/>
      </c>
    </row>
    <row r="1307">
      <c r="A1307" s="2" t="inlineStr">
        <is>
          <t>R04N Blockage</t>
        </is>
      </c>
      <c r="B1307" s="3" t="n">
        <v>46134.25</v>
      </c>
      <c r="C1307" s="3" t="n">
        <v>46134.75</v>
      </c>
      <c r="D1307" s="4">
        <f>(C1307-B1307)*24</f>
        <v/>
      </c>
      <c r="E1307" s="5">
        <f>IF(AND(HOUR(B1307)&gt;=6,HOUR(B1307)&lt;18),"Day Shift","Night Shift")</f>
        <v/>
      </c>
      <c r="F1307" s="6">
        <f>INT(B1307)</f>
        <v/>
      </c>
      <c r="G1307" s="6">
        <f>INT(C1307)</f>
        <v/>
      </c>
    </row>
    <row r="1308">
      <c r="A1308" s="7" t="inlineStr">
        <is>
          <t>R04N Blockage</t>
        </is>
      </c>
      <c r="B1308" s="8" t="n">
        <v>46134.75</v>
      </c>
      <c r="C1308" s="8" t="n">
        <v>46135.25</v>
      </c>
      <c r="D1308" s="9">
        <f>(C1308-B1308)*24</f>
        <v/>
      </c>
      <c r="E1308" s="10">
        <f>IF(AND(HOUR(B1308)&gt;=6,HOUR(B1308)&lt;18),"Day Shift","Night Shift")</f>
        <v/>
      </c>
      <c r="F1308" s="11">
        <f>INT(B1308)</f>
        <v/>
      </c>
      <c r="G1308" s="11">
        <f>INT(C1308)</f>
        <v/>
      </c>
    </row>
    <row r="1309">
      <c r="A1309" s="2" t="inlineStr">
        <is>
          <t>R04N Blockage</t>
        </is>
      </c>
      <c r="B1309" s="3" t="n">
        <v>46135.25</v>
      </c>
      <c r="C1309" s="3" t="n">
        <v>46135.75</v>
      </c>
      <c r="D1309" s="4">
        <f>(C1309-B1309)*24</f>
        <v/>
      </c>
      <c r="E1309" s="5">
        <f>IF(AND(HOUR(B1309)&gt;=6,HOUR(B1309)&lt;18),"Day Shift","Night Shift")</f>
        <v/>
      </c>
      <c r="F1309" s="6">
        <f>INT(B1309)</f>
        <v/>
      </c>
      <c r="G1309" s="6">
        <f>INT(C1309)</f>
        <v/>
      </c>
    </row>
    <row r="1310">
      <c r="A1310" s="7" t="inlineStr">
        <is>
          <t>R04N Blockage</t>
        </is>
      </c>
      <c r="B1310" s="8" t="n">
        <v>46135.75</v>
      </c>
      <c r="C1310" s="8" t="n">
        <v>46136.25</v>
      </c>
      <c r="D1310" s="9">
        <f>(C1310-B1310)*24</f>
        <v/>
      </c>
      <c r="E1310" s="10">
        <f>IF(AND(HOUR(B1310)&gt;=6,HOUR(B1310)&lt;18),"Day Shift","Night Shift")</f>
        <v/>
      </c>
      <c r="F1310" s="11">
        <f>INT(B1310)</f>
        <v/>
      </c>
      <c r="G1310" s="11">
        <f>INT(C1310)</f>
        <v/>
      </c>
    </row>
    <row r="1311">
      <c r="A1311" s="2" t="inlineStr">
        <is>
          <t>R04N Blockage</t>
        </is>
      </c>
      <c r="B1311" s="3" t="n">
        <v>46136.25</v>
      </c>
      <c r="C1311" s="3" t="n">
        <v>46136.75</v>
      </c>
      <c r="D1311" s="4">
        <f>(C1311-B1311)*24</f>
        <v/>
      </c>
      <c r="E1311" s="5">
        <f>IF(AND(HOUR(B1311)&gt;=6,HOUR(B1311)&lt;18),"Day Shift","Night Shift")</f>
        <v/>
      </c>
      <c r="F1311" s="6">
        <f>INT(B1311)</f>
        <v/>
      </c>
      <c r="G1311" s="6">
        <f>INT(C1311)</f>
        <v/>
      </c>
    </row>
    <row r="1312">
      <c r="A1312" s="7" t="inlineStr">
        <is>
          <t>R04N Blockage</t>
        </is>
      </c>
      <c r="B1312" s="8" t="n">
        <v>46136.75</v>
      </c>
      <c r="C1312" s="8" t="n">
        <v>46137.25</v>
      </c>
      <c r="D1312" s="9">
        <f>(C1312-B1312)*24</f>
        <v/>
      </c>
      <c r="E1312" s="10">
        <f>IF(AND(HOUR(B1312)&gt;=6,HOUR(B1312)&lt;18),"Day Shift","Night Shift")</f>
        <v/>
      </c>
      <c r="F1312" s="11">
        <f>INT(B1312)</f>
        <v/>
      </c>
      <c r="G1312" s="11">
        <f>INT(C1312)</f>
        <v/>
      </c>
    </row>
    <row r="1313">
      <c r="A1313" s="2" t="inlineStr">
        <is>
          <t>R04N Blockage</t>
        </is>
      </c>
      <c r="B1313" s="3" t="n">
        <v>46137.25</v>
      </c>
      <c r="C1313" s="3" t="n">
        <v>46137.75</v>
      </c>
      <c r="D1313" s="4">
        <f>(C1313-B1313)*24</f>
        <v/>
      </c>
      <c r="E1313" s="5">
        <f>IF(AND(HOUR(B1313)&gt;=6,HOUR(B1313)&lt;18),"Day Shift","Night Shift")</f>
        <v/>
      </c>
      <c r="F1313" s="6">
        <f>INT(B1313)</f>
        <v/>
      </c>
      <c r="G1313" s="6">
        <f>INT(C1313)</f>
        <v/>
      </c>
    </row>
    <row r="1314">
      <c r="A1314" s="7" t="inlineStr">
        <is>
          <t>R04N Blockage</t>
        </is>
      </c>
      <c r="B1314" s="8" t="n">
        <v>46137.75</v>
      </c>
      <c r="C1314" s="8" t="n">
        <v>46138.25</v>
      </c>
      <c r="D1314" s="9">
        <f>(C1314-B1314)*24</f>
        <v/>
      </c>
      <c r="E1314" s="10">
        <f>IF(AND(HOUR(B1314)&gt;=6,HOUR(B1314)&lt;18),"Day Shift","Night Shift")</f>
        <v/>
      </c>
      <c r="F1314" s="11">
        <f>INT(B1314)</f>
        <v/>
      </c>
      <c r="G1314" s="11">
        <f>INT(C1314)</f>
        <v/>
      </c>
    </row>
    <row r="1315">
      <c r="A1315" s="2" t="inlineStr">
        <is>
          <t>R04N Blockage</t>
        </is>
      </c>
      <c r="B1315" s="3" t="n">
        <v>46138.25</v>
      </c>
      <c r="C1315" s="3" t="n">
        <v>46138.75</v>
      </c>
      <c r="D1315" s="4">
        <f>(C1315-B1315)*24</f>
        <v/>
      </c>
      <c r="E1315" s="5">
        <f>IF(AND(HOUR(B1315)&gt;=6,HOUR(B1315)&lt;18),"Day Shift","Night Shift")</f>
        <v/>
      </c>
      <c r="F1315" s="6">
        <f>INT(B1315)</f>
        <v/>
      </c>
      <c r="G1315" s="6">
        <f>INT(C1315)</f>
        <v/>
      </c>
    </row>
    <row r="1316">
      <c r="A1316" s="7" t="inlineStr">
        <is>
          <t>R04N Blockage</t>
        </is>
      </c>
      <c r="B1316" s="8" t="n">
        <v>46138.75</v>
      </c>
      <c r="C1316" s="8" t="n">
        <v>46139.25</v>
      </c>
      <c r="D1316" s="9">
        <f>(C1316-B1316)*24</f>
        <v/>
      </c>
      <c r="E1316" s="10">
        <f>IF(AND(HOUR(B1316)&gt;=6,HOUR(B1316)&lt;18),"Day Shift","Night Shift")</f>
        <v/>
      </c>
      <c r="F1316" s="11">
        <f>INT(B1316)</f>
        <v/>
      </c>
      <c r="G1316" s="11">
        <f>INT(C1316)</f>
        <v/>
      </c>
    </row>
    <row r="1317">
      <c r="A1317" s="2" t="inlineStr">
        <is>
          <t>R04N Blockage</t>
        </is>
      </c>
      <c r="B1317" s="3" t="n">
        <v>46139.25</v>
      </c>
      <c r="C1317" s="3" t="n">
        <v>46139.75</v>
      </c>
      <c r="D1317" s="4">
        <f>(C1317-B1317)*24</f>
        <v/>
      </c>
      <c r="E1317" s="5">
        <f>IF(AND(HOUR(B1317)&gt;=6,HOUR(B1317)&lt;18),"Day Shift","Night Shift")</f>
        <v/>
      </c>
      <c r="F1317" s="6">
        <f>INT(B1317)</f>
        <v/>
      </c>
      <c r="G1317" s="6">
        <f>INT(C1317)</f>
        <v/>
      </c>
    </row>
    <row r="1318">
      <c r="A1318" s="7" t="inlineStr">
        <is>
          <t>R04N Blockage</t>
        </is>
      </c>
      <c r="B1318" s="8" t="n">
        <v>46139.75</v>
      </c>
      <c r="C1318" s="8" t="n">
        <v>46140.25</v>
      </c>
      <c r="D1318" s="9">
        <f>(C1318-B1318)*24</f>
        <v/>
      </c>
      <c r="E1318" s="10">
        <f>IF(AND(HOUR(B1318)&gt;=6,HOUR(B1318)&lt;18),"Day Shift","Night Shift")</f>
        <v/>
      </c>
      <c r="F1318" s="11">
        <f>INT(B1318)</f>
        <v/>
      </c>
      <c r="G1318" s="11">
        <f>INT(C1318)</f>
        <v/>
      </c>
    </row>
    <row r="1319">
      <c r="A1319" s="2" t="inlineStr">
        <is>
          <t>R04N Blockage</t>
        </is>
      </c>
      <c r="B1319" s="3" t="n">
        <v>46140.25</v>
      </c>
      <c r="C1319" s="3" t="n">
        <v>46140.75</v>
      </c>
      <c r="D1319" s="4">
        <f>(C1319-B1319)*24</f>
        <v/>
      </c>
      <c r="E1319" s="5">
        <f>IF(AND(HOUR(B1319)&gt;=6,HOUR(B1319)&lt;18),"Day Shift","Night Shift")</f>
        <v/>
      </c>
      <c r="F1319" s="6">
        <f>INT(B1319)</f>
        <v/>
      </c>
      <c r="G1319" s="6">
        <f>INT(C1319)</f>
        <v/>
      </c>
    </row>
    <row r="1320">
      <c r="A1320" s="7" t="inlineStr">
        <is>
          <t>R04N Blockage</t>
        </is>
      </c>
      <c r="B1320" s="8" t="n">
        <v>46140.75</v>
      </c>
      <c r="C1320" s="8" t="n">
        <v>46141.25</v>
      </c>
      <c r="D1320" s="9">
        <f>(C1320-B1320)*24</f>
        <v/>
      </c>
      <c r="E1320" s="10">
        <f>IF(AND(HOUR(B1320)&gt;=6,HOUR(B1320)&lt;18),"Day Shift","Night Shift")</f>
        <v/>
      </c>
      <c r="F1320" s="11">
        <f>INT(B1320)</f>
        <v/>
      </c>
      <c r="G1320" s="11">
        <f>INT(C1320)</f>
        <v/>
      </c>
    </row>
    <row r="1321">
      <c r="A1321" s="2" t="inlineStr">
        <is>
          <t>R04N Blockage</t>
        </is>
      </c>
      <c r="B1321" s="3" t="n">
        <v>46141.25</v>
      </c>
      <c r="C1321" s="3" t="n">
        <v>46141.75</v>
      </c>
      <c r="D1321" s="4">
        <f>(C1321-B1321)*24</f>
        <v/>
      </c>
      <c r="E1321" s="5">
        <f>IF(AND(HOUR(B1321)&gt;=6,HOUR(B1321)&lt;18),"Day Shift","Night Shift")</f>
        <v/>
      </c>
      <c r="F1321" s="6">
        <f>INT(B1321)</f>
        <v/>
      </c>
      <c r="G1321" s="6">
        <f>INT(C1321)</f>
        <v/>
      </c>
    </row>
    <row r="1322">
      <c r="A1322" s="7" t="inlineStr">
        <is>
          <t>R04N Blockage</t>
        </is>
      </c>
      <c r="B1322" s="8" t="n">
        <v>46141.75</v>
      </c>
      <c r="C1322" s="8" t="n">
        <v>46142.25</v>
      </c>
      <c r="D1322" s="9">
        <f>(C1322-B1322)*24</f>
        <v/>
      </c>
      <c r="E1322" s="10">
        <f>IF(AND(HOUR(B1322)&gt;=6,HOUR(B1322)&lt;18),"Day Shift","Night Shift")</f>
        <v/>
      </c>
      <c r="F1322" s="11">
        <f>INT(B1322)</f>
        <v/>
      </c>
      <c r="G1322" s="11">
        <f>INT(C1322)</f>
        <v/>
      </c>
    </row>
    <row r="1323">
      <c r="A1323" s="2" t="inlineStr">
        <is>
          <t>R04N Blockage</t>
        </is>
      </c>
      <c r="B1323" s="3" t="n">
        <v>46142.25</v>
      </c>
      <c r="C1323" s="3" t="n">
        <v>46142.75</v>
      </c>
      <c r="D1323" s="4">
        <f>(C1323-B1323)*24</f>
        <v/>
      </c>
      <c r="E1323" s="5">
        <f>IF(AND(HOUR(B1323)&gt;=6,HOUR(B1323)&lt;18),"Day Shift","Night Shift")</f>
        <v/>
      </c>
      <c r="F1323" s="6">
        <f>INT(B1323)</f>
        <v/>
      </c>
      <c r="G1323" s="6">
        <f>INT(C1323)</f>
        <v/>
      </c>
    </row>
    <row r="1324">
      <c r="A1324" s="7" t="inlineStr">
        <is>
          <t>R04N Blockage</t>
        </is>
      </c>
      <c r="B1324" s="8" t="n">
        <v>46142.75</v>
      </c>
      <c r="C1324" s="8" t="n">
        <v>46143.25</v>
      </c>
      <c r="D1324" s="9">
        <f>(C1324-B1324)*24</f>
        <v/>
      </c>
      <c r="E1324" s="10">
        <f>IF(AND(HOUR(B1324)&gt;=6,HOUR(B1324)&lt;18),"Day Shift","Night Shift")</f>
        <v/>
      </c>
      <c r="F1324" s="11">
        <f>INT(B1324)</f>
        <v/>
      </c>
      <c r="G1324" s="11">
        <f>INT(C1324)</f>
        <v/>
      </c>
    </row>
    <row r="1325">
      <c r="A1325" s="2" t="inlineStr">
        <is>
          <t>R04N Blockage</t>
        </is>
      </c>
      <c r="B1325" s="3" t="n">
        <v>46143.25</v>
      </c>
      <c r="C1325" s="3" t="n">
        <v>46143.75</v>
      </c>
      <c r="D1325" s="4">
        <f>(C1325-B1325)*24</f>
        <v/>
      </c>
      <c r="E1325" s="5">
        <f>IF(AND(HOUR(B1325)&gt;=6,HOUR(B1325)&lt;18),"Day Shift","Night Shift")</f>
        <v/>
      </c>
      <c r="F1325" s="6">
        <f>INT(B1325)</f>
        <v/>
      </c>
      <c r="G1325" s="6">
        <f>INT(C1325)</f>
        <v/>
      </c>
    </row>
    <row r="1326">
      <c r="A1326" s="7" t="inlineStr">
        <is>
          <t>R04N Blockage</t>
        </is>
      </c>
      <c r="B1326" s="8" t="n">
        <v>46143.75</v>
      </c>
      <c r="C1326" s="8" t="n">
        <v>46144.25</v>
      </c>
      <c r="D1326" s="9">
        <f>(C1326-B1326)*24</f>
        <v/>
      </c>
      <c r="E1326" s="10">
        <f>IF(AND(HOUR(B1326)&gt;=6,HOUR(B1326)&lt;18),"Day Shift","Night Shift")</f>
        <v/>
      </c>
      <c r="F1326" s="11">
        <f>INT(B1326)</f>
        <v/>
      </c>
      <c r="G1326" s="11">
        <f>INT(C1326)</f>
        <v/>
      </c>
    </row>
    <row r="1327">
      <c r="A1327" s="2" t="inlineStr">
        <is>
          <t>R04N Blockage</t>
        </is>
      </c>
      <c r="B1327" s="3" t="n">
        <v>46144.25</v>
      </c>
      <c r="C1327" s="3" t="n">
        <v>46144.75</v>
      </c>
      <c r="D1327" s="4">
        <f>(C1327-B1327)*24</f>
        <v/>
      </c>
      <c r="E1327" s="5">
        <f>IF(AND(HOUR(B1327)&gt;=6,HOUR(B1327)&lt;18),"Day Shift","Night Shift")</f>
        <v/>
      </c>
      <c r="F1327" s="6">
        <f>INT(B1327)</f>
        <v/>
      </c>
      <c r="G1327" s="6">
        <f>INT(C1327)</f>
        <v/>
      </c>
    </row>
    <row r="1328">
      <c r="A1328" s="7" t="inlineStr">
        <is>
          <t>R04N Blockage</t>
        </is>
      </c>
      <c r="B1328" s="8" t="n">
        <v>46144.75</v>
      </c>
      <c r="C1328" s="8" t="n">
        <v>46145.25</v>
      </c>
      <c r="D1328" s="9">
        <f>(C1328-B1328)*24</f>
        <v/>
      </c>
      <c r="E1328" s="10">
        <f>IF(AND(HOUR(B1328)&gt;=6,HOUR(B1328)&lt;18),"Day Shift","Night Shift")</f>
        <v/>
      </c>
      <c r="F1328" s="11">
        <f>INT(B1328)</f>
        <v/>
      </c>
      <c r="G1328" s="11">
        <f>INT(C1328)</f>
        <v/>
      </c>
    </row>
    <row r="1329">
      <c r="A1329" s="2" t="inlineStr">
        <is>
          <t>R04N Blockage</t>
        </is>
      </c>
      <c r="B1329" s="3" t="n">
        <v>46145.25</v>
      </c>
      <c r="C1329" s="3" t="n">
        <v>46145.75</v>
      </c>
      <c r="D1329" s="4">
        <f>(C1329-B1329)*24</f>
        <v/>
      </c>
      <c r="E1329" s="5">
        <f>IF(AND(HOUR(B1329)&gt;=6,HOUR(B1329)&lt;18),"Day Shift","Night Shift")</f>
        <v/>
      </c>
      <c r="F1329" s="6">
        <f>INT(B1329)</f>
        <v/>
      </c>
      <c r="G1329" s="6">
        <f>INT(C1329)</f>
        <v/>
      </c>
    </row>
    <row r="1330">
      <c r="A1330" s="7" t="inlineStr">
        <is>
          <t>R04N Blockage</t>
        </is>
      </c>
      <c r="B1330" s="8" t="n">
        <v>46145.75</v>
      </c>
      <c r="C1330" s="8" t="n">
        <v>46146.25</v>
      </c>
      <c r="D1330" s="9">
        <f>(C1330-B1330)*24</f>
        <v/>
      </c>
      <c r="E1330" s="10">
        <f>IF(AND(HOUR(B1330)&gt;=6,HOUR(B1330)&lt;18),"Day Shift","Night Shift")</f>
        <v/>
      </c>
      <c r="F1330" s="11">
        <f>INT(B1330)</f>
        <v/>
      </c>
      <c r="G1330" s="11">
        <f>INT(C1330)</f>
        <v/>
      </c>
    </row>
    <row r="1331">
      <c r="A1331" s="2" t="inlineStr">
        <is>
          <t>R04N Blockage</t>
        </is>
      </c>
      <c r="B1331" s="3" t="n">
        <v>46146.25</v>
      </c>
      <c r="C1331" s="3" t="n">
        <v>46146.75</v>
      </c>
      <c r="D1331" s="4">
        <f>(C1331-B1331)*24</f>
        <v/>
      </c>
      <c r="E1331" s="5">
        <f>IF(AND(HOUR(B1331)&gt;=6,HOUR(B1331)&lt;18),"Day Shift","Night Shift")</f>
        <v/>
      </c>
      <c r="F1331" s="6">
        <f>INT(B1331)</f>
        <v/>
      </c>
      <c r="G1331" s="6">
        <f>INT(C1331)</f>
        <v/>
      </c>
    </row>
    <row r="1332">
      <c r="A1332" s="7" t="inlineStr">
        <is>
          <t>R04N Blockage</t>
        </is>
      </c>
      <c r="B1332" s="8" t="n">
        <v>46146.75</v>
      </c>
      <c r="C1332" s="8" t="n">
        <v>46147.25</v>
      </c>
      <c r="D1332" s="9">
        <f>(C1332-B1332)*24</f>
        <v/>
      </c>
      <c r="E1332" s="10">
        <f>IF(AND(HOUR(B1332)&gt;=6,HOUR(B1332)&lt;18),"Day Shift","Night Shift")</f>
        <v/>
      </c>
      <c r="F1332" s="11">
        <f>INT(B1332)</f>
        <v/>
      </c>
      <c r="G1332" s="11">
        <f>INT(C1332)</f>
        <v/>
      </c>
    </row>
    <row r="1333">
      <c r="A1333" s="2" t="inlineStr">
        <is>
          <t>R04N Blockage</t>
        </is>
      </c>
      <c r="B1333" s="3" t="n">
        <v>46147.25</v>
      </c>
      <c r="C1333" s="3" t="n">
        <v>46147.75</v>
      </c>
      <c r="D1333" s="4">
        <f>(C1333-B1333)*24</f>
        <v/>
      </c>
      <c r="E1333" s="5">
        <f>IF(AND(HOUR(B1333)&gt;=6,HOUR(B1333)&lt;18),"Day Shift","Night Shift")</f>
        <v/>
      </c>
      <c r="F1333" s="6">
        <f>INT(B1333)</f>
        <v/>
      </c>
      <c r="G1333" s="6">
        <f>INT(C1333)</f>
        <v/>
      </c>
    </row>
    <row r="1334">
      <c r="A1334" s="7" t="inlineStr">
        <is>
          <t>R04N Blockage</t>
        </is>
      </c>
      <c r="B1334" s="8" t="n">
        <v>46147.75</v>
      </c>
      <c r="C1334" s="8" t="n">
        <v>46148.25</v>
      </c>
      <c r="D1334" s="9">
        <f>(C1334-B1334)*24</f>
        <v/>
      </c>
      <c r="E1334" s="10">
        <f>IF(AND(HOUR(B1334)&gt;=6,HOUR(B1334)&lt;18),"Day Shift","Night Shift")</f>
        <v/>
      </c>
      <c r="F1334" s="11">
        <f>INT(B1334)</f>
        <v/>
      </c>
      <c r="G1334" s="11">
        <f>INT(C1334)</f>
        <v/>
      </c>
    </row>
    <row r="1335">
      <c r="A1335" s="2" t="inlineStr">
        <is>
          <t>R04N Blockage</t>
        </is>
      </c>
      <c r="B1335" s="3" t="n">
        <v>46148.25</v>
      </c>
      <c r="C1335" s="3" t="n">
        <v>46148.75</v>
      </c>
      <c r="D1335" s="4">
        <f>(C1335-B1335)*24</f>
        <v/>
      </c>
      <c r="E1335" s="5">
        <f>IF(AND(HOUR(B1335)&gt;=6,HOUR(B1335)&lt;18),"Day Shift","Night Shift")</f>
        <v/>
      </c>
      <c r="F1335" s="6">
        <f>INT(B1335)</f>
        <v/>
      </c>
      <c r="G1335" s="6">
        <f>INT(C1335)</f>
        <v/>
      </c>
    </row>
    <row r="1336">
      <c r="A1336" s="7" t="inlineStr">
        <is>
          <t>R04N Blockage</t>
        </is>
      </c>
      <c r="B1336" s="8" t="n">
        <v>46148.75</v>
      </c>
      <c r="C1336" s="8" t="n">
        <v>46149.25</v>
      </c>
      <c r="D1336" s="9">
        <f>(C1336-B1336)*24</f>
        <v/>
      </c>
      <c r="E1336" s="10">
        <f>IF(AND(HOUR(B1336)&gt;=6,HOUR(B1336)&lt;18),"Day Shift","Night Shift")</f>
        <v/>
      </c>
      <c r="F1336" s="11">
        <f>INT(B1336)</f>
        <v/>
      </c>
      <c r="G1336" s="11">
        <f>INT(C1336)</f>
        <v/>
      </c>
    </row>
    <row r="1337">
      <c r="A1337" s="2" t="inlineStr">
        <is>
          <t>R04N Blockage</t>
        </is>
      </c>
      <c r="B1337" s="3" t="n">
        <v>46149.25</v>
      </c>
      <c r="C1337" s="3" t="n">
        <v>46149.75</v>
      </c>
      <c r="D1337" s="4">
        <f>(C1337-B1337)*24</f>
        <v/>
      </c>
      <c r="E1337" s="5">
        <f>IF(AND(HOUR(B1337)&gt;=6,HOUR(B1337)&lt;18),"Day Shift","Night Shift")</f>
        <v/>
      </c>
      <c r="F1337" s="6">
        <f>INT(B1337)</f>
        <v/>
      </c>
      <c r="G1337" s="6">
        <f>INT(C1337)</f>
        <v/>
      </c>
    </row>
    <row r="1338">
      <c r="A1338" s="7" t="inlineStr">
        <is>
          <t>R04N Blockage</t>
        </is>
      </c>
      <c r="B1338" s="8" t="n">
        <v>46149.75</v>
      </c>
      <c r="C1338" s="8" t="n">
        <v>46150.25</v>
      </c>
      <c r="D1338" s="9">
        <f>(C1338-B1338)*24</f>
        <v/>
      </c>
      <c r="E1338" s="10">
        <f>IF(AND(HOUR(B1338)&gt;=6,HOUR(B1338)&lt;18),"Day Shift","Night Shift")</f>
        <v/>
      </c>
      <c r="F1338" s="11">
        <f>INT(B1338)</f>
        <v/>
      </c>
      <c r="G1338" s="11">
        <f>INT(C1338)</f>
        <v/>
      </c>
    </row>
    <row r="1339">
      <c r="A1339" s="2" t="inlineStr">
        <is>
          <t>R04N Blockage</t>
        </is>
      </c>
      <c r="B1339" s="3" t="n">
        <v>46150.25</v>
      </c>
      <c r="C1339" s="3" t="n">
        <v>46150.75</v>
      </c>
      <c r="D1339" s="4">
        <f>(C1339-B1339)*24</f>
        <v/>
      </c>
      <c r="E1339" s="5">
        <f>IF(AND(HOUR(B1339)&gt;=6,HOUR(B1339)&lt;18),"Day Shift","Night Shift")</f>
        <v/>
      </c>
      <c r="F1339" s="6">
        <f>INT(B1339)</f>
        <v/>
      </c>
      <c r="G1339" s="6">
        <f>INT(C1339)</f>
        <v/>
      </c>
    </row>
    <row r="1340">
      <c r="A1340" s="7" t="inlineStr">
        <is>
          <t>R04N Blockage</t>
        </is>
      </c>
      <c r="B1340" s="8" t="n">
        <v>46150.75</v>
      </c>
      <c r="C1340" s="8" t="n">
        <v>46151.25</v>
      </c>
      <c r="D1340" s="9">
        <f>(C1340-B1340)*24</f>
        <v/>
      </c>
      <c r="E1340" s="10">
        <f>IF(AND(HOUR(B1340)&gt;=6,HOUR(B1340)&lt;18),"Day Shift","Night Shift")</f>
        <v/>
      </c>
      <c r="F1340" s="11">
        <f>INT(B1340)</f>
        <v/>
      </c>
      <c r="G1340" s="11">
        <f>INT(C1340)</f>
        <v/>
      </c>
    </row>
    <row r="1341">
      <c r="A1341" s="2" t="inlineStr">
        <is>
          <t>R04N Blockage</t>
        </is>
      </c>
      <c r="B1341" s="3" t="n">
        <v>46151.25</v>
      </c>
      <c r="C1341" s="3" t="n">
        <v>46151.75</v>
      </c>
      <c r="D1341" s="4">
        <f>(C1341-B1341)*24</f>
        <v/>
      </c>
      <c r="E1341" s="5">
        <f>IF(AND(HOUR(B1341)&gt;=6,HOUR(B1341)&lt;18),"Day Shift","Night Shift")</f>
        <v/>
      </c>
      <c r="F1341" s="6">
        <f>INT(B1341)</f>
        <v/>
      </c>
      <c r="G1341" s="6">
        <f>INT(C1341)</f>
        <v/>
      </c>
    </row>
    <row r="1342">
      <c r="A1342" s="7" t="inlineStr">
        <is>
          <t>R04N Blockage</t>
        </is>
      </c>
      <c r="B1342" s="8" t="n">
        <v>46151.75</v>
      </c>
      <c r="C1342" s="8" t="n">
        <v>46152.25</v>
      </c>
      <c r="D1342" s="9">
        <f>(C1342-B1342)*24</f>
        <v/>
      </c>
      <c r="E1342" s="10">
        <f>IF(AND(HOUR(B1342)&gt;=6,HOUR(B1342)&lt;18),"Day Shift","Night Shift")</f>
        <v/>
      </c>
      <c r="F1342" s="11">
        <f>INT(B1342)</f>
        <v/>
      </c>
      <c r="G1342" s="11">
        <f>INT(C1342)</f>
        <v/>
      </c>
    </row>
    <row r="1343">
      <c r="A1343" s="2" t="inlineStr">
        <is>
          <t>R04N Blockage</t>
        </is>
      </c>
      <c r="B1343" s="3" t="n">
        <v>46152.25</v>
      </c>
      <c r="C1343" s="3" t="n">
        <v>46152.75</v>
      </c>
      <c r="D1343" s="4">
        <f>(C1343-B1343)*24</f>
        <v/>
      </c>
      <c r="E1343" s="5">
        <f>IF(AND(HOUR(B1343)&gt;=6,HOUR(B1343)&lt;18),"Day Shift","Night Shift")</f>
        <v/>
      </c>
      <c r="F1343" s="6">
        <f>INT(B1343)</f>
        <v/>
      </c>
      <c r="G1343" s="6">
        <f>INT(C1343)</f>
        <v/>
      </c>
    </row>
    <row r="1344">
      <c r="A1344" s="7" t="inlineStr">
        <is>
          <t>R04N Blockage</t>
        </is>
      </c>
      <c r="B1344" s="8" t="n">
        <v>46152.75</v>
      </c>
      <c r="C1344" s="8" t="n">
        <v>46153.25</v>
      </c>
      <c r="D1344" s="9">
        <f>(C1344-B1344)*24</f>
        <v/>
      </c>
      <c r="E1344" s="10">
        <f>IF(AND(HOUR(B1344)&gt;=6,HOUR(B1344)&lt;18),"Day Shift","Night Shift")</f>
        <v/>
      </c>
      <c r="F1344" s="11">
        <f>INT(B1344)</f>
        <v/>
      </c>
      <c r="G1344" s="11">
        <f>INT(C1344)</f>
        <v/>
      </c>
    </row>
    <row r="1345">
      <c r="A1345" s="2" t="inlineStr">
        <is>
          <t>R04N Blockage</t>
        </is>
      </c>
      <c r="B1345" s="3" t="n">
        <v>46153.25</v>
      </c>
      <c r="C1345" s="3" t="n">
        <v>46153.75</v>
      </c>
      <c r="D1345" s="4">
        <f>(C1345-B1345)*24</f>
        <v/>
      </c>
      <c r="E1345" s="5">
        <f>IF(AND(HOUR(B1345)&gt;=6,HOUR(B1345)&lt;18),"Day Shift","Night Shift")</f>
        <v/>
      </c>
      <c r="F1345" s="6">
        <f>INT(B1345)</f>
        <v/>
      </c>
      <c r="G1345" s="6">
        <f>INT(C1345)</f>
        <v/>
      </c>
    </row>
    <row r="1346">
      <c r="A1346" s="7" t="inlineStr">
        <is>
          <t>R04N Blockage</t>
        </is>
      </c>
      <c r="B1346" s="8" t="n">
        <v>46153.75</v>
      </c>
      <c r="C1346" s="8" t="n">
        <v>46154.25</v>
      </c>
      <c r="D1346" s="9">
        <f>(C1346-B1346)*24</f>
        <v/>
      </c>
      <c r="E1346" s="10">
        <f>IF(AND(HOUR(B1346)&gt;=6,HOUR(B1346)&lt;18),"Day Shift","Night Shift")</f>
        <v/>
      </c>
      <c r="F1346" s="11">
        <f>INT(B1346)</f>
        <v/>
      </c>
      <c r="G1346" s="11">
        <f>INT(C1346)</f>
        <v/>
      </c>
    </row>
    <row r="1347">
      <c r="A1347" s="2" t="inlineStr">
        <is>
          <t>R04N Blockage</t>
        </is>
      </c>
      <c r="B1347" s="3" t="n">
        <v>46154.25</v>
      </c>
      <c r="C1347" s="3" t="n">
        <v>46154.75</v>
      </c>
      <c r="D1347" s="4">
        <f>(C1347-B1347)*24</f>
        <v/>
      </c>
      <c r="E1347" s="5">
        <f>IF(AND(HOUR(B1347)&gt;=6,HOUR(B1347)&lt;18),"Day Shift","Night Shift")</f>
        <v/>
      </c>
      <c r="F1347" s="6">
        <f>INT(B1347)</f>
        <v/>
      </c>
      <c r="G1347" s="6">
        <f>INT(C1347)</f>
        <v/>
      </c>
    </row>
    <row r="1348">
      <c r="A1348" s="7" t="inlineStr">
        <is>
          <t>R04N Blockage</t>
        </is>
      </c>
      <c r="B1348" s="8" t="n">
        <v>46154.75</v>
      </c>
      <c r="C1348" s="8" t="n">
        <v>46155.25</v>
      </c>
      <c r="D1348" s="9">
        <f>(C1348-B1348)*24</f>
        <v/>
      </c>
      <c r="E1348" s="10">
        <f>IF(AND(HOUR(B1348)&gt;=6,HOUR(B1348)&lt;18),"Day Shift","Night Shift")</f>
        <v/>
      </c>
      <c r="F1348" s="11">
        <f>INT(B1348)</f>
        <v/>
      </c>
      <c r="G1348" s="11">
        <f>INT(C1348)</f>
        <v/>
      </c>
    </row>
    <row r="1349">
      <c r="A1349" s="2" t="inlineStr">
        <is>
          <t>R04N Blockage</t>
        </is>
      </c>
      <c r="B1349" s="3" t="n">
        <v>46155.25</v>
      </c>
      <c r="C1349" s="3" t="n">
        <v>46155.75</v>
      </c>
      <c r="D1349" s="4">
        <f>(C1349-B1349)*24</f>
        <v/>
      </c>
      <c r="E1349" s="5">
        <f>IF(AND(HOUR(B1349)&gt;=6,HOUR(B1349)&lt;18),"Day Shift","Night Shift")</f>
        <v/>
      </c>
      <c r="F1349" s="6">
        <f>INT(B1349)</f>
        <v/>
      </c>
      <c r="G1349" s="6">
        <f>INT(C1349)</f>
        <v/>
      </c>
    </row>
    <row r="1350">
      <c r="A1350" s="2" t="inlineStr">
        <is>
          <t>EDD1932;EDD2541</t>
        </is>
      </c>
      <c r="B1350" s="3" t="n">
        <v>46063.32519675926</v>
      </c>
      <c r="C1350" s="3" t="n">
        <v>46063.6062037037</v>
      </c>
      <c r="D1350" s="4">
        <f>(C1350-B1350)*24</f>
        <v/>
      </c>
      <c r="E1350" s="5">
        <f>IF(AND(HOUR(B1350)&gt;=6,HOUR(B1350)&lt;18),"Day Shift","Night Shift")</f>
        <v/>
      </c>
      <c r="F1350" s="6">
        <f>INT(B1350)</f>
        <v/>
      </c>
      <c r="G1350" s="6">
        <f>INT(C1350)</f>
        <v/>
      </c>
    </row>
    <row r="1351">
      <c r="A1351" s="2" t="inlineStr">
        <is>
          <t>EXD60</t>
        </is>
      </c>
      <c r="B1351" s="3" t="n">
        <v>46063.35358796296</v>
      </c>
      <c r="C1351" s="3" t="n">
        <v>46063.75</v>
      </c>
      <c r="D1351" s="4">
        <f>(C1351-B1351)*24</f>
        <v/>
      </c>
      <c r="E1351" s="5">
        <f>IF(AND(HOUR(B1351)&gt;=6,HOUR(B1351)&lt;18),"Day Shift","Night Shift")</f>
        <v/>
      </c>
      <c r="F1351" s="6">
        <f>INT(B1351)</f>
        <v/>
      </c>
      <c r="G1351" s="6">
        <f>INT(C1351)</f>
        <v/>
      </c>
    </row>
    <row r="1352">
      <c r="A1352" s="7" t="inlineStr">
        <is>
          <t>EXD60</t>
        </is>
      </c>
      <c r="B1352" s="8" t="n">
        <v>46063.75</v>
      </c>
      <c r="C1352" s="8" t="n">
        <v>46064.25</v>
      </c>
      <c r="D1352" s="9">
        <f>(C1352-B1352)*24</f>
        <v/>
      </c>
      <c r="E1352" s="10">
        <f>IF(AND(HOUR(B1352)&gt;=6,HOUR(B1352)&lt;18),"Day Shift","Night Shift")</f>
        <v/>
      </c>
      <c r="F1352" s="11">
        <f>INT(B1352)</f>
        <v/>
      </c>
      <c r="G1352" s="11">
        <f>INT(C1352)</f>
        <v/>
      </c>
    </row>
    <row r="1353">
      <c r="A1353" s="2" t="inlineStr">
        <is>
          <t>EXD60</t>
        </is>
      </c>
      <c r="B1353" s="3" t="n">
        <v>46064.25</v>
      </c>
      <c r="C1353" s="3" t="n">
        <v>46064.75</v>
      </c>
      <c r="D1353" s="4">
        <f>(C1353-B1353)*24</f>
        <v/>
      </c>
      <c r="E1353" s="5">
        <f>IF(AND(HOUR(B1353)&gt;=6,HOUR(B1353)&lt;18),"Day Shift","Night Shift")</f>
        <v/>
      </c>
      <c r="F1353" s="6">
        <f>INT(B1353)</f>
        <v/>
      </c>
      <c r="G1353" s="6">
        <f>INT(C1353)</f>
        <v/>
      </c>
    </row>
    <row r="1354">
      <c r="A1354" s="7" t="inlineStr">
        <is>
          <t>EXD60</t>
        </is>
      </c>
      <c r="B1354" s="8" t="n">
        <v>46064.75</v>
      </c>
      <c r="C1354" s="8" t="n">
        <v>46065.05849537037</v>
      </c>
      <c r="D1354" s="9">
        <f>(C1354-B1354)*24</f>
        <v/>
      </c>
      <c r="E1354" s="10">
        <f>IF(AND(HOUR(B1354)&gt;=6,HOUR(B1354)&lt;18),"Day Shift","Night Shift")</f>
        <v/>
      </c>
      <c r="F1354" s="11">
        <f>INT(B1354)</f>
        <v/>
      </c>
      <c r="G1354" s="11">
        <f>INT(C1354)</f>
        <v/>
      </c>
    </row>
    <row r="1355">
      <c r="A1355" s="2" t="inlineStr">
        <is>
          <t>EXD52</t>
        </is>
      </c>
      <c r="B1355" s="3" t="n">
        <v>46063.37449074074</v>
      </c>
      <c r="C1355" s="3" t="n">
        <v>46063.75</v>
      </c>
      <c r="D1355" s="4">
        <f>(C1355-B1355)*24</f>
        <v/>
      </c>
      <c r="E1355" s="5">
        <f>IF(AND(HOUR(B1355)&gt;=6,HOUR(B1355)&lt;18),"Day Shift","Night Shift")</f>
        <v/>
      </c>
      <c r="F1355" s="6">
        <f>INT(B1355)</f>
        <v/>
      </c>
      <c r="G1355" s="6">
        <f>INT(C1355)</f>
        <v/>
      </c>
    </row>
    <row r="1356">
      <c r="A1356" s="7" t="inlineStr">
        <is>
          <t>EXD52</t>
        </is>
      </c>
      <c r="B1356" s="8" t="n">
        <v>46063.75</v>
      </c>
      <c r="C1356" s="8" t="n">
        <v>46064.25</v>
      </c>
      <c r="D1356" s="9">
        <f>(C1356-B1356)*24</f>
        <v/>
      </c>
      <c r="E1356" s="10">
        <f>IF(AND(HOUR(B1356)&gt;=6,HOUR(B1356)&lt;18),"Day Shift","Night Shift")</f>
        <v/>
      </c>
      <c r="F1356" s="11">
        <f>INT(B1356)</f>
        <v/>
      </c>
      <c r="G1356" s="11">
        <f>INT(C1356)</f>
        <v/>
      </c>
    </row>
    <row r="1357">
      <c r="A1357" s="2" t="inlineStr">
        <is>
          <t>EXD52</t>
        </is>
      </c>
      <c r="B1357" s="3" t="n">
        <v>46064.25</v>
      </c>
      <c r="C1357" s="3" t="n">
        <v>46064.75</v>
      </c>
      <c r="D1357" s="4">
        <f>(C1357-B1357)*24</f>
        <v/>
      </c>
      <c r="E1357" s="5">
        <f>IF(AND(HOUR(B1357)&gt;=6,HOUR(B1357)&lt;18),"Day Shift","Night Shift")</f>
        <v/>
      </c>
      <c r="F1357" s="6">
        <f>INT(B1357)</f>
        <v/>
      </c>
      <c r="G1357" s="6">
        <f>INT(C1357)</f>
        <v/>
      </c>
    </row>
    <row r="1358">
      <c r="A1358" s="7" t="inlineStr">
        <is>
          <t>EXD52</t>
        </is>
      </c>
      <c r="B1358" s="8" t="n">
        <v>46064.75</v>
      </c>
      <c r="C1358" s="8" t="n">
        <v>46065.14356481482</v>
      </c>
      <c r="D1358" s="9">
        <f>(C1358-B1358)*24</f>
        <v/>
      </c>
      <c r="E1358" s="10">
        <f>IF(AND(HOUR(B1358)&gt;=6,HOUR(B1358)&lt;18),"Day Shift","Night Shift")</f>
        <v/>
      </c>
      <c r="F1358" s="11">
        <f>INT(B1358)</f>
        <v/>
      </c>
      <c r="G1358" s="11">
        <f>INT(C1358)</f>
        <v/>
      </c>
    </row>
    <row r="1359">
      <c r="A1359" s="2" t="inlineStr">
        <is>
          <t>SHE36</t>
        </is>
      </c>
      <c r="B1359" s="3" t="n">
        <v>46063.54438657407</v>
      </c>
      <c r="C1359" s="3" t="n">
        <v>46063.75</v>
      </c>
      <c r="D1359" s="4">
        <f>(C1359-B1359)*24</f>
        <v/>
      </c>
      <c r="E1359" s="5">
        <f>IF(AND(HOUR(B1359)&gt;=6,HOUR(B1359)&lt;18),"Day Shift","Night Shift")</f>
        <v/>
      </c>
      <c r="F1359" s="6">
        <f>INT(B1359)</f>
        <v/>
      </c>
      <c r="G1359" s="6">
        <f>INT(C1359)</f>
        <v/>
      </c>
    </row>
    <row r="1360">
      <c r="A1360" s="7" t="inlineStr">
        <is>
          <t>SHE36</t>
        </is>
      </c>
      <c r="B1360" s="8" t="n">
        <v>46063.75</v>
      </c>
      <c r="C1360" s="8" t="n">
        <v>46063.81459490741</v>
      </c>
      <c r="D1360" s="9">
        <f>(C1360-B1360)*24</f>
        <v/>
      </c>
      <c r="E1360" s="10">
        <f>IF(AND(HOUR(B1360)&gt;=6,HOUR(B1360)&lt;18),"Day Shift","Night Shift")</f>
        <v/>
      </c>
      <c r="F1360" s="11">
        <f>INT(B1360)</f>
        <v/>
      </c>
      <c r="G1360" s="11">
        <f>INT(C1360)</f>
        <v/>
      </c>
    </row>
    <row r="1361">
      <c r="A1361" s="2" t="inlineStr">
        <is>
          <t>EDD1932;EDD2541</t>
        </is>
      </c>
      <c r="B1361" s="3" t="n">
        <v>46063.6062037037</v>
      </c>
      <c r="C1361" s="3" t="n">
        <v>46063.75</v>
      </c>
      <c r="D1361" s="4">
        <f>(C1361-B1361)*24</f>
        <v/>
      </c>
      <c r="E1361" s="5">
        <f>IF(AND(HOUR(B1361)&gt;=6,HOUR(B1361)&lt;18),"Day Shift","Night Shift")</f>
        <v/>
      </c>
      <c r="F1361" s="6">
        <f>INT(B1361)</f>
        <v/>
      </c>
      <c r="G1361" s="6">
        <f>INT(C1361)</f>
        <v/>
      </c>
    </row>
    <row r="1362">
      <c r="A1362" s="7" t="inlineStr">
        <is>
          <t>EDD1932;EDD2541</t>
        </is>
      </c>
      <c r="B1362" s="8" t="n">
        <v>46063.75</v>
      </c>
      <c r="C1362" s="8" t="n">
        <v>46063.94855324074</v>
      </c>
      <c r="D1362" s="9">
        <f>(C1362-B1362)*24</f>
        <v/>
      </c>
      <c r="E1362" s="10">
        <f>IF(AND(HOUR(B1362)&gt;=6,HOUR(B1362)&lt;18),"Day Shift","Night Shift")</f>
        <v/>
      </c>
      <c r="F1362" s="11">
        <f>INT(B1362)</f>
        <v/>
      </c>
      <c r="G1362" s="11">
        <f>INT(C1362)</f>
        <v/>
      </c>
    </row>
    <row r="1363">
      <c r="A1363" s="7" t="inlineStr">
        <is>
          <t>EXD98</t>
        </is>
      </c>
      <c r="B1363" s="8" t="n">
        <v>46063.80043981481</v>
      </c>
      <c r="C1363" s="8" t="n">
        <v>46064.25</v>
      </c>
      <c r="D1363" s="9">
        <f>(C1363-B1363)*24</f>
        <v/>
      </c>
      <c r="E1363" s="10">
        <f>IF(AND(HOUR(B1363)&gt;=6,HOUR(B1363)&lt;18),"Day Shift","Night Shift")</f>
        <v/>
      </c>
      <c r="F1363" s="11">
        <f>INT(B1363)</f>
        <v/>
      </c>
      <c r="G1363" s="11">
        <f>INT(C1363)</f>
        <v/>
      </c>
    </row>
    <row r="1364">
      <c r="A1364" s="2" t="inlineStr">
        <is>
          <t>EXD98</t>
        </is>
      </c>
      <c r="B1364" s="3" t="n">
        <v>46064.25</v>
      </c>
      <c r="C1364" s="3" t="n">
        <v>46064.53642361111</v>
      </c>
      <c r="D1364" s="4">
        <f>(C1364-B1364)*24</f>
        <v/>
      </c>
      <c r="E1364" s="5">
        <f>IF(AND(HOUR(B1364)&gt;=6,HOUR(B1364)&lt;18),"Day Shift","Night Shift")</f>
        <v/>
      </c>
      <c r="F1364" s="6">
        <f>INT(B1364)</f>
        <v/>
      </c>
      <c r="G1364" s="6">
        <f>INT(C1364)</f>
        <v/>
      </c>
    </row>
    <row r="1365">
      <c r="A1365" s="7" t="inlineStr">
        <is>
          <t>SHE36</t>
        </is>
      </c>
      <c r="B1365" s="8" t="n">
        <v>46063.81459490741</v>
      </c>
      <c r="C1365" s="8" t="n">
        <v>46064.25</v>
      </c>
      <c r="D1365" s="9">
        <f>(C1365-B1365)*24</f>
        <v/>
      </c>
      <c r="E1365" s="10">
        <f>IF(AND(HOUR(B1365)&gt;=6,HOUR(B1365)&lt;18),"Day Shift","Night Shift")</f>
        <v/>
      </c>
      <c r="F1365" s="11">
        <f>INT(B1365)</f>
        <v/>
      </c>
      <c r="G1365" s="11">
        <f>INT(C1365)</f>
        <v/>
      </c>
    </row>
    <row r="1366">
      <c r="A1366" s="2" t="inlineStr">
        <is>
          <t>SHE36</t>
        </is>
      </c>
      <c r="B1366" s="3" t="n">
        <v>46064.25</v>
      </c>
      <c r="C1366" s="3" t="n">
        <v>46064.40668981482</v>
      </c>
      <c r="D1366" s="4">
        <f>(C1366-B1366)*24</f>
        <v/>
      </c>
      <c r="E1366" s="5">
        <f>IF(AND(HOUR(B1366)&gt;=6,HOUR(B1366)&lt;18),"Day Shift","Night Shift")</f>
        <v/>
      </c>
      <c r="F1366" s="6">
        <f>INT(B1366)</f>
        <v/>
      </c>
      <c r="G1366" s="6">
        <f>INT(C1366)</f>
        <v/>
      </c>
    </row>
    <row r="1367">
      <c r="A1367" s="7" t="inlineStr">
        <is>
          <t>DRE42</t>
        </is>
      </c>
      <c r="B1367" s="8" t="n">
        <v>46063.84479166667</v>
      </c>
      <c r="C1367" s="8" t="n">
        <v>46064.25</v>
      </c>
      <c r="D1367" s="9">
        <f>(C1367-B1367)*24</f>
        <v/>
      </c>
      <c r="E1367" s="10">
        <f>IF(AND(HOUR(B1367)&gt;=6,HOUR(B1367)&lt;18),"Day Shift","Night Shift")</f>
        <v/>
      </c>
      <c r="F1367" s="11">
        <f>INT(B1367)</f>
        <v/>
      </c>
      <c r="G1367" s="11">
        <f>INT(C1367)</f>
        <v/>
      </c>
    </row>
    <row r="1368">
      <c r="A1368" s="2" t="inlineStr">
        <is>
          <t>DRE42</t>
        </is>
      </c>
      <c r="B1368" s="3" t="n">
        <v>46064.25</v>
      </c>
      <c r="C1368" s="3" t="n">
        <v>46064.46942129629</v>
      </c>
      <c r="D1368" s="4">
        <f>(C1368-B1368)*24</f>
        <v/>
      </c>
      <c r="E1368" s="5">
        <f>IF(AND(HOUR(B1368)&gt;=6,HOUR(B1368)&lt;18),"Day Shift","Night Shift")</f>
        <v/>
      </c>
      <c r="F1368" s="6">
        <f>INT(B1368)</f>
        <v/>
      </c>
      <c r="G1368" s="6">
        <f>INT(C1368)</f>
        <v/>
      </c>
    </row>
    <row r="1369">
      <c r="A1369" s="7" t="inlineStr">
        <is>
          <t>EXD56;EXD73</t>
        </is>
      </c>
      <c r="B1369" s="8" t="n">
        <v>46063.879375</v>
      </c>
      <c r="C1369" s="8" t="n">
        <v>46064.25</v>
      </c>
      <c r="D1369" s="9">
        <f>(C1369-B1369)*24</f>
        <v/>
      </c>
      <c r="E1369" s="10">
        <f>IF(AND(HOUR(B1369)&gt;=6,HOUR(B1369)&lt;18),"Day Shift","Night Shift")</f>
        <v/>
      </c>
      <c r="F1369" s="11">
        <f>INT(B1369)</f>
        <v/>
      </c>
      <c r="G1369" s="11">
        <f>INT(C1369)</f>
        <v/>
      </c>
    </row>
    <row r="1370">
      <c r="A1370" s="2" t="inlineStr">
        <is>
          <t>EXD56;EXD73</t>
        </is>
      </c>
      <c r="B1370" s="3" t="n">
        <v>46064.25</v>
      </c>
      <c r="C1370" s="3" t="n">
        <v>46064.75</v>
      </c>
      <c r="D1370" s="4">
        <f>(C1370-B1370)*24</f>
        <v/>
      </c>
      <c r="E1370" s="5">
        <f>IF(AND(HOUR(B1370)&gt;=6,HOUR(B1370)&lt;18),"Day Shift","Night Shift")</f>
        <v/>
      </c>
      <c r="F1370" s="6">
        <f>INT(B1370)</f>
        <v/>
      </c>
      <c r="G1370" s="6">
        <f>INT(C1370)</f>
        <v/>
      </c>
    </row>
    <row r="1371">
      <c r="A1371" s="7" t="inlineStr">
        <is>
          <t>EXD56;EXD73</t>
        </is>
      </c>
      <c r="B1371" s="8" t="n">
        <v>46064.75</v>
      </c>
      <c r="C1371" s="8" t="n">
        <v>46065.25</v>
      </c>
      <c r="D1371" s="9">
        <f>(C1371-B1371)*24</f>
        <v/>
      </c>
      <c r="E1371" s="10">
        <f>IF(AND(HOUR(B1371)&gt;=6,HOUR(B1371)&lt;18),"Day Shift","Night Shift")</f>
        <v/>
      </c>
      <c r="F1371" s="11">
        <f>INT(B1371)</f>
        <v/>
      </c>
      <c r="G1371" s="11">
        <f>INT(C1371)</f>
        <v/>
      </c>
    </row>
    <row r="1372">
      <c r="A1372" s="2" t="inlineStr">
        <is>
          <t>EXD56;EXD73</t>
        </is>
      </c>
      <c r="B1372" s="3" t="n">
        <v>46065.25</v>
      </c>
      <c r="C1372" s="3" t="n">
        <v>46065.46728009259</v>
      </c>
      <c r="D1372" s="4">
        <f>(C1372-B1372)*24</f>
        <v/>
      </c>
      <c r="E1372" s="5">
        <f>IF(AND(HOUR(B1372)&gt;=6,HOUR(B1372)&lt;18),"Day Shift","Night Shift")</f>
        <v/>
      </c>
      <c r="F1372" s="6">
        <f>INT(B1372)</f>
        <v/>
      </c>
      <c r="G1372" s="6">
        <f>INT(C1372)</f>
        <v/>
      </c>
    </row>
    <row r="1373">
      <c r="A1373" s="7" t="inlineStr">
        <is>
          <t>EXD409</t>
        </is>
      </c>
      <c r="B1373" s="8" t="n">
        <v>46063.93829861111</v>
      </c>
      <c r="C1373" s="8" t="n">
        <v>46064.25</v>
      </c>
      <c r="D1373" s="9">
        <f>(C1373-B1373)*24</f>
        <v/>
      </c>
      <c r="E1373" s="10">
        <f>IF(AND(HOUR(B1373)&gt;=6,HOUR(B1373)&lt;18),"Day Shift","Night Shift")</f>
        <v/>
      </c>
      <c r="F1373" s="11">
        <f>INT(B1373)</f>
        <v/>
      </c>
      <c r="G1373" s="11">
        <f>INT(C1373)</f>
        <v/>
      </c>
    </row>
    <row r="1374">
      <c r="A1374" s="2" t="inlineStr">
        <is>
          <t>EXD409</t>
        </is>
      </c>
      <c r="B1374" s="3" t="n">
        <v>46064.25</v>
      </c>
      <c r="C1374" s="3" t="n">
        <v>46064.6284837963</v>
      </c>
      <c r="D1374" s="4">
        <f>(C1374-B1374)*24</f>
        <v/>
      </c>
      <c r="E1374" s="5">
        <f>IF(AND(HOUR(B1374)&gt;=6,HOUR(B1374)&lt;18),"Day Shift","Night Shift")</f>
        <v/>
      </c>
      <c r="F1374" s="6">
        <f>INT(B1374)</f>
        <v/>
      </c>
      <c r="G1374" s="6">
        <f>INT(C1374)</f>
        <v/>
      </c>
    </row>
    <row r="1375">
      <c r="A1375" s="7" t="inlineStr">
        <is>
          <t>EDD1932;EDD2541</t>
        </is>
      </c>
      <c r="B1375" s="8" t="n">
        <v>46063.94855324074</v>
      </c>
      <c r="C1375" s="8" t="n">
        <v>46064.23268518518</v>
      </c>
      <c r="D1375" s="9">
        <f>(C1375-B1375)*24</f>
        <v/>
      </c>
      <c r="E1375" s="10">
        <f>IF(AND(HOUR(B1375)&gt;=6,HOUR(B1375)&lt;18),"Day Shift","Night Shift")</f>
        <v/>
      </c>
      <c r="F1375" s="11">
        <f>INT(B1375)</f>
        <v/>
      </c>
      <c r="G1375" s="11">
        <f>INT(C1375)</f>
        <v/>
      </c>
    </row>
    <row r="1376">
      <c r="A1376" s="7" t="inlineStr">
        <is>
          <t>Blast Crew</t>
        </is>
      </c>
      <c r="B1376" s="8" t="n">
        <v>46063.96115740741</v>
      </c>
      <c r="C1376" s="8" t="n">
        <v>46064.19820601852</v>
      </c>
      <c r="D1376" s="9">
        <f>(C1376-B1376)*24</f>
        <v/>
      </c>
      <c r="E1376" s="10">
        <f>IF(AND(HOUR(B1376)&gt;=6,HOUR(B1376)&lt;18),"Day Shift","Night Shift")</f>
        <v/>
      </c>
      <c r="F1376" s="11">
        <f>INT(B1376)</f>
        <v/>
      </c>
      <c r="G1376" s="11">
        <f>INT(C1376)</f>
        <v/>
      </c>
    </row>
    <row r="1377">
      <c r="A1377" s="7" t="inlineStr">
        <is>
          <t>EXD73</t>
        </is>
      </c>
      <c r="B1377" s="8" t="n">
        <v>46064.08315972222</v>
      </c>
      <c r="C1377" s="8" t="n">
        <v>46064.25</v>
      </c>
      <c r="D1377" s="9">
        <f>(C1377-B1377)*24</f>
        <v/>
      </c>
      <c r="E1377" s="10">
        <f>IF(AND(HOUR(B1377)&gt;=6,HOUR(B1377)&lt;18),"Day Shift","Night Shift")</f>
        <v/>
      </c>
      <c r="F1377" s="11">
        <f>INT(B1377)</f>
        <v/>
      </c>
      <c r="G1377" s="11">
        <f>INT(C1377)</f>
        <v/>
      </c>
    </row>
    <row r="1378">
      <c r="A1378" s="2" t="inlineStr">
        <is>
          <t>EXD73</t>
        </is>
      </c>
      <c r="B1378" s="3" t="n">
        <v>46064.25</v>
      </c>
      <c r="C1378" s="3" t="n">
        <v>46064.75</v>
      </c>
      <c r="D1378" s="4">
        <f>(C1378-B1378)*24</f>
        <v/>
      </c>
      <c r="E1378" s="5">
        <f>IF(AND(HOUR(B1378)&gt;=6,HOUR(B1378)&lt;18),"Day Shift","Night Shift")</f>
        <v/>
      </c>
      <c r="F1378" s="6">
        <f>INT(B1378)</f>
        <v/>
      </c>
      <c r="G1378" s="6">
        <f>INT(C1378)</f>
        <v/>
      </c>
    </row>
    <row r="1379">
      <c r="A1379" s="7" t="inlineStr">
        <is>
          <t>EXD73</t>
        </is>
      </c>
      <c r="B1379" s="8" t="n">
        <v>46064.75</v>
      </c>
      <c r="C1379" s="8" t="n">
        <v>46065.25</v>
      </c>
      <c r="D1379" s="9">
        <f>(C1379-B1379)*24</f>
        <v/>
      </c>
      <c r="E1379" s="10">
        <f>IF(AND(HOUR(B1379)&gt;=6,HOUR(B1379)&lt;18),"Day Shift","Night Shift")</f>
        <v/>
      </c>
      <c r="F1379" s="11">
        <f>INT(B1379)</f>
        <v/>
      </c>
      <c r="G1379" s="11">
        <f>INT(C1379)</f>
        <v/>
      </c>
    </row>
    <row r="1380">
      <c r="A1380" s="2" t="inlineStr">
        <is>
          <t>EXD73</t>
        </is>
      </c>
      <c r="B1380" s="3" t="n">
        <v>46065.25</v>
      </c>
      <c r="C1380" s="3" t="n">
        <v>46065.32545138889</v>
      </c>
      <c r="D1380" s="4">
        <f>(C1380-B1380)*24</f>
        <v/>
      </c>
      <c r="E1380" s="5">
        <f>IF(AND(HOUR(B1380)&gt;=6,HOUR(B1380)&lt;18),"Day Shift","Night Shift")</f>
        <v/>
      </c>
      <c r="F1380" s="6">
        <f>INT(B1380)</f>
        <v/>
      </c>
      <c r="G1380" s="6">
        <f>INT(C1380)</f>
        <v/>
      </c>
    </row>
    <row r="1381">
      <c r="A1381" s="7" t="inlineStr">
        <is>
          <t>EXD100</t>
        </is>
      </c>
      <c r="B1381" s="8" t="n">
        <v>46064.11846064815</v>
      </c>
      <c r="C1381" s="8" t="n">
        <v>46064.25</v>
      </c>
      <c r="D1381" s="9">
        <f>(C1381-B1381)*24</f>
        <v/>
      </c>
      <c r="E1381" s="10">
        <f>IF(AND(HOUR(B1381)&gt;=6,HOUR(B1381)&lt;18),"Day Shift","Night Shift")</f>
        <v/>
      </c>
      <c r="F1381" s="11">
        <f>INT(B1381)</f>
        <v/>
      </c>
      <c r="G1381" s="11">
        <f>INT(C1381)</f>
        <v/>
      </c>
    </row>
    <row r="1382">
      <c r="A1382" s="2" t="inlineStr">
        <is>
          <t>EXD100</t>
        </is>
      </c>
      <c r="B1382" s="3" t="n">
        <v>46064.25</v>
      </c>
      <c r="C1382" s="3" t="n">
        <v>46064.65722222222</v>
      </c>
      <c r="D1382" s="4">
        <f>(C1382-B1382)*24</f>
        <v/>
      </c>
      <c r="E1382" s="5">
        <f>IF(AND(HOUR(B1382)&gt;=6,HOUR(B1382)&lt;18),"Day Shift","Night Shift")</f>
        <v/>
      </c>
      <c r="F1382" s="6">
        <f>INT(B1382)</f>
        <v/>
      </c>
      <c r="G1382" s="6">
        <f>INT(C1382)</f>
        <v/>
      </c>
    </row>
    <row r="1383">
      <c r="A1383" s="7" t="inlineStr">
        <is>
          <t>EDD175;EDD2134;EDD812</t>
        </is>
      </c>
      <c r="B1383" s="8" t="n">
        <v>46064.14886574074</v>
      </c>
      <c r="C1383" s="8" t="n">
        <v>46064.25</v>
      </c>
      <c r="D1383" s="9">
        <f>(C1383-B1383)*24</f>
        <v/>
      </c>
      <c r="E1383" s="10">
        <f>IF(AND(HOUR(B1383)&gt;=6,HOUR(B1383)&lt;18),"Day Shift","Night Shift")</f>
        <v/>
      </c>
      <c r="F1383" s="11">
        <f>INT(B1383)</f>
        <v/>
      </c>
      <c r="G1383" s="11">
        <f>INT(C1383)</f>
        <v/>
      </c>
    </row>
    <row r="1384">
      <c r="A1384" s="2" t="inlineStr">
        <is>
          <t>EDD175;EDD2134;EDD812</t>
        </is>
      </c>
      <c r="B1384" s="3" t="n">
        <v>46064.25</v>
      </c>
      <c r="C1384" s="3" t="n">
        <v>46064.75</v>
      </c>
      <c r="D1384" s="4">
        <f>(C1384-B1384)*24</f>
        <v/>
      </c>
      <c r="E1384" s="5">
        <f>IF(AND(HOUR(B1384)&gt;=6,HOUR(B1384)&lt;18),"Day Shift","Night Shift")</f>
        <v/>
      </c>
      <c r="F1384" s="6">
        <f>INT(B1384)</f>
        <v/>
      </c>
      <c r="G1384" s="6">
        <f>INT(C1384)</f>
        <v/>
      </c>
    </row>
    <row r="1385">
      <c r="A1385" s="7" t="inlineStr">
        <is>
          <t>EDD175;EDD2134;EDD812</t>
        </is>
      </c>
      <c r="B1385" s="8" t="n">
        <v>46064.75</v>
      </c>
      <c r="C1385" s="8" t="n">
        <v>46065.13644675926</v>
      </c>
      <c r="D1385" s="9">
        <f>(C1385-B1385)*24</f>
        <v/>
      </c>
      <c r="E1385" s="10">
        <f>IF(AND(HOUR(B1385)&gt;=6,HOUR(B1385)&lt;18),"Day Shift","Night Shift")</f>
        <v/>
      </c>
      <c r="F1385" s="11">
        <f>INT(B1385)</f>
        <v/>
      </c>
      <c r="G1385" s="11">
        <f>INT(C1385)</f>
        <v/>
      </c>
    </row>
    <row r="1386">
      <c r="A1386" s="7" t="inlineStr">
        <is>
          <t>Blast Crew</t>
        </is>
      </c>
      <c r="B1386" s="8" t="n">
        <v>46064.19820601852</v>
      </c>
      <c r="C1386" s="8" t="n">
        <v>46064.25</v>
      </c>
      <c r="D1386" s="9">
        <f>(C1386-B1386)*24</f>
        <v/>
      </c>
      <c r="E1386" s="10">
        <f>IF(AND(HOUR(B1386)&gt;=6,HOUR(B1386)&lt;18),"Day Shift","Night Shift")</f>
        <v/>
      </c>
      <c r="F1386" s="11">
        <f>INT(B1386)</f>
        <v/>
      </c>
      <c r="G1386" s="11">
        <f>INT(C1386)</f>
        <v/>
      </c>
    </row>
    <row r="1387">
      <c r="A1387" s="2" t="inlineStr">
        <is>
          <t>Blast Crew</t>
        </is>
      </c>
      <c r="B1387" s="3" t="n">
        <v>46064.25</v>
      </c>
      <c r="C1387" s="3" t="n">
        <v>46064.48525462963</v>
      </c>
      <c r="D1387" s="4">
        <f>(C1387-B1387)*24</f>
        <v/>
      </c>
      <c r="E1387" s="5">
        <f>IF(AND(HOUR(B1387)&gt;=6,HOUR(B1387)&lt;18),"Day Shift","Night Shift")</f>
        <v/>
      </c>
      <c r="F1387" s="6">
        <f>INT(B1387)</f>
        <v/>
      </c>
      <c r="G1387" s="6">
        <f>INT(C1387)</f>
        <v/>
      </c>
    </row>
    <row r="1388">
      <c r="A1388" s="2" t="inlineStr">
        <is>
          <t>EXD408</t>
        </is>
      </c>
      <c r="B1388" s="3" t="n">
        <v>46064.25</v>
      </c>
      <c r="C1388" s="3" t="n">
        <v>46064.75</v>
      </c>
      <c r="D1388" s="4">
        <f>(C1388-B1388)*24</f>
        <v/>
      </c>
      <c r="E1388" s="5">
        <f>IF(AND(HOUR(B1388)&gt;=6,HOUR(B1388)&lt;18),"Day Shift","Night Shift")</f>
        <v/>
      </c>
      <c r="F1388" s="6">
        <f>INT(B1388)</f>
        <v/>
      </c>
      <c r="G1388" s="6">
        <f>INT(C1388)</f>
        <v/>
      </c>
    </row>
    <row r="1389">
      <c r="A1389" s="7" t="inlineStr">
        <is>
          <t>EXD408</t>
        </is>
      </c>
      <c r="B1389" s="8" t="n">
        <v>46064.75</v>
      </c>
      <c r="C1389" s="8" t="n">
        <v>46064.97862268519</v>
      </c>
      <c r="D1389" s="9">
        <f>(C1389-B1389)*24</f>
        <v/>
      </c>
      <c r="E1389" s="10">
        <f>IF(AND(HOUR(B1389)&gt;=6,HOUR(B1389)&lt;18),"Day Shift","Night Shift")</f>
        <v/>
      </c>
      <c r="F1389" s="11">
        <f>INT(B1389)</f>
        <v/>
      </c>
      <c r="G1389" s="11">
        <f>INT(C1389)</f>
        <v/>
      </c>
    </row>
    <row r="1390">
      <c r="A1390" s="2" t="inlineStr">
        <is>
          <t>EDD1932;EDD2541</t>
        </is>
      </c>
      <c r="B1390" s="3" t="n">
        <v>46064.3086574074</v>
      </c>
      <c r="C1390" s="3" t="n">
        <v>46064.49946759259</v>
      </c>
      <c r="D1390" s="4">
        <f>(C1390-B1390)*24</f>
        <v/>
      </c>
      <c r="E1390" s="5">
        <f>IF(AND(HOUR(B1390)&gt;=6,HOUR(B1390)&lt;18),"Day Shift","Night Shift")</f>
        <v/>
      </c>
      <c r="F1390" s="6">
        <f>INT(B1390)</f>
        <v/>
      </c>
      <c r="G1390" s="6">
        <f>INT(C1390)</f>
        <v/>
      </c>
    </row>
    <row r="1391">
      <c r="A1391" s="2" t="inlineStr">
        <is>
          <t>EXD101</t>
        </is>
      </c>
      <c r="B1391" s="3" t="n">
        <v>46064.36394675926</v>
      </c>
      <c r="C1391" s="3" t="n">
        <v>46064.75</v>
      </c>
      <c r="D1391" s="4">
        <f>(C1391-B1391)*24</f>
        <v/>
      </c>
      <c r="E1391" s="5">
        <f>IF(AND(HOUR(B1391)&gt;=6,HOUR(B1391)&lt;18),"Day Shift","Night Shift")</f>
        <v/>
      </c>
      <c r="F1391" s="6">
        <f>INT(B1391)</f>
        <v/>
      </c>
      <c r="G1391" s="6">
        <f>INT(C1391)</f>
        <v/>
      </c>
    </row>
    <row r="1392">
      <c r="A1392" s="7" t="inlineStr">
        <is>
          <t>EXD101</t>
        </is>
      </c>
      <c r="B1392" s="8" t="n">
        <v>46064.75</v>
      </c>
      <c r="C1392" s="8" t="n">
        <v>46065.01559027778</v>
      </c>
      <c r="D1392" s="9">
        <f>(C1392-B1392)*24</f>
        <v/>
      </c>
      <c r="E1392" s="10">
        <f>IF(AND(HOUR(B1392)&gt;=6,HOUR(B1392)&lt;18),"Day Shift","Night Shift")</f>
        <v/>
      </c>
      <c r="F1392" s="11">
        <f>INT(B1392)</f>
        <v/>
      </c>
      <c r="G1392" s="11">
        <f>INT(C1392)</f>
        <v/>
      </c>
    </row>
    <row r="1393">
      <c r="A1393" s="2" t="inlineStr">
        <is>
          <t>SHE36</t>
        </is>
      </c>
      <c r="B1393" s="3" t="n">
        <v>46064.40668981482</v>
      </c>
      <c r="C1393" s="3" t="n">
        <v>46064.75</v>
      </c>
      <c r="D1393" s="4">
        <f>(C1393-B1393)*24</f>
        <v/>
      </c>
      <c r="E1393" s="5">
        <f>IF(AND(HOUR(B1393)&gt;=6,HOUR(B1393)&lt;18),"Day Shift","Night Shift")</f>
        <v/>
      </c>
      <c r="F1393" s="6">
        <f>INT(B1393)</f>
        <v/>
      </c>
      <c r="G1393" s="6">
        <f>INT(C1393)</f>
        <v/>
      </c>
    </row>
    <row r="1394">
      <c r="A1394" s="7" t="inlineStr">
        <is>
          <t>SHE36</t>
        </is>
      </c>
      <c r="B1394" s="8" t="n">
        <v>46064.75</v>
      </c>
      <c r="C1394" s="8" t="n">
        <v>46065.25</v>
      </c>
      <c r="D1394" s="9">
        <f>(C1394-B1394)*24</f>
        <v/>
      </c>
      <c r="E1394" s="10">
        <f>IF(AND(HOUR(B1394)&gt;=6,HOUR(B1394)&lt;18),"Day Shift","Night Shift")</f>
        <v/>
      </c>
      <c r="F1394" s="11">
        <f>INT(B1394)</f>
        <v/>
      </c>
      <c r="G1394" s="11">
        <f>INT(C1394)</f>
        <v/>
      </c>
    </row>
    <row r="1395">
      <c r="A1395" s="2" t="inlineStr">
        <is>
          <t>SHE36</t>
        </is>
      </c>
      <c r="B1395" s="3" t="n">
        <v>46065.25</v>
      </c>
      <c r="C1395" s="3" t="n">
        <v>46065.39268518519</v>
      </c>
      <c r="D1395" s="4">
        <f>(C1395-B1395)*24</f>
        <v/>
      </c>
      <c r="E1395" s="5">
        <f>IF(AND(HOUR(B1395)&gt;=6,HOUR(B1395)&lt;18),"Day Shift","Night Shift")</f>
        <v/>
      </c>
      <c r="F1395" s="6">
        <f>INT(B1395)</f>
        <v/>
      </c>
      <c r="G1395" s="6">
        <f>INT(C1395)</f>
        <v/>
      </c>
    </row>
    <row r="1396">
      <c r="A1396" s="2" t="inlineStr">
        <is>
          <t>Blast</t>
        </is>
      </c>
      <c r="B1396" s="3" t="n">
        <v>46064.45833333334</v>
      </c>
      <c r="C1396" s="3" t="n">
        <v>46064.4584375</v>
      </c>
      <c r="D1396" s="4">
        <f>(C1396-B1396)*24</f>
        <v/>
      </c>
      <c r="E1396" s="5">
        <f>IF(AND(HOUR(B1396)&gt;=6,HOUR(B1396)&lt;18),"Day Shift","Night Shift")</f>
        <v/>
      </c>
      <c r="F1396" s="6">
        <f>INT(B1396)</f>
        <v/>
      </c>
      <c r="G1396" s="6">
        <f>INT(C1396)</f>
        <v/>
      </c>
    </row>
    <row r="1397">
      <c r="A1397" s="2" t="inlineStr">
        <is>
          <t>Blast</t>
        </is>
      </c>
      <c r="B1397" s="3" t="n">
        <v>46064.4584375</v>
      </c>
      <c r="C1397" s="3" t="n">
        <v>46064.45858796296</v>
      </c>
      <c r="D1397" s="4">
        <f>(C1397-B1397)*24</f>
        <v/>
      </c>
      <c r="E1397" s="5">
        <f>IF(AND(HOUR(B1397)&gt;=6,HOUR(B1397)&lt;18),"Day Shift","Night Shift")</f>
        <v/>
      </c>
      <c r="F1397" s="6">
        <f>INT(B1397)</f>
        <v/>
      </c>
      <c r="G1397" s="6">
        <f>INT(C1397)</f>
        <v/>
      </c>
    </row>
    <row r="1398">
      <c r="A1398" s="2" t="inlineStr">
        <is>
          <t>Blast</t>
        </is>
      </c>
      <c r="B1398" s="3" t="n">
        <v>46064.45858796296</v>
      </c>
      <c r="C1398" s="3" t="n">
        <v>46064.45875</v>
      </c>
      <c r="D1398" s="4">
        <f>(C1398-B1398)*24</f>
        <v/>
      </c>
      <c r="E1398" s="5">
        <f>IF(AND(HOUR(B1398)&gt;=6,HOUR(B1398)&lt;18),"Day Shift","Night Shift")</f>
        <v/>
      </c>
      <c r="F1398" s="6">
        <f>INT(B1398)</f>
        <v/>
      </c>
      <c r="G1398" s="6">
        <f>INT(C1398)</f>
        <v/>
      </c>
    </row>
    <row r="1399">
      <c r="A1399" s="2" t="inlineStr">
        <is>
          <t>Blast</t>
        </is>
      </c>
      <c r="B1399" s="3" t="n">
        <v>46064.45875</v>
      </c>
      <c r="C1399" s="3" t="n">
        <v>46064.45890046296</v>
      </c>
      <c r="D1399" s="4">
        <f>(C1399-B1399)*24</f>
        <v/>
      </c>
      <c r="E1399" s="5">
        <f>IF(AND(HOUR(B1399)&gt;=6,HOUR(B1399)&lt;18),"Day Shift","Night Shift")</f>
        <v/>
      </c>
      <c r="F1399" s="6">
        <f>INT(B1399)</f>
        <v/>
      </c>
      <c r="G1399" s="6">
        <f>INT(C1399)</f>
        <v/>
      </c>
    </row>
    <row r="1400">
      <c r="A1400" s="2" t="inlineStr">
        <is>
          <t>Blast</t>
        </is>
      </c>
      <c r="B1400" s="3" t="n">
        <v>46064.45890046296</v>
      </c>
      <c r="C1400" s="3" t="n">
        <v>46064.4590625</v>
      </c>
      <c r="D1400" s="4">
        <f>(C1400-B1400)*24</f>
        <v/>
      </c>
      <c r="E1400" s="5">
        <f>IF(AND(HOUR(B1400)&gt;=6,HOUR(B1400)&lt;18),"Day Shift","Night Shift")</f>
        <v/>
      </c>
      <c r="F1400" s="6">
        <f>INT(B1400)</f>
        <v/>
      </c>
      <c r="G1400" s="6">
        <f>INT(C1400)</f>
        <v/>
      </c>
    </row>
    <row r="1401">
      <c r="A1401" s="2" t="inlineStr">
        <is>
          <t>Blast</t>
        </is>
      </c>
      <c r="B1401" s="3" t="n">
        <v>46064.4590625</v>
      </c>
      <c r="C1401" s="3" t="n">
        <v>46064.45915509259</v>
      </c>
      <c r="D1401" s="4">
        <f>(C1401-B1401)*24</f>
        <v/>
      </c>
      <c r="E1401" s="5">
        <f>IF(AND(HOUR(B1401)&gt;=6,HOUR(B1401)&lt;18),"Day Shift","Night Shift")</f>
        <v/>
      </c>
      <c r="F1401" s="6">
        <f>INT(B1401)</f>
        <v/>
      </c>
      <c r="G1401" s="6">
        <f>INT(C1401)</f>
        <v/>
      </c>
    </row>
    <row r="1402">
      <c r="A1402" s="2" t="inlineStr">
        <is>
          <t>Blast</t>
        </is>
      </c>
      <c r="B1402" s="3" t="n">
        <v>46064.45915509259</v>
      </c>
      <c r="C1402" s="3" t="n">
        <v>46064.45930555555</v>
      </c>
      <c r="D1402" s="4">
        <f>(C1402-B1402)*24</f>
        <v/>
      </c>
      <c r="E1402" s="5">
        <f>IF(AND(HOUR(B1402)&gt;=6,HOUR(B1402)&lt;18),"Day Shift","Night Shift")</f>
        <v/>
      </c>
      <c r="F1402" s="6">
        <f>INT(B1402)</f>
        <v/>
      </c>
      <c r="G1402" s="6">
        <f>INT(C1402)</f>
        <v/>
      </c>
    </row>
    <row r="1403">
      <c r="A1403" s="2" t="inlineStr">
        <is>
          <t>Blast</t>
        </is>
      </c>
      <c r="B1403" s="3" t="n">
        <v>46064.45930555555</v>
      </c>
      <c r="C1403" s="3" t="n">
        <v>46064.45946759259</v>
      </c>
      <c r="D1403" s="4">
        <f>(C1403-B1403)*24</f>
        <v/>
      </c>
      <c r="E1403" s="5">
        <f>IF(AND(HOUR(B1403)&gt;=6,HOUR(B1403)&lt;18),"Day Shift","Night Shift")</f>
        <v/>
      </c>
      <c r="F1403" s="6">
        <f>INT(B1403)</f>
        <v/>
      </c>
      <c r="G1403" s="6">
        <f>INT(C1403)</f>
        <v/>
      </c>
    </row>
    <row r="1404">
      <c r="A1404" s="2" t="inlineStr">
        <is>
          <t>Blast</t>
        </is>
      </c>
      <c r="B1404" s="3" t="n">
        <v>46064.45946759259</v>
      </c>
      <c r="C1404" s="3" t="n">
        <v>46064.45961805555</v>
      </c>
      <c r="D1404" s="4">
        <f>(C1404-B1404)*24</f>
        <v/>
      </c>
      <c r="E1404" s="5">
        <f>IF(AND(HOUR(B1404)&gt;=6,HOUR(B1404)&lt;18),"Day Shift","Night Shift")</f>
        <v/>
      </c>
      <c r="F1404" s="6">
        <f>INT(B1404)</f>
        <v/>
      </c>
      <c r="G1404" s="6">
        <f>INT(C1404)</f>
        <v/>
      </c>
    </row>
    <row r="1405">
      <c r="A1405" s="2" t="inlineStr">
        <is>
          <t>Blast</t>
        </is>
      </c>
      <c r="B1405" s="3" t="n">
        <v>46064.45961805555</v>
      </c>
      <c r="C1405" s="3" t="n">
        <v>46064.45978009259</v>
      </c>
      <c r="D1405" s="4">
        <f>(C1405-B1405)*24</f>
        <v/>
      </c>
      <c r="E1405" s="5">
        <f>IF(AND(HOUR(B1405)&gt;=6,HOUR(B1405)&lt;18),"Day Shift","Night Shift")</f>
        <v/>
      </c>
      <c r="F1405" s="6">
        <f>INT(B1405)</f>
        <v/>
      </c>
      <c r="G1405" s="6">
        <f>INT(C1405)</f>
        <v/>
      </c>
    </row>
    <row r="1406">
      <c r="A1406" s="2" t="inlineStr">
        <is>
          <t>Blast</t>
        </is>
      </c>
      <c r="B1406" s="3" t="n">
        <v>46064.45978009259</v>
      </c>
      <c r="C1406" s="3" t="n">
        <v>46064.45982638889</v>
      </c>
      <c r="D1406" s="4">
        <f>(C1406-B1406)*24</f>
        <v/>
      </c>
      <c r="E1406" s="5">
        <f>IF(AND(HOUR(B1406)&gt;=6,HOUR(B1406)&lt;18),"Day Shift","Night Shift")</f>
        <v/>
      </c>
      <c r="F1406" s="6">
        <f>INT(B1406)</f>
        <v/>
      </c>
      <c r="G1406" s="6">
        <f>INT(C1406)</f>
        <v/>
      </c>
    </row>
    <row r="1407">
      <c r="A1407" s="2" t="inlineStr">
        <is>
          <t>Blast</t>
        </is>
      </c>
      <c r="B1407" s="3" t="n">
        <v>46064.45982638889</v>
      </c>
      <c r="C1407" s="3" t="n">
        <v>46064.45998842592</v>
      </c>
      <c r="D1407" s="4">
        <f>(C1407-B1407)*24</f>
        <v/>
      </c>
      <c r="E1407" s="5">
        <f>IF(AND(HOUR(B1407)&gt;=6,HOUR(B1407)&lt;18),"Day Shift","Night Shift")</f>
        <v/>
      </c>
      <c r="F1407" s="6">
        <f>INT(B1407)</f>
        <v/>
      </c>
      <c r="G1407" s="6">
        <f>INT(C1407)</f>
        <v/>
      </c>
    </row>
    <row r="1408">
      <c r="A1408" s="2" t="inlineStr">
        <is>
          <t>Blast</t>
        </is>
      </c>
      <c r="B1408" s="3" t="n">
        <v>46064.45998842592</v>
      </c>
      <c r="C1408" s="3" t="n">
        <v>46064.46015046296</v>
      </c>
      <c r="D1408" s="4">
        <f>(C1408-B1408)*24</f>
        <v/>
      </c>
      <c r="E1408" s="5">
        <f>IF(AND(HOUR(B1408)&gt;=6,HOUR(B1408)&lt;18),"Day Shift","Night Shift")</f>
        <v/>
      </c>
      <c r="F1408" s="6">
        <f>INT(B1408)</f>
        <v/>
      </c>
      <c r="G1408" s="6">
        <f>INT(C1408)</f>
        <v/>
      </c>
    </row>
    <row r="1409">
      <c r="A1409" s="2" t="inlineStr">
        <is>
          <t>Blast</t>
        </is>
      </c>
      <c r="B1409" s="3" t="n">
        <v>46064.46015046296</v>
      </c>
      <c r="C1409" s="3" t="n">
        <v>46064.46030092592</v>
      </c>
      <c r="D1409" s="4">
        <f>(C1409-B1409)*24</f>
        <v/>
      </c>
      <c r="E1409" s="5">
        <f>IF(AND(HOUR(B1409)&gt;=6,HOUR(B1409)&lt;18),"Day Shift","Night Shift")</f>
        <v/>
      </c>
      <c r="F1409" s="6">
        <f>INT(B1409)</f>
        <v/>
      </c>
      <c r="G1409" s="6">
        <f>INT(C1409)</f>
        <v/>
      </c>
    </row>
    <row r="1410">
      <c r="A1410" s="2" t="inlineStr">
        <is>
          <t>Blast</t>
        </is>
      </c>
      <c r="B1410" s="3" t="n">
        <v>46064.46030092592</v>
      </c>
      <c r="C1410" s="3" t="n">
        <v>46064.46046296296</v>
      </c>
      <c r="D1410" s="4">
        <f>(C1410-B1410)*24</f>
        <v/>
      </c>
      <c r="E1410" s="5">
        <f>IF(AND(HOUR(B1410)&gt;=6,HOUR(B1410)&lt;18),"Day Shift","Night Shift")</f>
        <v/>
      </c>
      <c r="F1410" s="6">
        <f>INT(B1410)</f>
        <v/>
      </c>
      <c r="G1410" s="6">
        <f>INT(C1410)</f>
        <v/>
      </c>
    </row>
    <row r="1411">
      <c r="A1411" s="2" t="inlineStr">
        <is>
          <t>Blast</t>
        </is>
      </c>
      <c r="B1411" s="3" t="n">
        <v>46064.46046296296</v>
      </c>
      <c r="C1411" s="3" t="n">
        <v>46064.46049768518</v>
      </c>
      <c r="D1411" s="4">
        <f>(C1411-B1411)*24</f>
        <v/>
      </c>
      <c r="E1411" s="5">
        <f>IF(AND(HOUR(B1411)&gt;=6,HOUR(B1411)&lt;18),"Day Shift","Night Shift")</f>
        <v/>
      </c>
      <c r="F1411" s="6">
        <f>INT(B1411)</f>
        <v/>
      </c>
      <c r="G1411" s="6">
        <f>INT(C1411)</f>
        <v/>
      </c>
    </row>
    <row r="1412">
      <c r="A1412" s="2" t="inlineStr">
        <is>
          <t>Blast</t>
        </is>
      </c>
      <c r="B1412" s="3" t="n">
        <v>46064.46049768518</v>
      </c>
      <c r="C1412" s="3" t="n">
        <v>46064.46065972222</v>
      </c>
      <c r="D1412" s="4">
        <f>(C1412-B1412)*24</f>
        <v/>
      </c>
      <c r="E1412" s="5">
        <f>IF(AND(HOUR(B1412)&gt;=6,HOUR(B1412)&lt;18),"Day Shift","Night Shift")</f>
        <v/>
      </c>
      <c r="F1412" s="6">
        <f>INT(B1412)</f>
        <v/>
      </c>
      <c r="G1412" s="6">
        <f>INT(C1412)</f>
        <v/>
      </c>
    </row>
    <row r="1413">
      <c r="A1413" s="2" t="inlineStr">
        <is>
          <t>Blast</t>
        </is>
      </c>
      <c r="B1413" s="3" t="n">
        <v>46064.46065972222</v>
      </c>
      <c r="C1413" s="3" t="n">
        <v>46064.46082175926</v>
      </c>
      <c r="D1413" s="4">
        <f>(C1413-B1413)*24</f>
        <v/>
      </c>
      <c r="E1413" s="5">
        <f>IF(AND(HOUR(B1413)&gt;=6,HOUR(B1413)&lt;18),"Day Shift","Night Shift")</f>
        <v/>
      </c>
      <c r="F1413" s="6">
        <f>INT(B1413)</f>
        <v/>
      </c>
      <c r="G1413" s="6">
        <f>INT(C1413)</f>
        <v/>
      </c>
    </row>
    <row r="1414">
      <c r="A1414" s="2" t="inlineStr">
        <is>
          <t>Blast</t>
        </is>
      </c>
      <c r="B1414" s="3" t="n">
        <v>46064.46082175926</v>
      </c>
      <c r="C1414" s="3" t="n">
        <v>46064.4609837963</v>
      </c>
      <c r="D1414" s="4">
        <f>(C1414-B1414)*24</f>
        <v/>
      </c>
      <c r="E1414" s="5">
        <f>IF(AND(HOUR(B1414)&gt;=6,HOUR(B1414)&lt;18),"Day Shift","Night Shift")</f>
        <v/>
      </c>
      <c r="F1414" s="6">
        <f>INT(B1414)</f>
        <v/>
      </c>
      <c r="G1414" s="6">
        <f>INT(C1414)</f>
        <v/>
      </c>
    </row>
    <row r="1415">
      <c r="A1415" s="2" t="inlineStr">
        <is>
          <t>Blast</t>
        </is>
      </c>
      <c r="B1415" s="3" t="n">
        <v>46064.4609837963</v>
      </c>
      <c r="C1415" s="3" t="n">
        <v>46064.46114583333</v>
      </c>
      <c r="D1415" s="4">
        <f>(C1415-B1415)*24</f>
        <v/>
      </c>
      <c r="E1415" s="5">
        <f>IF(AND(HOUR(B1415)&gt;=6,HOUR(B1415)&lt;18),"Day Shift","Night Shift")</f>
        <v/>
      </c>
      <c r="F1415" s="6">
        <f>INT(B1415)</f>
        <v/>
      </c>
      <c r="G1415" s="6">
        <f>INT(C1415)</f>
        <v/>
      </c>
    </row>
    <row r="1416">
      <c r="A1416" s="2" t="inlineStr">
        <is>
          <t>Blast</t>
        </is>
      </c>
      <c r="B1416" s="3" t="n">
        <v>46064.46114583333</v>
      </c>
      <c r="C1416" s="3" t="n">
        <v>46064.46118055555</v>
      </c>
      <c r="D1416" s="4">
        <f>(C1416-B1416)*24</f>
        <v/>
      </c>
      <c r="E1416" s="5">
        <f>IF(AND(HOUR(B1416)&gt;=6,HOUR(B1416)&lt;18),"Day Shift","Night Shift")</f>
        <v/>
      </c>
      <c r="F1416" s="6">
        <f>INT(B1416)</f>
        <v/>
      </c>
      <c r="G1416" s="6">
        <f>INT(C1416)</f>
        <v/>
      </c>
    </row>
    <row r="1417">
      <c r="A1417" s="2" t="inlineStr">
        <is>
          <t>Blast</t>
        </is>
      </c>
      <c r="B1417" s="3" t="n">
        <v>46064.46118055555</v>
      </c>
      <c r="C1417" s="3" t="n">
        <v>46064.46135416667</v>
      </c>
      <c r="D1417" s="4">
        <f>(C1417-B1417)*24</f>
        <v/>
      </c>
      <c r="E1417" s="5">
        <f>IF(AND(HOUR(B1417)&gt;=6,HOUR(B1417)&lt;18),"Day Shift","Night Shift")</f>
        <v/>
      </c>
      <c r="F1417" s="6">
        <f>INT(B1417)</f>
        <v/>
      </c>
      <c r="G1417" s="6">
        <f>INT(C1417)</f>
        <v/>
      </c>
    </row>
    <row r="1418">
      <c r="A1418" s="2" t="inlineStr">
        <is>
          <t>Blast</t>
        </is>
      </c>
      <c r="B1418" s="3" t="n">
        <v>46064.46135416667</v>
      </c>
      <c r="C1418" s="3" t="n">
        <v>46064.46150462963</v>
      </c>
      <c r="D1418" s="4">
        <f>(C1418-B1418)*24</f>
        <v/>
      </c>
      <c r="E1418" s="5">
        <f>IF(AND(HOUR(B1418)&gt;=6,HOUR(B1418)&lt;18),"Day Shift","Night Shift")</f>
        <v/>
      </c>
      <c r="F1418" s="6">
        <f>INT(B1418)</f>
        <v/>
      </c>
      <c r="G1418" s="6">
        <f>INT(C1418)</f>
        <v/>
      </c>
    </row>
    <row r="1419">
      <c r="A1419" s="2" t="inlineStr">
        <is>
          <t>Blast</t>
        </is>
      </c>
      <c r="B1419" s="3" t="n">
        <v>46064.46150462963</v>
      </c>
      <c r="C1419" s="3" t="n">
        <v>46064.46166666667</v>
      </c>
      <c r="D1419" s="4">
        <f>(C1419-B1419)*24</f>
        <v/>
      </c>
      <c r="E1419" s="5">
        <f>IF(AND(HOUR(B1419)&gt;=6,HOUR(B1419)&lt;18),"Day Shift","Night Shift")</f>
        <v/>
      </c>
      <c r="F1419" s="6">
        <f>INT(B1419)</f>
        <v/>
      </c>
      <c r="G1419" s="6">
        <f>INT(C1419)</f>
        <v/>
      </c>
    </row>
    <row r="1420">
      <c r="A1420" s="2" t="inlineStr">
        <is>
          <t>Blast</t>
        </is>
      </c>
      <c r="B1420" s="3" t="n">
        <v>46064.46166666667</v>
      </c>
      <c r="C1420" s="3" t="n">
        <v>46064.46184027778</v>
      </c>
      <c r="D1420" s="4">
        <f>(C1420-B1420)*24</f>
        <v/>
      </c>
      <c r="E1420" s="5">
        <f>IF(AND(HOUR(B1420)&gt;=6,HOUR(B1420)&lt;18),"Day Shift","Night Shift")</f>
        <v/>
      </c>
      <c r="F1420" s="6">
        <f>INT(B1420)</f>
        <v/>
      </c>
      <c r="G1420" s="6">
        <f>INT(C1420)</f>
        <v/>
      </c>
    </row>
    <row r="1421">
      <c r="A1421" s="2" t="inlineStr">
        <is>
          <t>Blast</t>
        </is>
      </c>
      <c r="B1421" s="3" t="n">
        <v>46064.46184027778</v>
      </c>
      <c r="C1421" s="3" t="n">
        <v>46064.46199074074</v>
      </c>
      <c r="D1421" s="4">
        <f>(C1421-B1421)*24</f>
        <v/>
      </c>
      <c r="E1421" s="5">
        <f>IF(AND(HOUR(B1421)&gt;=6,HOUR(B1421)&lt;18),"Day Shift","Night Shift")</f>
        <v/>
      </c>
      <c r="F1421" s="6">
        <f>INT(B1421)</f>
        <v/>
      </c>
      <c r="G1421" s="6">
        <f>INT(C1421)</f>
        <v/>
      </c>
    </row>
    <row r="1422">
      <c r="A1422" s="2" t="inlineStr">
        <is>
          <t>Blast</t>
        </is>
      </c>
      <c r="B1422" s="3" t="n">
        <v>46064.46199074074</v>
      </c>
      <c r="C1422" s="3" t="n">
        <v>46064.4621412037</v>
      </c>
      <c r="D1422" s="4">
        <f>(C1422-B1422)*24</f>
        <v/>
      </c>
      <c r="E1422" s="5">
        <f>IF(AND(HOUR(B1422)&gt;=6,HOUR(B1422)&lt;18),"Day Shift","Night Shift")</f>
        <v/>
      </c>
      <c r="F1422" s="6">
        <f>INT(B1422)</f>
        <v/>
      </c>
      <c r="G1422" s="6">
        <f>INT(C1422)</f>
        <v/>
      </c>
    </row>
    <row r="1423">
      <c r="A1423" s="2" t="inlineStr">
        <is>
          <t>Blast</t>
        </is>
      </c>
      <c r="B1423" s="3" t="n">
        <v>46064.4621412037</v>
      </c>
      <c r="C1423" s="3" t="n">
        <v>46064.46230324074</v>
      </c>
      <c r="D1423" s="4">
        <f>(C1423-B1423)*24</f>
        <v/>
      </c>
      <c r="E1423" s="5">
        <f>IF(AND(HOUR(B1423)&gt;=6,HOUR(B1423)&lt;18),"Day Shift","Night Shift")</f>
        <v/>
      </c>
      <c r="F1423" s="6">
        <f>INT(B1423)</f>
        <v/>
      </c>
      <c r="G1423" s="6">
        <f>INT(C1423)</f>
        <v/>
      </c>
    </row>
    <row r="1424">
      <c r="A1424" s="2" t="inlineStr">
        <is>
          <t>Blast</t>
        </is>
      </c>
      <c r="B1424" s="3" t="n">
        <v>46064.46230324074</v>
      </c>
      <c r="C1424" s="3" t="n">
        <v>46064.46246527778</v>
      </c>
      <c r="D1424" s="4">
        <f>(C1424-B1424)*24</f>
        <v/>
      </c>
      <c r="E1424" s="5">
        <f>IF(AND(HOUR(B1424)&gt;=6,HOUR(B1424)&lt;18),"Day Shift","Night Shift")</f>
        <v/>
      </c>
      <c r="F1424" s="6">
        <f>INT(B1424)</f>
        <v/>
      </c>
      <c r="G1424" s="6">
        <f>INT(C1424)</f>
        <v/>
      </c>
    </row>
    <row r="1425">
      <c r="A1425" s="2" t="inlineStr">
        <is>
          <t>Blast</t>
        </is>
      </c>
      <c r="B1425" s="3" t="n">
        <v>46064.46246527778</v>
      </c>
      <c r="C1425" s="3" t="n">
        <v>46064.46247685186</v>
      </c>
      <c r="D1425" s="4">
        <f>(C1425-B1425)*24</f>
        <v/>
      </c>
      <c r="E1425" s="5">
        <f>IF(AND(HOUR(B1425)&gt;=6,HOUR(B1425)&lt;18),"Day Shift","Night Shift")</f>
        <v/>
      </c>
      <c r="F1425" s="6">
        <f>INT(B1425)</f>
        <v/>
      </c>
      <c r="G1425" s="6">
        <f>INT(C1425)</f>
        <v/>
      </c>
    </row>
    <row r="1426">
      <c r="A1426" s="2" t="inlineStr">
        <is>
          <t>Blast</t>
        </is>
      </c>
      <c r="B1426" s="3" t="n">
        <v>46064.46247685186</v>
      </c>
      <c r="C1426" s="3" t="n">
        <v>46064.46260416666</v>
      </c>
      <c r="D1426" s="4">
        <f>(C1426-B1426)*24</f>
        <v/>
      </c>
      <c r="E1426" s="5">
        <f>IF(AND(HOUR(B1426)&gt;=6,HOUR(B1426)&lt;18),"Day Shift","Night Shift")</f>
        <v/>
      </c>
      <c r="F1426" s="6">
        <f>INT(B1426)</f>
        <v/>
      </c>
      <c r="G1426" s="6">
        <f>INT(C1426)</f>
        <v/>
      </c>
    </row>
    <row r="1427">
      <c r="A1427" s="2" t="inlineStr">
        <is>
          <t>Blast</t>
        </is>
      </c>
      <c r="B1427" s="3" t="n">
        <v>46064.46260416666</v>
      </c>
      <c r="C1427" s="3" t="n">
        <v>46064.46275462963</v>
      </c>
      <c r="D1427" s="4">
        <f>(C1427-B1427)*24</f>
        <v/>
      </c>
      <c r="E1427" s="5">
        <f>IF(AND(HOUR(B1427)&gt;=6,HOUR(B1427)&lt;18),"Day Shift","Night Shift")</f>
        <v/>
      </c>
      <c r="F1427" s="6">
        <f>INT(B1427)</f>
        <v/>
      </c>
      <c r="G1427" s="6">
        <f>INT(C1427)</f>
        <v/>
      </c>
    </row>
    <row r="1428">
      <c r="A1428" s="2" t="inlineStr">
        <is>
          <t>Blast</t>
        </is>
      </c>
      <c r="B1428" s="3" t="n">
        <v>46064.46275462963</v>
      </c>
      <c r="C1428" s="3" t="n">
        <v>46064.46288194445</v>
      </c>
      <c r="D1428" s="4">
        <f>(C1428-B1428)*24</f>
        <v/>
      </c>
      <c r="E1428" s="5">
        <f>IF(AND(HOUR(B1428)&gt;=6,HOUR(B1428)&lt;18),"Day Shift","Night Shift")</f>
        <v/>
      </c>
      <c r="F1428" s="6">
        <f>INT(B1428)</f>
        <v/>
      </c>
      <c r="G1428" s="6">
        <f>INT(C1428)</f>
        <v/>
      </c>
    </row>
    <row r="1429">
      <c r="A1429" s="2" t="inlineStr">
        <is>
          <t>Blast</t>
        </is>
      </c>
      <c r="B1429" s="3" t="n">
        <v>46064.46288194445</v>
      </c>
      <c r="C1429" s="3" t="n">
        <v>46064.46299768519</v>
      </c>
      <c r="D1429" s="4">
        <f>(C1429-B1429)*24</f>
        <v/>
      </c>
      <c r="E1429" s="5">
        <f>IF(AND(HOUR(B1429)&gt;=6,HOUR(B1429)&lt;18),"Day Shift","Night Shift")</f>
        <v/>
      </c>
      <c r="F1429" s="6">
        <f>INT(B1429)</f>
        <v/>
      </c>
      <c r="G1429" s="6">
        <f>INT(C1429)</f>
        <v/>
      </c>
    </row>
    <row r="1430">
      <c r="A1430" s="2" t="inlineStr">
        <is>
          <t>Blast</t>
        </is>
      </c>
      <c r="B1430" s="3" t="n">
        <v>46064.46299768519</v>
      </c>
      <c r="C1430" s="3" t="n">
        <v>46064.46303240741</v>
      </c>
      <c r="D1430" s="4">
        <f>(C1430-B1430)*24</f>
        <v/>
      </c>
      <c r="E1430" s="5">
        <f>IF(AND(HOUR(B1430)&gt;=6,HOUR(B1430)&lt;18),"Day Shift","Night Shift")</f>
        <v/>
      </c>
      <c r="F1430" s="6">
        <f>INT(B1430)</f>
        <v/>
      </c>
      <c r="G1430" s="6">
        <f>INT(C1430)</f>
        <v/>
      </c>
    </row>
    <row r="1431">
      <c r="A1431" s="2" t="inlineStr">
        <is>
          <t>Blast</t>
        </is>
      </c>
      <c r="B1431" s="3" t="n">
        <v>46064.46303240741</v>
      </c>
      <c r="C1431" s="3" t="n">
        <v>46064.46306712963</v>
      </c>
      <c r="D1431" s="4">
        <f>(C1431-B1431)*24</f>
        <v/>
      </c>
      <c r="E1431" s="5">
        <f>IF(AND(HOUR(B1431)&gt;=6,HOUR(B1431)&lt;18),"Day Shift","Night Shift")</f>
        <v/>
      </c>
      <c r="F1431" s="6">
        <f>INT(B1431)</f>
        <v/>
      </c>
      <c r="G1431" s="6">
        <f>INT(C1431)</f>
        <v/>
      </c>
    </row>
    <row r="1432">
      <c r="A1432" s="2" t="inlineStr">
        <is>
          <t>Blast</t>
        </is>
      </c>
      <c r="B1432" s="3" t="n">
        <v>46064.46306712963</v>
      </c>
      <c r="C1432" s="3" t="n">
        <v>46064.46309027778</v>
      </c>
      <c r="D1432" s="4">
        <f>(C1432-B1432)*24</f>
        <v/>
      </c>
      <c r="E1432" s="5">
        <f>IF(AND(HOUR(B1432)&gt;=6,HOUR(B1432)&lt;18),"Day Shift","Night Shift")</f>
        <v/>
      </c>
      <c r="F1432" s="6">
        <f>INT(B1432)</f>
        <v/>
      </c>
      <c r="G1432" s="6">
        <f>INT(C1432)</f>
        <v/>
      </c>
    </row>
    <row r="1433">
      <c r="A1433" s="2" t="inlineStr">
        <is>
          <t>Blast</t>
        </is>
      </c>
      <c r="B1433" s="3" t="n">
        <v>46064.46309027778</v>
      </c>
      <c r="C1433" s="3" t="n">
        <v>46064.46310185185</v>
      </c>
      <c r="D1433" s="4">
        <f>(C1433-B1433)*24</f>
        <v/>
      </c>
      <c r="E1433" s="5">
        <f>IF(AND(HOUR(B1433)&gt;=6,HOUR(B1433)&lt;18),"Day Shift","Night Shift")</f>
        <v/>
      </c>
      <c r="F1433" s="6">
        <f>INT(B1433)</f>
        <v/>
      </c>
      <c r="G1433" s="6">
        <f>INT(C1433)</f>
        <v/>
      </c>
    </row>
    <row r="1434">
      <c r="A1434" s="2" t="inlineStr">
        <is>
          <t>EXD55</t>
        </is>
      </c>
      <c r="B1434" s="3" t="n">
        <v>46064.46803240741</v>
      </c>
      <c r="C1434" s="3" t="n">
        <v>46064.75</v>
      </c>
      <c r="D1434" s="4">
        <f>(C1434-B1434)*24</f>
        <v/>
      </c>
      <c r="E1434" s="5">
        <f>IF(AND(HOUR(B1434)&gt;=6,HOUR(B1434)&lt;18),"Day Shift","Night Shift")</f>
        <v/>
      </c>
      <c r="F1434" s="6">
        <f>INT(B1434)</f>
        <v/>
      </c>
      <c r="G1434" s="6">
        <f>INT(C1434)</f>
        <v/>
      </c>
    </row>
    <row r="1435">
      <c r="A1435" s="7" t="inlineStr">
        <is>
          <t>EXD55</t>
        </is>
      </c>
      <c r="B1435" s="8" t="n">
        <v>46064.75</v>
      </c>
      <c r="C1435" s="8" t="n">
        <v>46065.25</v>
      </c>
      <c r="D1435" s="9">
        <f>(C1435-B1435)*24</f>
        <v/>
      </c>
      <c r="E1435" s="10">
        <f>IF(AND(HOUR(B1435)&gt;=6,HOUR(B1435)&lt;18),"Day Shift","Night Shift")</f>
        <v/>
      </c>
      <c r="F1435" s="11">
        <f>INT(B1435)</f>
        <v/>
      </c>
      <c r="G1435" s="11">
        <f>INT(C1435)</f>
        <v/>
      </c>
    </row>
    <row r="1436">
      <c r="A1436" s="2" t="inlineStr">
        <is>
          <t>EXD55</t>
        </is>
      </c>
      <c r="B1436" s="3" t="n">
        <v>46065.25</v>
      </c>
      <c r="C1436" s="3" t="n">
        <v>46065.54792824074</v>
      </c>
      <c r="D1436" s="4">
        <f>(C1436-B1436)*24</f>
        <v/>
      </c>
      <c r="E1436" s="5">
        <f>IF(AND(HOUR(B1436)&gt;=6,HOUR(B1436)&lt;18),"Day Shift","Night Shift")</f>
        <v/>
      </c>
      <c r="F1436" s="6">
        <f>INT(B1436)</f>
        <v/>
      </c>
      <c r="G1436" s="6">
        <f>INT(C1436)</f>
        <v/>
      </c>
    </row>
    <row r="1437">
      <c r="A1437" s="2" t="inlineStr">
        <is>
          <t>DRE42</t>
        </is>
      </c>
      <c r="B1437" s="3" t="n">
        <v>46064.46942129629</v>
      </c>
      <c r="C1437" s="3" t="n">
        <v>46064.75</v>
      </c>
      <c r="D1437" s="4">
        <f>(C1437-B1437)*24</f>
        <v/>
      </c>
      <c r="E1437" s="5">
        <f>IF(AND(HOUR(B1437)&gt;=6,HOUR(B1437)&lt;18),"Day Shift","Night Shift")</f>
        <v/>
      </c>
      <c r="F1437" s="6">
        <f>INT(B1437)</f>
        <v/>
      </c>
      <c r="G1437" s="6">
        <f>INT(C1437)</f>
        <v/>
      </c>
    </row>
    <row r="1438">
      <c r="A1438" s="7" t="inlineStr">
        <is>
          <t>DRE42</t>
        </is>
      </c>
      <c r="B1438" s="8" t="n">
        <v>46064.75</v>
      </c>
      <c r="C1438" s="8" t="n">
        <v>46065.25</v>
      </c>
      <c r="D1438" s="9">
        <f>(C1438-B1438)*24</f>
        <v/>
      </c>
      <c r="E1438" s="10">
        <f>IF(AND(HOUR(B1438)&gt;=6,HOUR(B1438)&lt;18),"Day Shift","Night Shift")</f>
        <v/>
      </c>
      <c r="F1438" s="11">
        <f>INT(B1438)</f>
        <v/>
      </c>
      <c r="G1438" s="11">
        <f>INT(C1438)</f>
        <v/>
      </c>
    </row>
    <row r="1439">
      <c r="A1439" s="2" t="inlineStr">
        <is>
          <t>DRE42</t>
        </is>
      </c>
      <c r="B1439" s="3" t="n">
        <v>46065.25</v>
      </c>
      <c r="C1439" s="3" t="n">
        <v>46065.75</v>
      </c>
      <c r="D1439" s="4">
        <f>(C1439-B1439)*24</f>
        <v/>
      </c>
      <c r="E1439" s="5">
        <f>IF(AND(HOUR(B1439)&gt;=6,HOUR(B1439)&lt;18),"Day Shift","Night Shift")</f>
        <v/>
      </c>
      <c r="F1439" s="6">
        <f>INT(B1439)</f>
        <v/>
      </c>
      <c r="G1439" s="6">
        <f>INT(C1439)</f>
        <v/>
      </c>
    </row>
    <row r="1440">
      <c r="A1440" s="7" t="inlineStr">
        <is>
          <t>DRE42</t>
        </is>
      </c>
      <c r="B1440" s="8" t="n">
        <v>46065.75</v>
      </c>
      <c r="C1440" s="8" t="n">
        <v>46066.10986111111</v>
      </c>
      <c r="D1440" s="9">
        <f>(C1440-B1440)*24</f>
        <v/>
      </c>
      <c r="E1440" s="10">
        <f>IF(AND(HOUR(B1440)&gt;=6,HOUR(B1440)&lt;18),"Day Shift","Night Shift")</f>
        <v/>
      </c>
      <c r="F1440" s="11">
        <f>INT(B1440)</f>
        <v/>
      </c>
      <c r="G1440" s="11">
        <f>INT(C1440)</f>
        <v/>
      </c>
    </row>
    <row r="1441">
      <c r="A1441" s="2" t="inlineStr">
        <is>
          <t>Blast Crew</t>
        </is>
      </c>
      <c r="B1441" s="3" t="n">
        <v>46064.48525462963</v>
      </c>
      <c r="C1441" s="3" t="n">
        <v>46064.75</v>
      </c>
      <c r="D1441" s="4">
        <f>(C1441-B1441)*24</f>
        <v/>
      </c>
      <c r="E1441" s="5">
        <f>IF(AND(HOUR(B1441)&gt;=6,HOUR(B1441)&lt;18),"Day Shift","Night Shift")</f>
        <v/>
      </c>
      <c r="F1441" s="6">
        <f>INT(B1441)</f>
        <v/>
      </c>
      <c r="G1441" s="6">
        <f>INT(C1441)</f>
        <v/>
      </c>
    </row>
    <row r="1442">
      <c r="A1442" s="7" t="inlineStr">
        <is>
          <t>Blast Crew</t>
        </is>
      </c>
      <c r="B1442" s="8" t="n">
        <v>46064.75</v>
      </c>
      <c r="C1442" s="8" t="n">
        <v>46064.78484953703</v>
      </c>
      <c r="D1442" s="9">
        <f>(C1442-B1442)*24</f>
        <v/>
      </c>
      <c r="E1442" s="10">
        <f>IF(AND(HOUR(B1442)&gt;=6,HOUR(B1442)&lt;18),"Day Shift","Night Shift")</f>
        <v/>
      </c>
      <c r="F1442" s="11">
        <f>INT(B1442)</f>
        <v/>
      </c>
      <c r="G1442" s="11">
        <f>INT(C1442)</f>
        <v/>
      </c>
    </row>
    <row r="1443">
      <c r="A1443" s="2" t="inlineStr">
        <is>
          <t>EXD51</t>
        </is>
      </c>
      <c r="B1443" s="3" t="n">
        <v>46064.49450231482</v>
      </c>
      <c r="C1443" s="3" t="n">
        <v>46064.75</v>
      </c>
      <c r="D1443" s="4">
        <f>(C1443-B1443)*24</f>
        <v/>
      </c>
      <c r="E1443" s="5">
        <f>IF(AND(HOUR(B1443)&gt;=6,HOUR(B1443)&lt;18),"Day Shift","Night Shift")</f>
        <v/>
      </c>
      <c r="F1443" s="6">
        <f>INT(B1443)</f>
        <v/>
      </c>
      <c r="G1443" s="6">
        <f>INT(C1443)</f>
        <v/>
      </c>
    </row>
    <row r="1444">
      <c r="A1444" s="7" t="inlineStr">
        <is>
          <t>EXD51</t>
        </is>
      </c>
      <c r="B1444" s="8" t="n">
        <v>46064.75</v>
      </c>
      <c r="C1444" s="8" t="n">
        <v>46065.25</v>
      </c>
      <c r="D1444" s="9">
        <f>(C1444-B1444)*24</f>
        <v/>
      </c>
      <c r="E1444" s="10">
        <f>IF(AND(HOUR(B1444)&gt;=6,HOUR(B1444)&lt;18),"Day Shift","Night Shift")</f>
        <v/>
      </c>
      <c r="F1444" s="11">
        <f>INT(B1444)</f>
        <v/>
      </c>
      <c r="G1444" s="11">
        <f>INT(C1444)</f>
        <v/>
      </c>
    </row>
    <row r="1445">
      <c r="A1445" s="2" t="inlineStr">
        <is>
          <t>EXD51</t>
        </is>
      </c>
      <c r="B1445" s="3" t="n">
        <v>46065.25</v>
      </c>
      <c r="C1445" s="3" t="n">
        <v>46065.75</v>
      </c>
      <c r="D1445" s="4">
        <f>(C1445-B1445)*24</f>
        <v/>
      </c>
      <c r="E1445" s="5">
        <f>IF(AND(HOUR(B1445)&gt;=6,HOUR(B1445)&lt;18),"Day Shift","Night Shift")</f>
        <v/>
      </c>
      <c r="F1445" s="6">
        <f>INT(B1445)</f>
        <v/>
      </c>
      <c r="G1445" s="6">
        <f>INT(C1445)</f>
        <v/>
      </c>
    </row>
    <row r="1446">
      <c r="A1446" s="7" t="inlineStr">
        <is>
          <t>EXD51</t>
        </is>
      </c>
      <c r="B1446" s="8" t="n">
        <v>46065.75</v>
      </c>
      <c r="C1446" s="8" t="n">
        <v>46066.13105324074</v>
      </c>
      <c r="D1446" s="9">
        <f>(C1446-B1446)*24</f>
        <v/>
      </c>
      <c r="E1446" s="10">
        <f>IF(AND(HOUR(B1446)&gt;=6,HOUR(B1446)&lt;18),"Day Shift","Night Shift")</f>
        <v/>
      </c>
      <c r="F1446" s="11">
        <f>INT(B1446)</f>
        <v/>
      </c>
      <c r="G1446" s="11">
        <f>INT(C1446)</f>
        <v/>
      </c>
    </row>
    <row r="1447">
      <c r="A1447" s="2" t="inlineStr">
        <is>
          <t>EDD1932;EDD2541</t>
        </is>
      </c>
      <c r="B1447" s="3" t="n">
        <v>46064.49946759259</v>
      </c>
      <c r="C1447" s="3" t="n">
        <v>46064.70034722222</v>
      </c>
      <c r="D1447" s="4">
        <f>(C1447-B1447)*24</f>
        <v/>
      </c>
      <c r="E1447" s="5">
        <f>IF(AND(HOUR(B1447)&gt;=6,HOUR(B1447)&lt;18),"Day Shift","Night Shift")</f>
        <v/>
      </c>
      <c r="F1447" s="6">
        <f>INT(B1447)</f>
        <v/>
      </c>
      <c r="G1447" s="6">
        <f>INT(C1447)</f>
        <v/>
      </c>
    </row>
    <row r="1448">
      <c r="A1448" s="2" t="inlineStr">
        <is>
          <t>EXD407</t>
        </is>
      </c>
      <c r="B1448" s="3" t="n">
        <v>46064.53503472222</v>
      </c>
      <c r="C1448" s="3" t="n">
        <v>46064.75</v>
      </c>
      <c r="D1448" s="4">
        <f>(C1448-B1448)*24</f>
        <v/>
      </c>
      <c r="E1448" s="5">
        <f>IF(AND(HOUR(B1448)&gt;=6,HOUR(B1448)&lt;18),"Day Shift","Night Shift")</f>
        <v/>
      </c>
      <c r="F1448" s="6">
        <f>INT(B1448)</f>
        <v/>
      </c>
      <c r="G1448" s="6">
        <f>INT(C1448)</f>
        <v/>
      </c>
    </row>
    <row r="1449">
      <c r="A1449" s="7" t="inlineStr">
        <is>
          <t>EXD407</t>
        </is>
      </c>
      <c r="B1449" s="8" t="n">
        <v>46064.75</v>
      </c>
      <c r="C1449" s="8" t="n">
        <v>46065.25</v>
      </c>
      <c r="D1449" s="9">
        <f>(C1449-B1449)*24</f>
        <v/>
      </c>
      <c r="E1449" s="10">
        <f>IF(AND(HOUR(B1449)&gt;=6,HOUR(B1449)&lt;18),"Day Shift","Night Shift")</f>
        <v/>
      </c>
      <c r="F1449" s="11">
        <f>INT(B1449)</f>
        <v/>
      </c>
      <c r="G1449" s="11">
        <f>INT(C1449)</f>
        <v/>
      </c>
    </row>
    <row r="1450">
      <c r="A1450" s="2" t="inlineStr">
        <is>
          <t>EXD407</t>
        </is>
      </c>
      <c r="B1450" s="3" t="n">
        <v>46065.25</v>
      </c>
      <c r="C1450" s="3" t="n">
        <v>46065.75</v>
      </c>
      <c r="D1450" s="4">
        <f>(C1450-B1450)*24</f>
        <v/>
      </c>
      <c r="E1450" s="5">
        <f>IF(AND(HOUR(B1450)&gt;=6,HOUR(B1450)&lt;18),"Day Shift","Night Shift")</f>
        <v/>
      </c>
      <c r="F1450" s="6">
        <f>INT(B1450)</f>
        <v/>
      </c>
      <c r="G1450" s="6">
        <f>INT(C1450)</f>
        <v/>
      </c>
    </row>
    <row r="1451">
      <c r="A1451" s="7" t="inlineStr">
        <is>
          <t>EXD407</t>
        </is>
      </c>
      <c r="B1451" s="8" t="n">
        <v>46065.75</v>
      </c>
      <c r="C1451" s="8" t="n">
        <v>46066.25</v>
      </c>
      <c r="D1451" s="9">
        <f>(C1451-B1451)*24</f>
        <v/>
      </c>
      <c r="E1451" s="10">
        <f>IF(AND(HOUR(B1451)&gt;=6,HOUR(B1451)&lt;18),"Day Shift","Night Shift")</f>
        <v/>
      </c>
      <c r="F1451" s="11">
        <f>INT(B1451)</f>
        <v/>
      </c>
      <c r="G1451" s="11">
        <f>INT(C1451)</f>
        <v/>
      </c>
    </row>
    <row r="1452">
      <c r="A1452" s="2" t="inlineStr">
        <is>
          <t>EXD407</t>
        </is>
      </c>
      <c r="B1452" s="3" t="n">
        <v>46066.25</v>
      </c>
      <c r="C1452" s="3" t="n">
        <v>46066.61101851852</v>
      </c>
      <c r="D1452" s="4">
        <f>(C1452-B1452)*24</f>
        <v/>
      </c>
      <c r="E1452" s="5">
        <f>IF(AND(HOUR(B1452)&gt;=6,HOUR(B1452)&lt;18),"Day Shift","Night Shift")</f>
        <v/>
      </c>
      <c r="F1452" s="6">
        <f>INT(B1452)</f>
        <v/>
      </c>
      <c r="G1452" s="6">
        <f>INT(C1452)</f>
        <v/>
      </c>
    </row>
    <row r="1453">
      <c r="A1453" s="2" t="inlineStr">
        <is>
          <t>EXD98</t>
        </is>
      </c>
      <c r="B1453" s="3" t="n">
        <v>46064.53642361111</v>
      </c>
      <c r="C1453" s="3" t="n">
        <v>46064.75</v>
      </c>
      <c r="D1453" s="4">
        <f>(C1453-B1453)*24</f>
        <v/>
      </c>
      <c r="E1453" s="5">
        <f>IF(AND(HOUR(B1453)&gt;=6,HOUR(B1453)&lt;18),"Day Shift","Night Shift")</f>
        <v/>
      </c>
      <c r="F1453" s="6">
        <f>INT(B1453)</f>
        <v/>
      </c>
      <c r="G1453" s="6">
        <f>INT(C1453)</f>
        <v/>
      </c>
    </row>
    <row r="1454">
      <c r="A1454" s="7" t="inlineStr">
        <is>
          <t>EXD98</t>
        </is>
      </c>
      <c r="B1454" s="8" t="n">
        <v>46064.75</v>
      </c>
      <c r="C1454" s="8" t="n">
        <v>46065.25</v>
      </c>
      <c r="D1454" s="9">
        <f>(C1454-B1454)*24</f>
        <v/>
      </c>
      <c r="E1454" s="10">
        <f>IF(AND(HOUR(B1454)&gt;=6,HOUR(B1454)&lt;18),"Day Shift","Night Shift")</f>
        <v/>
      </c>
      <c r="F1454" s="11">
        <f>INT(B1454)</f>
        <v/>
      </c>
      <c r="G1454" s="11">
        <f>INT(C1454)</f>
        <v/>
      </c>
    </row>
    <row r="1455">
      <c r="A1455" s="2" t="inlineStr">
        <is>
          <t>EXD98</t>
        </is>
      </c>
      <c r="B1455" s="3" t="n">
        <v>46065.25</v>
      </c>
      <c r="C1455" s="3" t="n">
        <v>46065.25166666666</v>
      </c>
      <c r="D1455" s="4">
        <f>(C1455-B1455)*24</f>
        <v/>
      </c>
      <c r="E1455" s="5">
        <f>IF(AND(HOUR(B1455)&gt;=6,HOUR(B1455)&lt;18),"Day Shift","Night Shift")</f>
        <v/>
      </c>
      <c r="F1455" s="6">
        <f>INT(B1455)</f>
        <v/>
      </c>
      <c r="G1455" s="6">
        <f>INT(C1455)</f>
        <v/>
      </c>
    </row>
    <row r="1456">
      <c r="A1456" s="2" t="inlineStr">
        <is>
          <t>EXD409</t>
        </is>
      </c>
      <c r="B1456" s="3" t="n">
        <v>46064.6441550926</v>
      </c>
      <c r="C1456" s="3" t="n">
        <v>46064.75</v>
      </c>
      <c r="D1456" s="4">
        <f>(C1456-B1456)*24</f>
        <v/>
      </c>
      <c r="E1456" s="5">
        <f>IF(AND(HOUR(B1456)&gt;=6,HOUR(B1456)&lt;18),"Day Shift","Night Shift")</f>
        <v/>
      </c>
      <c r="F1456" s="6">
        <f>INT(B1456)</f>
        <v/>
      </c>
      <c r="G1456" s="6">
        <f>INT(C1456)</f>
        <v/>
      </c>
    </row>
    <row r="1457">
      <c r="A1457" s="7" t="inlineStr">
        <is>
          <t>EXD409</t>
        </is>
      </c>
      <c r="B1457" s="8" t="n">
        <v>46064.75</v>
      </c>
      <c r="C1457" s="8" t="n">
        <v>46065.25</v>
      </c>
      <c r="D1457" s="9">
        <f>(C1457-B1457)*24</f>
        <v/>
      </c>
      <c r="E1457" s="10">
        <f>IF(AND(HOUR(B1457)&gt;=6,HOUR(B1457)&lt;18),"Day Shift","Night Shift")</f>
        <v/>
      </c>
      <c r="F1457" s="11">
        <f>INT(B1457)</f>
        <v/>
      </c>
      <c r="G1457" s="11">
        <f>INT(C1457)</f>
        <v/>
      </c>
    </row>
    <row r="1458">
      <c r="A1458" s="2" t="inlineStr">
        <is>
          <t>EXD409</t>
        </is>
      </c>
      <c r="B1458" s="3" t="n">
        <v>46065.25</v>
      </c>
      <c r="C1458" s="3" t="n">
        <v>46065.75</v>
      </c>
      <c r="D1458" s="4">
        <f>(C1458-B1458)*24</f>
        <v/>
      </c>
      <c r="E1458" s="5">
        <f>IF(AND(HOUR(B1458)&gt;=6,HOUR(B1458)&lt;18),"Day Shift","Night Shift")</f>
        <v/>
      </c>
      <c r="F1458" s="6">
        <f>INT(B1458)</f>
        <v/>
      </c>
      <c r="G1458" s="6">
        <f>INT(C1458)</f>
        <v/>
      </c>
    </row>
    <row r="1459">
      <c r="A1459" s="7" t="inlineStr">
        <is>
          <t>EXD409</t>
        </is>
      </c>
      <c r="B1459" s="8" t="n">
        <v>46065.75</v>
      </c>
      <c r="C1459" s="8" t="n">
        <v>46066.11380787037</v>
      </c>
      <c r="D1459" s="9">
        <f>(C1459-B1459)*24</f>
        <v/>
      </c>
      <c r="E1459" s="10">
        <f>IF(AND(HOUR(B1459)&gt;=6,HOUR(B1459)&lt;18),"Day Shift","Night Shift")</f>
        <v/>
      </c>
      <c r="F1459" s="11">
        <f>INT(B1459)</f>
        <v/>
      </c>
      <c r="G1459" s="11">
        <f>INT(C1459)</f>
        <v/>
      </c>
    </row>
    <row r="1460">
      <c r="A1460" s="2" t="inlineStr">
        <is>
          <t>EDD1932;EDD2541</t>
        </is>
      </c>
      <c r="B1460" s="3" t="n">
        <v>46064.70034722222</v>
      </c>
      <c r="C1460" s="3" t="n">
        <v>46064.75</v>
      </c>
      <c r="D1460" s="4">
        <f>(C1460-B1460)*24</f>
        <v/>
      </c>
      <c r="E1460" s="5">
        <f>IF(AND(HOUR(B1460)&gt;=6,HOUR(B1460)&lt;18),"Day Shift","Night Shift")</f>
        <v/>
      </c>
      <c r="F1460" s="6">
        <f>INT(B1460)</f>
        <v/>
      </c>
      <c r="G1460" s="6">
        <f>INT(C1460)</f>
        <v/>
      </c>
    </row>
    <row r="1461">
      <c r="A1461" s="7" t="inlineStr">
        <is>
          <t>EDD1932;EDD2541</t>
        </is>
      </c>
      <c r="B1461" s="8" t="n">
        <v>46064.75</v>
      </c>
      <c r="C1461" s="8" t="n">
        <v>46064.89986111111</v>
      </c>
      <c r="D1461" s="9">
        <f>(C1461-B1461)*24</f>
        <v/>
      </c>
      <c r="E1461" s="10">
        <f>IF(AND(HOUR(B1461)&gt;=6,HOUR(B1461)&lt;18),"Day Shift","Night Shift")</f>
        <v/>
      </c>
      <c r="F1461" s="11">
        <f>INT(B1461)</f>
        <v/>
      </c>
      <c r="G1461" s="11">
        <f>INT(C1461)</f>
        <v/>
      </c>
    </row>
    <row r="1462">
      <c r="A1462" s="7" t="inlineStr">
        <is>
          <t>Blast Crew</t>
        </is>
      </c>
      <c r="B1462" s="8" t="n">
        <v>46064.78484953703</v>
      </c>
      <c r="C1462" s="8" t="n">
        <v>46065.0974537037</v>
      </c>
      <c r="D1462" s="9">
        <f>(C1462-B1462)*24</f>
        <v/>
      </c>
      <c r="E1462" s="10">
        <f>IF(AND(HOUR(B1462)&gt;=6,HOUR(B1462)&lt;18),"Day Shift","Night Shift")</f>
        <v/>
      </c>
      <c r="F1462" s="11">
        <f>INT(B1462)</f>
        <v/>
      </c>
      <c r="G1462" s="11">
        <f>INT(C1462)</f>
        <v/>
      </c>
    </row>
    <row r="1463">
      <c r="A1463" s="7" t="inlineStr">
        <is>
          <t>EXD100</t>
        </is>
      </c>
      <c r="B1463" s="8" t="n">
        <v>46064.8784837963</v>
      </c>
      <c r="C1463" s="8" t="n">
        <v>46065.04784722222</v>
      </c>
      <c r="D1463" s="9">
        <f>(C1463-B1463)*24</f>
        <v/>
      </c>
      <c r="E1463" s="10">
        <f>IF(AND(HOUR(B1463)&gt;=6,HOUR(B1463)&lt;18),"Day Shift","Night Shift")</f>
        <v/>
      </c>
      <c r="F1463" s="11">
        <f>INT(B1463)</f>
        <v/>
      </c>
      <c r="G1463" s="11">
        <f>INT(C1463)</f>
        <v/>
      </c>
    </row>
    <row r="1464">
      <c r="A1464" s="7" t="inlineStr">
        <is>
          <t>EDD1932;EDD2541</t>
        </is>
      </c>
      <c r="B1464" s="8" t="n">
        <v>46064.89986111111</v>
      </c>
      <c r="C1464" s="8" t="n">
        <v>46065.120625</v>
      </c>
      <c r="D1464" s="9">
        <f>(C1464-B1464)*24</f>
        <v/>
      </c>
      <c r="E1464" s="10">
        <f>IF(AND(HOUR(B1464)&gt;=6,HOUR(B1464)&lt;18),"Day Shift","Night Shift")</f>
        <v/>
      </c>
      <c r="F1464" s="11">
        <f>INT(B1464)</f>
        <v/>
      </c>
      <c r="G1464" s="11">
        <f>INT(C1464)</f>
        <v/>
      </c>
    </row>
    <row r="1465">
      <c r="A1465" s="7" t="inlineStr">
        <is>
          <t>EXD408</t>
        </is>
      </c>
      <c r="B1465" s="8" t="n">
        <v>46064.97862268519</v>
      </c>
      <c r="C1465" s="8" t="n">
        <v>46065.25</v>
      </c>
      <c r="D1465" s="9">
        <f>(C1465-B1465)*24</f>
        <v/>
      </c>
      <c r="E1465" s="10">
        <f>IF(AND(HOUR(B1465)&gt;=6,HOUR(B1465)&lt;18),"Day Shift","Night Shift")</f>
        <v/>
      </c>
      <c r="F1465" s="11">
        <f>INT(B1465)</f>
        <v/>
      </c>
      <c r="G1465" s="11">
        <f>INT(C1465)</f>
        <v/>
      </c>
    </row>
    <row r="1466">
      <c r="A1466" s="2" t="inlineStr">
        <is>
          <t>EXD408</t>
        </is>
      </c>
      <c r="B1466" s="3" t="n">
        <v>46065.25</v>
      </c>
      <c r="C1466" s="3" t="n">
        <v>46065.75</v>
      </c>
      <c r="D1466" s="4">
        <f>(C1466-B1466)*24</f>
        <v/>
      </c>
      <c r="E1466" s="5">
        <f>IF(AND(HOUR(B1466)&gt;=6,HOUR(B1466)&lt;18),"Day Shift","Night Shift")</f>
        <v/>
      </c>
      <c r="F1466" s="6">
        <f>INT(B1466)</f>
        <v/>
      </c>
      <c r="G1466" s="6">
        <f>INT(C1466)</f>
        <v/>
      </c>
    </row>
    <row r="1467">
      <c r="A1467" s="7" t="inlineStr">
        <is>
          <t>EXD408</t>
        </is>
      </c>
      <c r="B1467" s="8" t="n">
        <v>46065.75</v>
      </c>
      <c r="C1467" s="8" t="n">
        <v>46065.91162037037</v>
      </c>
      <c r="D1467" s="9">
        <f>(C1467-B1467)*24</f>
        <v/>
      </c>
      <c r="E1467" s="10">
        <f>IF(AND(HOUR(B1467)&gt;=6,HOUR(B1467)&lt;18),"Day Shift","Night Shift")</f>
        <v/>
      </c>
      <c r="F1467" s="11">
        <f>INT(B1467)</f>
        <v/>
      </c>
      <c r="G1467" s="11">
        <f>INT(C1467)</f>
        <v/>
      </c>
    </row>
    <row r="1468">
      <c r="A1468" s="7" t="inlineStr">
        <is>
          <t>EXD60</t>
        </is>
      </c>
      <c r="B1468" s="8" t="n">
        <v>46065.05849537037</v>
      </c>
      <c r="C1468" s="8" t="n">
        <v>46065.25</v>
      </c>
      <c r="D1468" s="9">
        <f>(C1468-B1468)*24</f>
        <v/>
      </c>
      <c r="E1468" s="10">
        <f>IF(AND(HOUR(B1468)&gt;=6,HOUR(B1468)&lt;18),"Day Shift","Night Shift")</f>
        <v/>
      </c>
      <c r="F1468" s="11">
        <f>INT(B1468)</f>
        <v/>
      </c>
      <c r="G1468" s="11">
        <f>INT(C1468)</f>
        <v/>
      </c>
    </row>
    <row r="1469">
      <c r="A1469" s="2" t="inlineStr">
        <is>
          <t>EXD60</t>
        </is>
      </c>
      <c r="B1469" s="3" t="n">
        <v>46065.25</v>
      </c>
      <c r="C1469" s="3" t="n">
        <v>46065.75</v>
      </c>
      <c r="D1469" s="4">
        <f>(C1469-B1469)*24</f>
        <v/>
      </c>
      <c r="E1469" s="5">
        <f>IF(AND(HOUR(B1469)&gt;=6,HOUR(B1469)&lt;18),"Day Shift","Night Shift")</f>
        <v/>
      </c>
      <c r="F1469" s="6">
        <f>INT(B1469)</f>
        <v/>
      </c>
      <c r="G1469" s="6">
        <f>INT(C1469)</f>
        <v/>
      </c>
    </row>
    <row r="1470">
      <c r="A1470" s="7" t="inlineStr">
        <is>
          <t>EXD60</t>
        </is>
      </c>
      <c r="B1470" s="8" t="n">
        <v>46065.75</v>
      </c>
      <c r="C1470" s="8" t="n">
        <v>46065.80270833334</v>
      </c>
      <c r="D1470" s="9">
        <f>(C1470-B1470)*24</f>
        <v/>
      </c>
      <c r="E1470" s="10">
        <f>IF(AND(HOUR(B1470)&gt;=6,HOUR(B1470)&lt;18),"Day Shift","Night Shift")</f>
        <v/>
      </c>
      <c r="F1470" s="11">
        <f>INT(B1470)</f>
        <v/>
      </c>
      <c r="G1470" s="11">
        <f>INT(C1470)</f>
        <v/>
      </c>
    </row>
    <row r="1471">
      <c r="A1471" s="7" t="inlineStr">
        <is>
          <t>Blast Crew</t>
        </is>
      </c>
      <c r="B1471" s="8" t="n">
        <v>46065.0974537037</v>
      </c>
      <c r="C1471" s="8" t="n">
        <v>46065.25</v>
      </c>
      <c r="D1471" s="9">
        <f>(C1471-B1471)*24</f>
        <v/>
      </c>
      <c r="E1471" s="10">
        <f>IF(AND(HOUR(B1471)&gt;=6,HOUR(B1471)&lt;18),"Day Shift","Night Shift")</f>
        <v/>
      </c>
      <c r="F1471" s="11">
        <f>INT(B1471)</f>
        <v/>
      </c>
      <c r="G1471" s="11">
        <f>INT(C1471)</f>
        <v/>
      </c>
    </row>
    <row r="1472">
      <c r="A1472" s="2" t="inlineStr">
        <is>
          <t>Blast Crew</t>
        </is>
      </c>
      <c r="B1472" s="3" t="n">
        <v>46065.25</v>
      </c>
      <c r="C1472" s="3" t="n">
        <v>46065.38410879629</v>
      </c>
      <c r="D1472" s="4">
        <f>(C1472-B1472)*24</f>
        <v/>
      </c>
      <c r="E1472" s="5">
        <f>IF(AND(HOUR(B1472)&gt;=6,HOUR(B1472)&lt;18),"Day Shift","Night Shift")</f>
        <v/>
      </c>
      <c r="F1472" s="6">
        <f>INT(B1472)</f>
        <v/>
      </c>
      <c r="G1472" s="6">
        <f>INT(C1472)</f>
        <v/>
      </c>
    </row>
    <row r="1473">
      <c r="A1473" s="7" t="inlineStr">
        <is>
          <t>EXD100</t>
        </is>
      </c>
      <c r="B1473" s="8" t="n">
        <v>46065.11125</v>
      </c>
      <c r="C1473" s="8" t="n">
        <v>46065.25</v>
      </c>
      <c r="D1473" s="9">
        <f>(C1473-B1473)*24</f>
        <v/>
      </c>
      <c r="E1473" s="10">
        <f>IF(AND(HOUR(B1473)&gt;=6,HOUR(B1473)&lt;18),"Day Shift","Night Shift")</f>
        <v/>
      </c>
      <c r="F1473" s="11">
        <f>INT(B1473)</f>
        <v/>
      </c>
      <c r="G1473" s="11">
        <f>INT(C1473)</f>
        <v/>
      </c>
    </row>
    <row r="1474">
      <c r="A1474" s="2" t="inlineStr">
        <is>
          <t>EXD100</t>
        </is>
      </c>
      <c r="B1474" s="3" t="n">
        <v>46065.25</v>
      </c>
      <c r="C1474" s="3" t="n">
        <v>46065.34493055556</v>
      </c>
      <c r="D1474" s="4">
        <f>(C1474-B1474)*24</f>
        <v/>
      </c>
      <c r="E1474" s="5">
        <f>IF(AND(HOUR(B1474)&gt;=6,HOUR(B1474)&lt;18),"Day Shift","Night Shift")</f>
        <v/>
      </c>
      <c r="F1474" s="6">
        <f>INT(B1474)</f>
        <v/>
      </c>
      <c r="G1474" s="6">
        <f>INT(C1474)</f>
        <v/>
      </c>
    </row>
    <row r="1475">
      <c r="A1475" s="7" t="inlineStr">
        <is>
          <t>EDD1932;EDD2541</t>
        </is>
      </c>
      <c r="B1475" s="8" t="n">
        <v>46065.120625</v>
      </c>
      <c r="C1475" s="8" t="n">
        <v>46065.25</v>
      </c>
      <c r="D1475" s="9">
        <f>(C1475-B1475)*24</f>
        <v/>
      </c>
      <c r="E1475" s="10">
        <f>IF(AND(HOUR(B1475)&gt;=6,HOUR(B1475)&lt;18),"Day Shift","Night Shift")</f>
        <v/>
      </c>
      <c r="F1475" s="11">
        <f>INT(B1475)</f>
        <v/>
      </c>
      <c r="G1475" s="11">
        <f>INT(C1475)</f>
        <v/>
      </c>
    </row>
    <row r="1476">
      <c r="A1476" s="2" t="inlineStr">
        <is>
          <t>EDD1932;EDD2541</t>
        </is>
      </c>
      <c r="B1476" s="3" t="n">
        <v>46065.25</v>
      </c>
      <c r="C1476" s="3" t="n">
        <v>46065.35706018518</v>
      </c>
      <c r="D1476" s="4">
        <f>(C1476-B1476)*24</f>
        <v/>
      </c>
      <c r="E1476" s="5">
        <f>IF(AND(HOUR(B1476)&gt;=6,HOUR(B1476)&lt;18),"Day Shift","Night Shift")</f>
        <v/>
      </c>
      <c r="F1476" s="6">
        <f>INT(B1476)</f>
        <v/>
      </c>
      <c r="G1476" s="6">
        <f>INT(C1476)</f>
        <v/>
      </c>
    </row>
    <row r="1477">
      <c r="A1477" s="7" t="inlineStr">
        <is>
          <t>EXD101</t>
        </is>
      </c>
      <c r="B1477" s="8" t="n">
        <v>46065.12412037037</v>
      </c>
      <c r="C1477" s="8" t="n">
        <v>46065.25</v>
      </c>
      <c r="D1477" s="9">
        <f>(C1477-B1477)*24</f>
        <v/>
      </c>
      <c r="E1477" s="10">
        <f>IF(AND(HOUR(B1477)&gt;=6,HOUR(B1477)&lt;18),"Day Shift","Night Shift")</f>
        <v/>
      </c>
      <c r="F1477" s="11">
        <f>INT(B1477)</f>
        <v/>
      </c>
      <c r="G1477" s="11">
        <f>INT(C1477)</f>
        <v/>
      </c>
    </row>
    <row r="1478">
      <c r="A1478" s="2" t="inlineStr">
        <is>
          <t>EXD101</t>
        </is>
      </c>
      <c r="B1478" s="3" t="n">
        <v>46065.25</v>
      </c>
      <c r="C1478" s="3" t="n">
        <v>46065.75</v>
      </c>
      <c r="D1478" s="4">
        <f>(C1478-B1478)*24</f>
        <v/>
      </c>
      <c r="E1478" s="5">
        <f>IF(AND(HOUR(B1478)&gt;=6,HOUR(B1478)&lt;18),"Day Shift","Night Shift")</f>
        <v/>
      </c>
      <c r="F1478" s="6">
        <f>INT(B1478)</f>
        <v/>
      </c>
      <c r="G1478" s="6">
        <f>INT(C1478)</f>
        <v/>
      </c>
    </row>
    <row r="1479">
      <c r="A1479" s="7" t="inlineStr">
        <is>
          <t>EXD101</t>
        </is>
      </c>
      <c r="B1479" s="8" t="n">
        <v>46065.75</v>
      </c>
      <c r="C1479" s="8" t="n">
        <v>46066.25</v>
      </c>
      <c r="D1479" s="9">
        <f>(C1479-B1479)*24</f>
        <v/>
      </c>
      <c r="E1479" s="10">
        <f>IF(AND(HOUR(B1479)&gt;=6,HOUR(B1479)&lt;18),"Day Shift","Night Shift")</f>
        <v/>
      </c>
      <c r="F1479" s="11">
        <f>INT(B1479)</f>
        <v/>
      </c>
      <c r="G1479" s="11">
        <f>INT(C1479)</f>
        <v/>
      </c>
    </row>
    <row r="1480">
      <c r="A1480" s="2" t="inlineStr">
        <is>
          <t>EXD101</t>
        </is>
      </c>
      <c r="B1480" s="3" t="n">
        <v>46066.25</v>
      </c>
      <c r="C1480" s="3" t="n">
        <v>46066.75</v>
      </c>
      <c r="D1480" s="4">
        <f>(C1480-B1480)*24</f>
        <v/>
      </c>
      <c r="E1480" s="5">
        <f>IF(AND(HOUR(B1480)&gt;=6,HOUR(B1480)&lt;18),"Day Shift","Night Shift")</f>
        <v/>
      </c>
      <c r="F1480" s="6">
        <f>INT(B1480)</f>
        <v/>
      </c>
      <c r="G1480" s="6">
        <f>INT(C1480)</f>
        <v/>
      </c>
    </row>
    <row r="1481">
      <c r="A1481" s="7" t="inlineStr">
        <is>
          <t>EXD101</t>
        </is>
      </c>
      <c r="B1481" s="8" t="n">
        <v>46066.75</v>
      </c>
      <c r="C1481" s="8" t="n">
        <v>46067.25</v>
      </c>
      <c r="D1481" s="9">
        <f>(C1481-B1481)*24</f>
        <v/>
      </c>
      <c r="E1481" s="10">
        <f>IF(AND(HOUR(B1481)&gt;=6,HOUR(B1481)&lt;18),"Day Shift","Night Shift")</f>
        <v/>
      </c>
      <c r="F1481" s="11">
        <f>INT(B1481)</f>
        <v/>
      </c>
      <c r="G1481" s="11">
        <f>INT(C1481)</f>
        <v/>
      </c>
    </row>
    <row r="1482">
      <c r="A1482" s="2" t="inlineStr">
        <is>
          <t>EXD101</t>
        </is>
      </c>
      <c r="B1482" s="3" t="n">
        <v>46067.25</v>
      </c>
      <c r="C1482" s="3" t="n">
        <v>46067.75</v>
      </c>
      <c r="D1482" s="4">
        <f>(C1482-B1482)*24</f>
        <v/>
      </c>
      <c r="E1482" s="5">
        <f>IF(AND(HOUR(B1482)&gt;=6,HOUR(B1482)&lt;18),"Day Shift","Night Shift")</f>
        <v/>
      </c>
      <c r="F1482" s="6">
        <f>INT(B1482)</f>
        <v/>
      </c>
      <c r="G1482" s="6">
        <f>INT(C1482)</f>
        <v/>
      </c>
    </row>
    <row r="1483">
      <c r="A1483" s="7" t="inlineStr">
        <is>
          <t>EXD101</t>
        </is>
      </c>
      <c r="B1483" s="8" t="n">
        <v>46067.75</v>
      </c>
      <c r="C1483" s="8" t="n">
        <v>46068.11200231482</v>
      </c>
      <c r="D1483" s="9">
        <f>(C1483-B1483)*24</f>
        <v/>
      </c>
      <c r="E1483" s="10">
        <f>IF(AND(HOUR(B1483)&gt;=6,HOUR(B1483)&lt;18),"Day Shift","Night Shift")</f>
        <v/>
      </c>
      <c r="F1483" s="11">
        <f>INT(B1483)</f>
        <v/>
      </c>
      <c r="G1483" s="11">
        <f>INT(C1483)</f>
        <v/>
      </c>
    </row>
    <row r="1484">
      <c r="A1484" s="7" t="inlineStr">
        <is>
          <t>EDD175;EDD2134;EDD812</t>
        </is>
      </c>
      <c r="B1484" s="8" t="n">
        <v>46065.13644675926</v>
      </c>
      <c r="C1484" s="8" t="n">
        <v>46065.25</v>
      </c>
      <c r="D1484" s="9">
        <f>(C1484-B1484)*24</f>
        <v/>
      </c>
      <c r="E1484" s="10">
        <f>IF(AND(HOUR(B1484)&gt;=6,HOUR(B1484)&lt;18),"Day Shift","Night Shift")</f>
        <v/>
      </c>
      <c r="F1484" s="11">
        <f>INT(B1484)</f>
        <v/>
      </c>
      <c r="G1484" s="11">
        <f>INT(C1484)</f>
        <v/>
      </c>
    </row>
    <row r="1485">
      <c r="A1485" s="2" t="inlineStr">
        <is>
          <t>EDD175;EDD2134;EDD812</t>
        </is>
      </c>
      <c r="B1485" s="3" t="n">
        <v>46065.25</v>
      </c>
      <c r="C1485" s="3" t="n">
        <v>46065.75</v>
      </c>
      <c r="D1485" s="4">
        <f>(C1485-B1485)*24</f>
        <v/>
      </c>
      <c r="E1485" s="5">
        <f>IF(AND(HOUR(B1485)&gt;=6,HOUR(B1485)&lt;18),"Day Shift","Night Shift")</f>
        <v/>
      </c>
      <c r="F1485" s="6">
        <f>INT(B1485)</f>
        <v/>
      </c>
      <c r="G1485" s="6">
        <f>INT(C1485)</f>
        <v/>
      </c>
    </row>
    <row r="1486">
      <c r="A1486" s="7" t="inlineStr">
        <is>
          <t>EDD175;EDD2134;EDD812</t>
        </is>
      </c>
      <c r="B1486" s="8" t="n">
        <v>46065.75</v>
      </c>
      <c r="C1486" s="8" t="n">
        <v>46066.23712962963</v>
      </c>
      <c r="D1486" s="9">
        <f>(C1486-B1486)*24</f>
        <v/>
      </c>
      <c r="E1486" s="10">
        <f>IF(AND(HOUR(B1486)&gt;=6,HOUR(B1486)&lt;18),"Day Shift","Night Shift")</f>
        <v/>
      </c>
      <c r="F1486" s="11">
        <f>INT(B1486)</f>
        <v/>
      </c>
      <c r="G1486" s="11">
        <f>INT(C1486)</f>
        <v/>
      </c>
    </row>
    <row r="1487">
      <c r="A1487" s="7" t="inlineStr">
        <is>
          <t>EXD52</t>
        </is>
      </c>
      <c r="B1487" s="8" t="n">
        <v>46065.14356481482</v>
      </c>
      <c r="C1487" s="8" t="n">
        <v>46065.25</v>
      </c>
      <c r="D1487" s="9">
        <f>(C1487-B1487)*24</f>
        <v/>
      </c>
      <c r="E1487" s="10">
        <f>IF(AND(HOUR(B1487)&gt;=6,HOUR(B1487)&lt;18),"Day Shift","Night Shift")</f>
        <v/>
      </c>
      <c r="F1487" s="11">
        <f>INT(B1487)</f>
        <v/>
      </c>
      <c r="G1487" s="11">
        <f>INT(C1487)</f>
        <v/>
      </c>
    </row>
    <row r="1488">
      <c r="A1488" s="2" t="inlineStr">
        <is>
          <t>EXD52</t>
        </is>
      </c>
      <c r="B1488" s="3" t="n">
        <v>46065.25</v>
      </c>
      <c r="C1488" s="3" t="n">
        <v>46065.75</v>
      </c>
      <c r="D1488" s="4">
        <f>(C1488-B1488)*24</f>
        <v/>
      </c>
      <c r="E1488" s="5">
        <f>IF(AND(HOUR(B1488)&gt;=6,HOUR(B1488)&lt;18),"Day Shift","Night Shift")</f>
        <v/>
      </c>
      <c r="F1488" s="6">
        <f>INT(B1488)</f>
        <v/>
      </c>
      <c r="G1488" s="6">
        <f>INT(C1488)</f>
        <v/>
      </c>
    </row>
    <row r="1489">
      <c r="A1489" s="7" t="inlineStr">
        <is>
          <t>EXD52</t>
        </is>
      </c>
      <c r="B1489" s="8" t="n">
        <v>46065.75</v>
      </c>
      <c r="C1489" s="8" t="n">
        <v>46066.25</v>
      </c>
      <c r="D1489" s="9">
        <f>(C1489-B1489)*24</f>
        <v/>
      </c>
      <c r="E1489" s="10">
        <f>IF(AND(HOUR(B1489)&gt;=6,HOUR(B1489)&lt;18),"Day Shift","Night Shift")</f>
        <v/>
      </c>
      <c r="F1489" s="11">
        <f>INT(B1489)</f>
        <v/>
      </c>
      <c r="G1489" s="11">
        <f>INT(C1489)</f>
        <v/>
      </c>
    </row>
    <row r="1490">
      <c r="A1490" s="2" t="inlineStr">
        <is>
          <t>EXD52</t>
        </is>
      </c>
      <c r="B1490" s="3" t="n">
        <v>46066.25</v>
      </c>
      <c r="C1490" s="3" t="n">
        <v>46066.75</v>
      </c>
      <c r="D1490" s="4">
        <f>(C1490-B1490)*24</f>
        <v/>
      </c>
      <c r="E1490" s="5">
        <f>IF(AND(HOUR(B1490)&gt;=6,HOUR(B1490)&lt;18),"Day Shift","Night Shift")</f>
        <v/>
      </c>
      <c r="F1490" s="6">
        <f>INT(B1490)</f>
        <v/>
      </c>
      <c r="G1490" s="6">
        <f>INT(C1490)</f>
        <v/>
      </c>
    </row>
    <row r="1491">
      <c r="A1491" s="7" t="inlineStr">
        <is>
          <t>EXD52</t>
        </is>
      </c>
      <c r="B1491" s="8" t="n">
        <v>46066.75</v>
      </c>
      <c r="C1491" s="8" t="n">
        <v>46067.25</v>
      </c>
      <c r="D1491" s="9">
        <f>(C1491-B1491)*24</f>
        <v/>
      </c>
      <c r="E1491" s="10">
        <f>IF(AND(HOUR(B1491)&gt;=6,HOUR(B1491)&lt;18),"Day Shift","Night Shift")</f>
        <v/>
      </c>
      <c r="F1491" s="11">
        <f>INT(B1491)</f>
        <v/>
      </c>
      <c r="G1491" s="11">
        <f>INT(C1491)</f>
        <v/>
      </c>
    </row>
    <row r="1492">
      <c r="A1492" s="2" t="inlineStr">
        <is>
          <t>EXD52</t>
        </is>
      </c>
      <c r="B1492" s="3" t="n">
        <v>46067.25</v>
      </c>
      <c r="C1492" s="3" t="n">
        <v>46067.75</v>
      </c>
      <c r="D1492" s="4">
        <f>(C1492-B1492)*24</f>
        <v/>
      </c>
      <c r="E1492" s="5">
        <f>IF(AND(HOUR(B1492)&gt;=6,HOUR(B1492)&lt;18),"Day Shift","Night Shift")</f>
        <v/>
      </c>
      <c r="F1492" s="6">
        <f>INT(B1492)</f>
        <v/>
      </c>
      <c r="G1492" s="6">
        <f>INT(C1492)</f>
        <v/>
      </c>
    </row>
    <row r="1493">
      <c r="A1493" s="7" t="inlineStr">
        <is>
          <t>EXD52</t>
        </is>
      </c>
      <c r="B1493" s="8" t="n">
        <v>46067.75</v>
      </c>
      <c r="C1493" s="8" t="n">
        <v>46067.78574074074</v>
      </c>
      <c r="D1493" s="9">
        <f>(C1493-B1493)*24</f>
        <v/>
      </c>
      <c r="E1493" s="10">
        <f>IF(AND(HOUR(B1493)&gt;=6,HOUR(B1493)&lt;18),"Day Shift","Night Shift")</f>
        <v/>
      </c>
      <c r="F1493" s="11">
        <f>INT(B1493)</f>
        <v/>
      </c>
      <c r="G1493" s="11">
        <f>INT(C1493)</f>
        <v/>
      </c>
    </row>
    <row r="1494">
      <c r="A1494" s="7" t="inlineStr">
        <is>
          <t>EXD61</t>
        </is>
      </c>
      <c r="B1494" s="8" t="n">
        <v>46065.23891203704</v>
      </c>
      <c r="C1494" s="8" t="n">
        <v>46065.25</v>
      </c>
      <c r="D1494" s="9">
        <f>(C1494-B1494)*24</f>
        <v/>
      </c>
      <c r="E1494" s="10">
        <f>IF(AND(HOUR(B1494)&gt;=6,HOUR(B1494)&lt;18),"Day Shift","Night Shift")</f>
        <v/>
      </c>
      <c r="F1494" s="11">
        <f>INT(B1494)</f>
        <v/>
      </c>
      <c r="G1494" s="11">
        <f>INT(C1494)</f>
        <v/>
      </c>
    </row>
    <row r="1495">
      <c r="A1495" s="2" t="inlineStr">
        <is>
          <t>EXD61</t>
        </is>
      </c>
      <c r="B1495" s="3" t="n">
        <v>46065.25</v>
      </c>
      <c r="C1495" s="3" t="n">
        <v>46065.4794212963</v>
      </c>
      <c r="D1495" s="4">
        <f>(C1495-B1495)*24</f>
        <v/>
      </c>
      <c r="E1495" s="5">
        <f>IF(AND(HOUR(B1495)&gt;=6,HOUR(B1495)&lt;18),"Day Shift","Night Shift")</f>
        <v/>
      </c>
      <c r="F1495" s="6">
        <f>INT(B1495)</f>
        <v/>
      </c>
      <c r="G1495" s="6">
        <f>INT(C1495)</f>
        <v/>
      </c>
    </row>
    <row r="1496">
      <c r="A1496" s="2" t="inlineStr">
        <is>
          <t>EXD98</t>
        </is>
      </c>
      <c r="B1496" s="3" t="n">
        <v>46065.25166666666</v>
      </c>
      <c r="C1496" s="3" t="n">
        <v>46065.75</v>
      </c>
      <c r="D1496" s="4">
        <f>(C1496-B1496)*24</f>
        <v/>
      </c>
      <c r="E1496" s="5">
        <f>IF(AND(HOUR(B1496)&gt;=6,HOUR(B1496)&lt;18),"Day Shift","Night Shift")</f>
        <v/>
      </c>
      <c r="F1496" s="6">
        <f>INT(B1496)</f>
        <v/>
      </c>
      <c r="G1496" s="6">
        <f>INT(C1496)</f>
        <v/>
      </c>
    </row>
    <row r="1497">
      <c r="A1497" s="7" t="inlineStr">
        <is>
          <t>EXD98</t>
        </is>
      </c>
      <c r="B1497" s="8" t="n">
        <v>46065.75</v>
      </c>
      <c r="C1497" s="8" t="n">
        <v>46066.0059375</v>
      </c>
      <c r="D1497" s="9">
        <f>(C1497-B1497)*24</f>
        <v/>
      </c>
      <c r="E1497" s="10">
        <f>IF(AND(HOUR(B1497)&gt;=6,HOUR(B1497)&lt;18),"Day Shift","Night Shift")</f>
        <v/>
      </c>
      <c r="F1497" s="11">
        <f>INT(B1497)</f>
        <v/>
      </c>
      <c r="G1497" s="11">
        <f>INT(C1497)</f>
        <v/>
      </c>
    </row>
    <row r="1498">
      <c r="A1498" s="2" t="inlineStr">
        <is>
          <t>EDD1932;EDD2541</t>
        </is>
      </c>
      <c r="B1498" s="3" t="n">
        <v>46065.35706018518</v>
      </c>
      <c r="C1498" s="3" t="n">
        <v>46065.61711805555</v>
      </c>
      <c r="D1498" s="4">
        <f>(C1498-B1498)*24</f>
        <v/>
      </c>
      <c r="E1498" s="5">
        <f>IF(AND(HOUR(B1498)&gt;=6,HOUR(B1498)&lt;18),"Day Shift","Night Shift")</f>
        <v/>
      </c>
      <c r="F1498" s="6">
        <f>INT(B1498)</f>
        <v/>
      </c>
      <c r="G1498" s="6">
        <f>INT(C1498)</f>
        <v/>
      </c>
    </row>
    <row r="1499">
      <c r="A1499" s="2" t="inlineStr">
        <is>
          <t>EXD100</t>
        </is>
      </c>
      <c r="B1499" s="3" t="n">
        <v>46065.3708449074</v>
      </c>
      <c r="C1499" s="3" t="n">
        <v>46065.75</v>
      </c>
      <c r="D1499" s="4">
        <f>(C1499-B1499)*24</f>
        <v/>
      </c>
      <c r="E1499" s="5">
        <f>IF(AND(HOUR(B1499)&gt;=6,HOUR(B1499)&lt;18),"Day Shift","Night Shift")</f>
        <v/>
      </c>
      <c r="F1499" s="6">
        <f>INT(B1499)</f>
        <v/>
      </c>
      <c r="G1499" s="6">
        <f>INT(C1499)</f>
        <v/>
      </c>
    </row>
    <row r="1500">
      <c r="A1500" s="7" t="inlineStr">
        <is>
          <t>EXD100</t>
        </is>
      </c>
      <c r="B1500" s="8" t="n">
        <v>46065.75</v>
      </c>
      <c r="C1500" s="8" t="n">
        <v>46066.09150462963</v>
      </c>
      <c r="D1500" s="9">
        <f>(C1500-B1500)*24</f>
        <v/>
      </c>
      <c r="E1500" s="10">
        <f>IF(AND(HOUR(B1500)&gt;=6,HOUR(B1500)&lt;18),"Day Shift","Night Shift")</f>
        <v/>
      </c>
      <c r="F1500" s="11">
        <f>INT(B1500)</f>
        <v/>
      </c>
      <c r="G1500" s="11">
        <f>INT(C1500)</f>
        <v/>
      </c>
    </row>
    <row r="1501">
      <c r="A1501" s="2" t="inlineStr">
        <is>
          <t>Blast Crew</t>
        </is>
      </c>
      <c r="B1501" s="3" t="n">
        <v>46065.38410879629</v>
      </c>
      <c r="C1501" s="3" t="n">
        <v>46065.64462962963</v>
      </c>
      <c r="D1501" s="4">
        <f>(C1501-B1501)*24</f>
        <v/>
      </c>
      <c r="E1501" s="5">
        <f>IF(AND(HOUR(B1501)&gt;=6,HOUR(B1501)&lt;18),"Day Shift","Night Shift")</f>
        <v/>
      </c>
      <c r="F1501" s="6">
        <f>INT(B1501)</f>
        <v/>
      </c>
      <c r="G1501" s="6">
        <f>INT(C1501)</f>
        <v/>
      </c>
    </row>
    <row r="1502">
      <c r="A1502" s="2" t="inlineStr">
        <is>
          <t>SHE36</t>
        </is>
      </c>
      <c r="B1502" s="3" t="n">
        <v>46065.39268518519</v>
      </c>
      <c r="C1502" s="3" t="n">
        <v>46065.75</v>
      </c>
      <c r="D1502" s="4">
        <f>(C1502-B1502)*24</f>
        <v/>
      </c>
      <c r="E1502" s="5">
        <f>IF(AND(HOUR(B1502)&gt;=6,HOUR(B1502)&lt;18),"Day Shift","Night Shift")</f>
        <v/>
      </c>
      <c r="F1502" s="6">
        <f>INT(B1502)</f>
        <v/>
      </c>
      <c r="G1502" s="6">
        <f>INT(C1502)</f>
        <v/>
      </c>
    </row>
    <row r="1503">
      <c r="A1503" s="7" t="inlineStr">
        <is>
          <t>SHE36</t>
        </is>
      </c>
      <c r="B1503" s="8" t="n">
        <v>46065.75</v>
      </c>
      <c r="C1503" s="8" t="n">
        <v>46065.81611111111</v>
      </c>
      <c r="D1503" s="9">
        <f>(C1503-B1503)*24</f>
        <v/>
      </c>
      <c r="E1503" s="10">
        <f>IF(AND(HOUR(B1503)&gt;=6,HOUR(B1503)&lt;18),"Day Shift","Night Shift")</f>
        <v/>
      </c>
      <c r="F1503" s="11">
        <f>INT(B1503)</f>
        <v/>
      </c>
      <c r="G1503" s="11">
        <f>INT(C1503)</f>
        <v/>
      </c>
    </row>
    <row r="1504">
      <c r="A1504" s="2" t="inlineStr">
        <is>
          <t>DRE09</t>
        </is>
      </c>
      <c r="B1504" s="3" t="n">
        <v>46065.42671296297</v>
      </c>
      <c r="C1504" s="3" t="n">
        <v>46065.75</v>
      </c>
      <c r="D1504" s="4">
        <f>(C1504-B1504)*24</f>
        <v/>
      </c>
      <c r="E1504" s="5">
        <f>IF(AND(HOUR(B1504)&gt;=6,HOUR(B1504)&lt;18),"Day Shift","Night Shift")</f>
        <v/>
      </c>
      <c r="F1504" s="6">
        <f>INT(B1504)</f>
        <v/>
      </c>
      <c r="G1504" s="6">
        <f>INT(C1504)</f>
        <v/>
      </c>
    </row>
    <row r="1505">
      <c r="A1505" s="7" t="inlineStr">
        <is>
          <t>DRE09</t>
        </is>
      </c>
      <c r="B1505" s="8" t="n">
        <v>46065.75</v>
      </c>
      <c r="C1505" s="8" t="n">
        <v>46066.25</v>
      </c>
      <c r="D1505" s="9">
        <f>(C1505-B1505)*24</f>
        <v/>
      </c>
      <c r="E1505" s="10">
        <f>IF(AND(HOUR(B1505)&gt;=6,HOUR(B1505)&lt;18),"Day Shift","Night Shift")</f>
        <v/>
      </c>
      <c r="F1505" s="11">
        <f>INT(B1505)</f>
        <v/>
      </c>
      <c r="G1505" s="11">
        <f>INT(C1505)</f>
        <v/>
      </c>
    </row>
    <row r="1506">
      <c r="A1506" s="2" t="inlineStr">
        <is>
          <t>DRE09</t>
        </is>
      </c>
      <c r="B1506" s="3" t="n">
        <v>46066.25</v>
      </c>
      <c r="C1506" s="3" t="n">
        <v>46066.75</v>
      </c>
      <c r="D1506" s="4">
        <f>(C1506-B1506)*24</f>
        <v/>
      </c>
      <c r="E1506" s="5">
        <f>IF(AND(HOUR(B1506)&gt;=6,HOUR(B1506)&lt;18),"Day Shift","Night Shift")</f>
        <v/>
      </c>
      <c r="F1506" s="6">
        <f>INT(B1506)</f>
        <v/>
      </c>
      <c r="G1506" s="6">
        <f>INT(C1506)</f>
        <v/>
      </c>
    </row>
    <row r="1507">
      <c r="A1507" s="7" t="inlineStr">
        <is>
          <t>DRE09</t>
        </is>
      </c>
      <c r="B1507" s="8" t="n">
        <v>46066.75</v>
      </c>
      <c r="C1507" s="8" t="n">
        <v>46067.25</v>
      </c>
      <c r="D1507" s="9">
        <f>(C1507-B1507)*24</f>
        <v/>
      </c>
      <c r="E1507" s="10">
        <f>IF(AND(HOUR(B1507)&gt;=6,HOUR(B1507)&lt;18),"Day Shift","Night Shift")</f>
        <v/>
      </c>
      <c r="F1507" s="11">
        <f>INT(B1507)</f>
        <v/>
      </c>
      <c r="G1507" s="11">
        <f>INT(C1507)</f>
        <v/>
      </c>
    </row>
    <row r="1508">
      <c r="A1508" s="2" t="inlineStr">
        <is>
          <t>DRE09</t>
        </is>
      </c>
      <c r="B1508" s="3" t="n">
        <v>46067.25</v>
      </c>
      <c r="C1508" s="3" t="n">
        <v>46067.75</v>
      </c>
      <c r="D1508" s="4">
        <f>(C1508-B1508)*24</f>
        <v/>
      </c>
      <c r="E1508" s="5">
        <f>IF(AND(HOUR(B1508)&gt;=6,HOUR(B1508)&lt;18),"Day Shift","Night Shift")</f>
        <v/>
      </c>
      <c r="F1508" s="6">
        <f>INT(B1508)</f>
        <v/>
      </c>
      <c r="G1508" s="6">
        <f>INT(C1508)</f>
        <v/>
      </c>
    </row>
    <row r="1509">
      <c r="A1509" s="7" t="inlineStr">
        <is>
          <t>DRE09</t>
        </is>
      </c>
      <c r="B1509" s="8" t="n">
        <v>46067.75</v>
      </c>
      <c r="C1509" s="8" t="n">
        <v>46068.25</v>
      </c>
      <c r="D1509" s="9">
        <f>(C1509-B1509)*24</f>
        <v/>
      </c>
      <c r="E1509" s="10">
        <f>IF(AND(HOUR(B1509)&gt;=6,HOUR(B1509)&lt;18),"Day Shift","Night Shift")</f>
        <v/>
      </c>
      <c r="F1509" s="11">
        <f>INT(B1509)</f>
        <v/>
      </c>
      <c r="G1509" s="11">
        <f>INT(C1509)</f>
        <v/>
      </c>
    </row>
    <row r="1510">
      <c r="A1510" s="2" t="inlineStr">
        <is>
          <t>DRE09</t>
        </is>
      </c>
      <c r="B1510" s="3" t="n">
        <v>46068.25</v>
      </c>
      <c r="C1510" s="3" t="n">
        <v>46068.75</v>
      </c>
      <c r="D1510" s="4">
        <f>(C1510-B1510)*24</f>
        <v/>
      </c>
      <c r="E1510" s="5">
        <f>IF(AND(HOUR(B1510)&gt;=6,HOUR(B1510)&lt;18),"Day Shift","Night Shift")</f>
        <v/>
      </c>
      <c r="F1510" s="6">
        <f>INT(B1510)</f>
        <v/>
      </c>
      <c r="G1510" s="6">
        <f>INT(C1510)</f>
        <v/>
      </c>
    </row>
    <row r="1511">
      <c r="A1511" s="7" t="inlineStr">
        <is>
          <t>DRE09</t>
        </is>
      </c>
      <c r="B1511" s="8" t="n">
        <v>46068.75</v>
      </c>
      <c r="C1511" s="8" t="n">
        <v>46069.25</v>
      </c>
      <c r="D1511" s="9">
        <f>(C1511-B1511)*24</f>
        <v/>
      </c>
      <c r="E1511" s="10">
        <f>IF(AND(HOUR(B1511)&gt;=6,HOUR(B1511)&lt;18),"Day Shift","Night Shift")</f>
        <v/>
      </c>
      <c r="F1511" s="11">
        <f>INT(B1511)</f>
        <v/>
      </c>
      <c r="G1511" s="11">
        <f>INT(C1511)</f>
        <v/>
      </c>
    </row>
    <row r="1512">
      <c r="A1512" s="2" t="inlineStr">
        <is>
          <t>DRE09</t>
        </is>
      </c>
      <c r="B1512" s="3" t="n">
        <v>46069.25</v>
      </c>
      <c r="C1512" s="3" t="n">
        <v>46069.75</v>
      </c>
      <c r="D1512" s="4">
        <f>(C1512-B1512)*24</f>
        <v/>
      </c>
      <c r="E1512" s="5">
        <f>IF(AND(HOUR(B1512)&gt;=6,HOUR(B1512)&lt;18),"Day Shift","Night Shift")</f>
        <v/>
      </c>
      <c r="F1512" s="6">
        <f>INT(B1512)</f>
        <v/>
      </c>
      <c r="G1512" s="6">
        <f>INT(C1512)</f>
        <v/>
      </c>
    </row>
    <row r="1513">
      <c r="A1513" s="7" t="inlineStr">
        <is>
          <t>DRE09</t>
        </is>
      </c>
      <c r="B1513" s="8" t="n">
        <v>46069.75</v>
      </c>
      <c r="C1513" s="8" t="n">
        <v>46070.25</v>
      </c>
      <c r="D1513" s="9">
        <f>(C1513-B1513)*24</f>
        <v/>
      </c>
      <c r="E1513" s="10">
        <f>IF(AND(HOUR(B1513)&gt;=6,HOUR(B1513)&lt;18),"Day Shift","Night Shift")</f>
        <v/>
      </c>
      <c r="F1513" s="11">
        <f>INT(B1513)</f>
        <v/>
      </c>
      <c r="G1513" s="11">
        <f>INT(C1513)</f>
        <v/>
      </c>
    </row>
    <row r="1514">
      <c r="A1514" s="2" t="inlineStr">
        <is>
          <t>DRE09</t>
        </is>
      </c>
      <c r="B1514" s="3" t="n">
        <v>46070.25</v>
      </c>
      <c r="C1514" s="3" t="n">
        <v>46070.59326388889</v>
      </c>
      <c r="D1514" s="4">
        <f>(C1514-B1514)*24</f>
        <v/>
      </c>
      <c r="E1514" s="5">
        <f>IF(AND(HOUR(B1514)&gt;=6,HOUR(B1514)&lt;18),"Day Shift","Night Shift")</f>
        <v/>
      </c>
      <c r="F1514" s="6">
        <f>INT(B1514)</f>
        <v/>
      </c>
      <c r="G1514" s="6">
        <f>INT(C1514)</f>
        <v/>
      </c>
    </row>
    <row r="1515">
      <c r="A1515" s="2" t="inlineStr">
        <is>
          <t>EXD56;EXD73</t>
        </is>
      </c>
      <c r="B1515" s="3" t="n">
        <v>46065.46728009259</v>
      </c>
      <c r="C1515" s="3" t="n">
        <v>46065.75</v>
      </c>
      <c r="D1515" s="4">
        <f>(C1515-B1515)*24</f>
        <v/>
      </c>
      <c r="E1515" s="5">
        <f>IF(AND(HOUR(B1515)&gt;=6,HOUR(B1515)&lt;18),"Day Shift","Night Shift")</f>
        <v/>
      </c>
      <c r="F1515" s="6">
        <f>INT(B1515)</f>
        <v/>
      </c>
      <c r="G1515" s="6">
        <f>INT(C1515)</f>
        <v/>
      </c>
    </row>
    <row r="1516">
      <c r="A1516" s="7" t="inlineStr">
        <is>
          <t>EXD56;EXD73</t>
        </is>
      </c>
      <c r="B1516" s="8" t="n">
        <v>46065.75</v>
      </c>
      <c r="C1516" s="8" t="n">
        <v>46066.04435185185</v>
      </c>
      <c r="D1516" s="9">
        <f>(C1516-B1516)*24</f>
        <v/>
      </c>
      <c r="E1516" s="10">
        <f>IF(AND(HOUR(B1516)&gt;=6,HOUR(B1516)&lt;18),"Day Shift","Night Shift")</f>
        <v/>
      </c>
      <c r="F1516" s="11">
        <f>INT(B1516)</f>
        <v/>
      </c>
      <c r="G1516" s="11">
        <f>INT(C1516)</f>
        <v/>
      </c>
    </row>
    <row r="1517">
      <c r="A1517" s="2" t="inlineStr">
        <is>
          <t>EXD61</t>
        </is>
      </c>
      <c r="B1517" s="3" t="n">
        <v>46065.4794212963</v>
      </c>
      <c r="C1517" s="3" t="n">
        <v>46065.75</v>
      </c>
      <c r="D1517" s="4">
        <f>(C1517-B1517)*24</f>
        <v/>
      </c>
      <c r="E1517" s="5">
        <f>IF(AND(HOUR(B1517)&gt;=6,HOUR(B1517)&lt;18),"Day Shift","Night Shift")</f>
        <v/>
      </c>
      <c r="F1517" s="6">
        <f>INT(B1517)</f>
        <v/>
      </c>
      <c r="G1517" s="6">
        <f>INT(C1517)</f>
        <v/>
      </c>
    </row>
    <row r="1518">
      <c r="A1518" s="7" t="inlineStr">
        <is>
          <t>EXD61</t>
        </is>
      </c>
      <c r="B1518" s="8" t="n">
        <v>46065.75</v>
      </c>
      <c r="C1518" s="8" t="n">
        <v>46065.88916666667</v>
      </c>
      <c r="D1518" s="9">
        <f>(C1518-B1518)*24</f>
        <v/>
      </c>
      <c r="E1518" s="10">
        <f>IF(AND(HOUR(B1518)&gt;=6,HOUR(B1518)&lt;18),"Day Shift","Night Shift")</f>
        <v/>
      </c>
      <c r="F1518" s="11">
        <f>INT(B1518)</f>
        <v/>
      </c>
      <c r="G1518" s="11">
        <f>INT(C1518)</f>
        <v/>
      </c>
    </row>
    <row r="1519">
      <c r="A1519" s="2" t="inlineStr">
        <is>
          <t>EDD1932;EDD2541</t>
        </is>
      </c>
      <c r="B1519" s="3" t="n">
        <v>46065.61711805555</v>
      </c>
      <c r="C1519" s="3" t="n">
        <v>46065.75</v>
      </c>
      <c r="D1519" s="4">
        <f>(C1519-B1519)*24</f>
        <v/>
      </c>
      <c r="E1519" s="5">
        <f>IF(AND(HOUR(B1519)&gt;=6,HOUR(B1519)&lt;18),"Day Shift","Night Shift")</f>
        <v/>
      </c>
      <c r="F1519" s="6">
        <f>INT(B1519)</f>
        <v/>
      </c>
      <c r="G1519" s="6">
        <f>INT(C1519)</f>
        <v/>
      </c>
    </row>
    <row r="1520">
      <c r="A1520" s="7" t="inlineStr">
        <is>
          <t>EDD1932;EDD2541</t>
        </is>
      </c>
      <c r="B1520" s="8" t="n">
        <v>46065.75</v>
      </c>
      <c r="C1520" s="8" t="n">
        <v>46065.80711805556</v>
      </c>
      <c r="D1520" s="9">
        <f>(C1520-B1520)*24</f>
        <v/>
      </c>
      <c r="E1520" s="10">
        <f>IF(AND(HOUR(B1520)&gt;=6,HOUR(B1520)&lt;18),"Day Shift","Night Shift")</f>
        <v/>
      </c>
      <c r="F1520" s="11">
        <f>INT(B1520)</f>
        <v/>
      </c>
      <c r="G1520" s="11">
        <f>INT(C1520)</f>
        <v/>
      </c>
    </row>
    <row r="1521">
      <c r="A1521" s="2" t="inlineStr">
        <is>
          <t>EXD55</t>
        </is>
      </c>
      <c r="B1521" s="3" t="n">
        <v>46065.64509259259</v>
      </c>
      <c r="C1521" s="3" t="n">
        <v>46065.75</v>
      </c>
      <c r="D1521" s="4">
        <f>(C1521-B1521)*24</f>
        <v/>
      </c>
      <c r="E1521" s="5">
        <f>IF(AND(HOUR(B1521)&gt;=6,HOUR(B1521)&lt;18),"Day Shift","Night Shift")</f>
        <v/>
      </c>
      <c r="F1521" s="6">
        <f>INT(B1521)</f>
        <v/>
      </c>
      <c r="G1521" s="6">
        <f>INT(C1521)</f>
        <v/>
      </c>
    </row>
    <row r="1522">
      <c r="A1522" s="7" t="inlineStr">
        <is>
          <t>EXD55</t>
        </is>
      </c>
      <c r="B1522" s="8" t="n">
        <v>46065.75</v>
      </c>
      <c r="C1522" s="8" t="n">
        <v>46065.88804398148</v>
      </c>
      <c r="D1522" s="9">
        <f>(C1522-B1522)*24</f>
        <v/>
      </c>
      <c r="E1522" s="10">
        <f>IF(AND(HOUR(B1522)&gt;=6,HOUR(B1522)&lt;18),"Day Shift","Night Shift")</f>
        <v/>
      </c>
      <c r="F1522" s="11">
        <f>INT(B1522)</f>
        <v/>
      </c>
      <c r="G1522" s="11">
        <f>INT(C1522)</f>
        <v/>
      </c>
    </row>
    <row r="1523">
      <c r="A1523" s="2" t="inlineStr">
        <is>
          <t>EXD56</t>
        </is>
      </c>
      <c r="B1523" s="3" t="n">
        <v>46065.70045138889</v>
      </c>
      <c r="C1523" s="3" t="n">
        <v>46065.75</v>
      </c>
      <c r="D1523" s="4">
        <f>(C1523-B1523)*24</f>
        <v/>
      </c>
      <c r="E1523" s="5">
        <f>IF(AND(HOUR(B1523)&gt;=6,HOUR(B1523)&lt;18),"Day Shift","Night Shift")</f>
        <v/>
      </c>
      <c r="F1523" s="6">
        <f>INT(B1523)</f>
        <v/>
      </c>
      <c r="G1523" s="6">
        <f>INT(C1523)</f>
        <v/>
      </c>
    </row>
    <row r="1524">
      <c r="A1524" s="7" t="inlineStr">
        <is>
          <t>EXD56</t>
        </is>
      </c>
      <c r="B1524" s="8" t="n">
        <v>46065.75</v>
      </c>
      <c r="C1524" s="8" t="n">
        <v>46066.25</v>
      </c>
      <c r="D1524" s="9">
        <f>(C1524-B1524)*24</f>
        <v/>
      </c>
      <c r="E1524" s="10">
        <f>IF(AND(HOUR(B1524)&gt;=6,HOUR(B1524)&lt;18),"Day Shift","Night Shift")</f>
        <v/>
      </c>
      <c r="F1524" s="11">
        <f>INT(B1524)</f>
        <v/>
      </c>
      <c r="G1524" s="11">
        <f>INT(C1524)</f>
        <v/>
      </c>
    </row>
    <row r="1525">
      <c r="A1525" s="2" t="inlineStr">
        <is>
          <t>EXD56</t>
        </is>
      </c>
      <c r="B1525" s="3" t="n">
        <v>46066.25</v>
      </c>
      <c r="C1525" s="3" t="n">
        <v>46066.75</v>
      </c>
      <c r="D1525" s="4">
        <f>(C1525-B1525)*24</f>
        <v/>
      </c>
      <c r="E1525" s="5">
        <f>IF(AND(HOUR(B1525)&gt;=6,HOUR(B1525)&lt;18),"Day Shift","Night Shift")</f>
        <v/>
      </c>
      <c r="F1525" s="6">
        <f>INT(B1525)</f>
        <v/>
      </c>
      <c r="G1525" s="6">
        <f>INT(C1525)</f>
        <v/>
      </c>
    </row>
    <row r="1526">
      <c r="A1526" s="7" t="inlineStr">
        <is>
          <t>EXD56</t>
        </is>
      </c>
      <c r="B1526" s="8" t="n">
        <v>46066.75</v>
      </c>
      <c r="C1526" s="8" t="n">
        <v>46067.25</v>
      </c>
      <c r="D1526" s="9">
        <f>(C1526-B1526)*24</f>
        <v/>
      </c>
      <c r="E1526" s="10">
        <f>IF(AND(HOUR(B1526)&gt;=6,HOUR(B1526)&lt;18),"Day Shift","Night Shift")</f>
        <v/>
      </c>
      <c r="F1526" s="11">
        <f>INT(B1526)</f>
        <v/>
      </c>
      <c r="G1526" s="11">
        <f>INT(C1526)</f>
        <v/>
      </c>
    </row>
    <row r="1527">
      <c r="A1527" s="2" t="inlineStr">
        <is>
          <t>EXD56</t>
        </is>
      </c>
      <c r="B1527" s="3" t="n">
        <v>46067.25</v>
      </c>
      <c r="C1527" s="3" t="n">
        <v>46067.75</v>
      </c>
      <c r="D1527" s="4">
        <f>(C1527-B1527)*24</f>
        <v/>
      </c>
      <c r="E1527" s="5">
        <f>IF(AND(HOUR(B1527)&gt;=6,HOUR(B1527)&lt;18),"Day Shift","Night Shift")</f>
        <v/>
      </c>
      <c r="F1527" s="6">
        <f>INT(B1527)</f>
        <v/>
      </c>
      <c r="G1527" s="6">
        <f>INT(C1527)</f>
        <v/>
      </c>
    </row>
    <row r="1528">
      <c r="A1528" s="7" t="inlineStr">
        <is>
          <t>EXD56</t>
        </is>
      </c>
      <c r="B1528" s="8" t="n">
        <v>46067.75</v>
      </c>
      <c r="C1528" s="8" t="n">
        <v>46068.25</v>
      </c>
      <c r="D1528" s="9">
        <f>(C1528-B1528)*24</f>
        <v/>
      </c>
      <c r="E1528" s="10">
        <f>IF(AND(HOUR(B1528)&gt;=6,HOUR(B1528)&lt;18),"Day Shift","Night Shift")</f>
        <v/>
      </c>
      <c r="F1528" s="11">
        <f>INT(B1528)</f>
        <v/>
      </c>
      <c r="G1528" s="11">
        <f>INT(C1528)</f>
        <v/>
      </c>
    </row>
    <row r="1529">
      <c r="A1529" s="2" t="inlineStr">
        <is>
          <t>EXD56</t>
        </is>
      </c>
      <c r="B1529" s="3" t="n">
        <v>46068.25</v>
      </c>
      <c r="C1529" s="3" t="n">
        <v>46068.75</v>
      </c>
      <c r="D1529" s="4">
        <f>(C1529-B1529)*24</f>
        <v/>
      </c>
      <c r="E1529" s="5">
        <f>IF(AND(HOUR(B1529)&gt;=6,HOUR(B1529)&lt;18),"Day Shift","Night Shift")</f>
        <v/>
      </c>
      <c r="F1529" s="6">
        <f>INT(B1529)</f>
        <v/>
      </c>
      <c r="G1529" s="6">
        <f>INT(C1529)</f>
        <v/>
      </c>
    </row>
    <row r="1530">
      <c r="A1530" s="7" t="inlineStr">
        <is>
          <t>EXD56</t>
        </is>
      </c>
      <c r="B1530" s="8" t="n">
        <v>46068.75</v>
      </c>
      <c r="C1530" s="8" t="n">
        <v>46069.25</v>
      </c>
      <c r="D1530" s="9">
        <f>(C1530-B1530)*24</f>
        <v/>
      </c>
      <c r="E1530" s="10">
        <f>IF(AND(HOUR(B1530)&gt;=6,HOUR(B1530)&lt;18),"Day Shift","Night Shift")</f>
        <v/>
      </c>
      <c r="F1530" s="11">
        <f>INT(B1530)</f>
        <v/>
      </c>
      <c r="G1530" s="11">
        <f>INT(C1530)</f>
        <v/>
      </c>
    </row>
    <row r="1531">
      <c r="A1531" s="2" t="inlineStr">
        <is>
          <t>EXD56</t>
        </is>
      </c>
      <c r="B1531" s="3" t="n">
        <v>46069.25</v>
      </c>
      <c r="C1531" s="3" t="n">
        <v>46069.75</v>
      </c>
      <c r="D1531" s="4">
        <f>(C1531-B1531)*24</f>
        <v/>
      </c>
      <c r="E1531" s="5">
        <f>IF(AND(HOUR(B1531)&gt;=6,HOUR(B1531)&lt;18),"Day Shift","Night Shift")</f>
        <v/>
      </c>
      <c r="F1531" s="6">
        <f>INT(B1531)</f>
        <v/>
      </c>
      <c r="G1531" s="6">
        <f>INT(C1531)</f>
        <v/>
      </c>
    </row>
    <row r="1532">
      <c r="A1532" s="7" t="inlineStr">
        <is>
          <t>EXD56</t>
        </is>
      </c>
      <c r="B1532" s="8" t="n">
        <v>46069.75</v>
      </c>
      <c r="C1532" s="8" t="n">
        <v>46070.25</v>
      </c>
      <c r="D1532" s="9">
        <f>(C1532-B1532)*24</f>
        <v/>
      </c>
      <c r="E1532" s="10">
        <f>IF(AND(HOUR(B1532)&gt;=6,HOUR(B1532)&lt;18),"Day Shift","Night Shift")</f>
        <v/>
      </c>
      <c r="F1532" s="11">
        <f>INT(B1532)</f>
        <v/>
      </c>
      <c r="G1532" s="11">
        <f>INT(C1532)</f>
        <v/>
      </c>
    </row>
    <row r="1533">
      <c r="A1533" s="2" t="inlineStr">
        <is>
          <t>EXD56</t>
        </is>
      </c>
      <c r="B1533" s="3" t="n">
        <v>46070.25</v>
      </c>
      <c r="C1533" s="3" t="n">
        <v>46070.3244675926</v>
      </c>
      <c r="D1533" s="4">
        <f>(C1533-B1533)*24</f>
        <v/>
      </c>
      <c r="E1533" s="5">
        <f>IF(AND(HOUR(B1533)&gt;=6,HOUR(B1533)&lt;18),"Day Shift","Night Shift")</f>
        <v/>
      </c>
      <c r="F1533" s="6">
        <f>INT(B1533)</f>
        <v/>
      </c>
      <c r="G1533" s="6">
        <f>INT(C1533)</f>
        <v/>
      </c>
    </row>
    <row r="1534">
      <c r="A1534" s="7" t="inlineStr">
        <is>
          <t>EXD60</t>
        </is>
      </c>
      <c r="B1534" s="8" t="n">
        <v>46065.80325231481</v>
      </c>
      <c r="C1534" s="8" t="n">
        <v>46066.25</v>
      </c>
      <c r="D1534" s="9">
        <f>(C1534-B1534)*24</f>
        <v/>
      </c>
      <c r="E1534" s="10">
        <f>IF(AND(HOUR(B1534)&gt;=6,HOUR(B1534)&lt;18),"Day Shift","Night Shift")</f>
        <v/>
      </c>
      <c r="F1534" s="11">
        <f>INT(B1534)</f>
        <v/>
      </c>
      <c r="G1534" s="11">
        <f>INT(C1534)</f>
        <v/>
      </c>
    </row>
    <row r="1535">
      <c r="A1535" s="2" t="inlineStr">
        <is>
          <t>EXD60</t>
        </is>
      </c>
      <c r="B1535" s="3" t="n">
        <v>46066.25</v>
      </c>
      <c r="C1535" s="3" t="n">
        <v>46066.75</v>
      </c>
      <c r="D1535" s="4">
        <f>(C1535-B1535)*24</f>
        <v/>
      </c>
      <c r="E1535" s="5">
        <f>IF(AND(HOUR(B1535)&gt;=6,HOUR(B1535)&lt;18),"Day Shift","Night Shift")</f>
        <v/>
      </c>
      <c r="F1535" s="6">
        <f>INT(B1535)</f>
        <v/>
      </c>
      <c r="G1535" s="6">
        <f>INT(C1535)</f>
        <v/>
      </c>
    </row>
    <row r="1536">
      <c r="A1536" s="7" t="inlineStr">
        <is>
          <t>EXD60</t>
        </is>
      </c>
      <c r="B1536" s="8" t="n">
        <v>46066.75</v>
      </c>
      <c r="C1536" s="8" t="n">
        <v>46067.25</v>
      </c>
      <c r="D1536" s="9">
        <f>(C1536-B1536)*24</f>
        <v/>
      </c>
      <c r="E1536" s="10">
        <f>IF(AND(HOUR(B1536)&gt;=6,HOUR(B1536)&lt;18),"Day Shift","Night Shift")</f>
        <v/>
      </c>
      <c r="F1536" s="11">
        <f>INT(B1536)</f>
        <v/>
      </c>
      <c r="G1536" s="11">
        <f>INT(C1536)</f>
        <v/>
      </c>
    </row>
    <row r="1537">
      <c r="A1537" s="2" t="inlineStr">
        <is>
          <t>EXD60</t>
        </is>
      </c>
      <c r="B1537" s="3" t="n">
        <v>46067.25</v>
      </c>
      <c r="C1537" s="3" t="n">
        <v>46067.75</v>
      </c>
      <c r="D1537" s="4">
        <f>(C1537-B1537)*24</f>
        <v/>
      </c>
      <c r="E1537" s="5">
        <f>IF(AND(HOUR(B1537)&gt;=6,HOUR(B1537)&lt;18),"Day Shift","Night Shift")</f>
        <v/>
      </c>
      <c r="F1537" s="6">
        <f>INT(B1537)</f>
        <v/>
      </c>
      <c r="G1537" s="6">
        <f>INT(C1537)</f>
        <v/>
      </c>
    </row>
    <row r="1538">
      <c r="A1538" s="7" t="inlineStr">
        <is>
          <t>EXD60</t>
        </is>
      </c>
      <c r="B1538" s="8" t="n">
        <v>46067.75</v>
      </c>
      <c r="C1538" s="8" t="n">
        <v>46068.03619212963</v>
      </c>
      <c r="D1538" s="9">
        <f>(C1538-B1538)*24</f>
        <v/>
      </c>
      <c r="E1538" s="10">
        <f>IF(AND(HOUR(B1538)&gt;=6,HOUR(B1538)&lt;18),"Day Shift","Night Shift")</f>
        <v/>
      </c>
      <c r="F1538" s="11">
        <f>INT(B1538)</f>
        <v/>
      </c>
      <c r="G1538" s="11">
        <f>INT(C1538)</f>
        <v/>
      </c>
    </row>
    <row r="1539">
      <c r="A1539" s="7" t="inlineStr">
        <is>
          <t>EDD1932;EDD2541</t>
        </is>
      </c>
      <c r="B1539" s="8" t="n">
        <v>46065.80711805556</v>
      </c>
      <c r="C1539" s="8" t="n">
        <v>46066.01833333333</v>
      </c>
      <c r="D1539" s="9">
        <f>(C1539-B1539)*24</f>
        <v/>
      </c>
      <c r="E1539" s="10">
        <f>IF(AND(HOUR(B1539)&gt;=6,HOUR(B1539)&lt;18),"Day Shift","Night Shift")</f>
        <v/>
      </c>
      <c r="F1539" s="11">
        <f>INT(B1539)</f>
        <v/>
      </c>
      <c r="G1539" s="11">
        <f>INT(C1539)</f>
        <v/>
      </c>
    </row>
    <row r="1540">
      <c r="A1540" s="7" t="inlineStr">
        <is>
          <t>SHE36</t>
        </is>
      </c>
      <c r="B1540" s="8" t="n">
        <v>46065.81611111111</v>
      </c>
      <c r="C1540" s="8" t="n">
        <v>46066.25</v>
      </c>
      <c r="D1540" s="9">
        <f>(C1540-B1540)*24</f>
        <v/>
      </c>
      <c r="E1540" s="10">
        <f>IF(AND(HOUR(B1540)&gt;=6,HOUR(B1540)&lt;18),"Day Shift","Night Shift")</f>
        <v/>
      </c>
      <c r="F1540" s="11">
        <f>INT(B1540)</f>
        <v/>
      </c>
      <c r="G1540" s="11">
        <f>INT(C1540)</f>
        <v/>
      </c>
    </row>
    <row r="1541">
      <c r="A1541" s="2" t="inlineStr">
        <is>
          <t>SHE36</t>
        </is>
      </c>
      <c r="B1541" s="3" t="n">
        <v>46066.25</v>
      </c>
      <c r="C1541" s="3" t="n">
        <v>46066.75</v>
      </c>
      <c r="D1541" s="4">
        <f>(C1541-B1541)*24</f>
        <v/>
      </c>
      <c r="E1541" s="5">
        <f>IF(AND(HOUR(B1541)&gt;=6,HOUR(B1541)&lt;18),"Day Shift","Night Shift")</f>
        <v/>
      </c>
      <c r="F1541" s="6">
        <f>INT(B1541)</f>
        <v/>
      </c>
      <c r="G1541" s="6">
        <f>INT(C1541)</f>
        <v/>
      </c>
    </row>
    <row r="1542">
      <c r="A1542" s="7" t="inlineStr">
        <is>
          <t>SHE36</t>
        </is>
      </c>
      <c r="B1542" s="8" t="n">
        <v>46066.75</v>
      </c>
      <c r="C1542" s="8" t="n">
        <v>46066.76827546296</v>
      </c>
      <c r="D1542" s="9">
        <f>(C1542-B1542)*24</f>
        <v/>
      </c>
      <c r="E1542" s="10">
        <f>IF(AND(HOUR(B1542)&gt;=6,HOUR(B1542)&lt;18),"Day Shift","Night Shift")</f>
        <v/>
      </c>
      <c r="F1542" s="11">
        <f>INT(B1542)</f>
        <v/>
      </c>
      <c r="G1542" s="11">
        <f>INT(C1542)</f>
        <v/>
      </c>
    </row>
    <row r="1543">
      <c r="A1543" s="7" t="inlineStr">
        <is>
          <t>EXD55</t>
        </is>
      </c>
      <c r="B1543" s="8" t="n">
        <v>46065.88804398148</v>
      </c>
      <c r="C1543" s="8" t="n">
        <v>46066.25</v>
      </c>
      <c r="D1543" s="9">
        <f>(C1543-B1543)*24</f>
        <v/>
      </c>
      <c r="E1543" s="10">
        <f>IF(AND(HOUR(B1543)&gt;=6,HOUR(B1543)&lt;18),"Day Shift","Night Shift")</f>
        <v/>
      </c>
      <c r="F1543" s="11">
        <f>INT(B1543)</f>
        <v/>
      </c>
      <c r="G1543" s="11">
        <f>INT(C1543)</f>
        <v/>
      </c>
    </row>
    <row r="1544">
      <c r="A1544" s="2" t="inlineStr">
        <is>
          <t>EXD55</t>
        </is>
      </c>
      <c r="B1544" s="3" t="n">
        <v>46066.25</v>
      </c>
      <c r="C1544" s="3" t="n">
        <v>46066.75</v>
      </c>
      <c r="D1544" s="4">
        <f>(C1544-B1544)*24</f>
        <v/>
      </c>
      <c r="E1544" s="5">
        <f>IF(AND(HOUR(B1544)&gt;=6,HOUR(B1544)&lt;18),"Day Shift","Night Shift")</f>
        <v/>
      </c>
      <c r="F1544" s="6">
        <f>INT(B1544)</f>
        <v/>
      </c>
      <c r="G1544" s="6">
        <f>INT(C1544)</f>
        <v/>
      </c>
    </row>
    <row r="1545">
      <c r="A1545" s="7" t="inlineStr">
        <is>
          <t>EXD55</t>
        </is>
      </c>
      <c r="B1545" s="8" t="n">
        <v>46066.75</v>
      </c>
      <c r="C1545" s="8" t="n">
        <v>46066.75480324074</v>
      </c>
      <c r="D1545" s="9">
        <f>(C1545-B1545)*24</f>
        <v/>
      </c>
      <c r="E1545" s="10">
        <f>IF(AND(HOUR(B1545)&gt;=6,HOUR(B1545)&lt;18),"Day Shift","Night Shift")</f>
        <v/>
      </c>
      <c r="F1545" s="11">
        <f>INT(B1545)</f>
        <v/>
      </c>
      <c r="G1545" s="11">
        <f>INT(C1545)</f>
        <v/>
      </c>
    </row>
    <row r="1546">
      <c r="A1546" s="7" t="inlineStr">
        <is>
          <t>EXD61</t>
        </is>
      </c>
      <c r="B1546" s="8" t="n">
        <v>46065.88935185185</v>
      </c>
      <c r="C1546" s="8" t="n">
        <v>46066.25</v>
      </c>
      <c r="D1546" s="9">
        <f>(C1546-B1546)*24</f>
        <v/>
      </c>
      <c r="E1546" s="10">
        <f>IF(AND(HOUR(B1546)&gt;=6,HOUR(B1546)&lt;18),"Day Shift","Night Shift")</f>
        <v/>
      </c>
      <c r="F1546" s="11">
        <f>INT(B1546)</f>
        <v/>
      </c>
      <c r="G1546" s="11">
        <f>INT(C1546)</f>
        <v/>
      </c>
    </row>
    <row r="1547">
      <c r="A1547" s="2" t="inlineStr">
        <is>
          <t>EXD61</t>
        </is>
      </c>
      <c r="B1547" s="3" t="n">
        <v>46066.25</v>
      </c>
      <c r="C1547" s="3" t="n">
        <v>46066.70998842592</v>
      </c>
      <c r="D1547" s="4">
        <f>(C1547-B1547)*24</f>
        <v/>
      </c>
      <c r="E1547" s="5">
        <f>IF(AND(HOUR(B1547)&gt;=6,HOUR(B1547)&lt;18),"Day Shift","Night Shift")</f>
        <v/>
      </c>
      <c r="F1547" s="6">
        <f>INT(B1547)</f>
        <v/>
      </c>
      <c r="G1547" s="6">
        <f>INT(C1547)</f>
        <v/>
      </c>
    </row>
    <row r="1548">
      <c r="A1548" s="7" t="inlineStr">
        <is>
          <t>Blast Crew</t>
        </is>
      </c>
      <c r="B1548" s="8" t="n">
        <v>46065.8921875</v>
      </c>
      <c r="C1548" s="8" t="n">
        <v>46066.13393518519</v>
      </c>
      <c r="D1548" s="9">
        <f>(C1548-B1548)*24</f>
        <v/>
      </c>
      <c r="E1548" s="10">
        <f>IF(AND(HOUR(B1548)&gt;=6,HOUR(B1548)&lt;18),"Day Shift","Night Shift")</f>
        <v/>
      </c>
      <c r="F1548" s="11">
        <f>INT(B1548)</f>
        <v/>
      </c>
      <c r="G1548" s="11">
        <f>INT(C1548)</f>
        <v/>
      </c>
    </row>
    <row r="1549">
      <c r="A1549" s="7" t="inlineStr">
        <is>
          <t>EXD408</t>
        </is>
      </c>
      <c r="B1549" s="8" t="n">
        <v>46065.91162037037</v>
      </c>
      <c r="C1549" s="8" t="n">
        <v>46066.25</v>
      </c>
      <c r="D1549" s="9">
        <f>(C1549-B1549)*24</f>
        <v/>
      </c>
      <c r="E1549" s="10">
        <f>IF(AND(HOUR(B1549)&gt;=6,HOUR(B1549)&lt;18),"Day Shift","Night Shift")</f>
        <v/>
      </c>
      <c r="F1549" s="11">
        <f>INT(B1549)</f>
        <v/>
      </c>
      <c r="G1549" s="11">
        <f>INT(C1549)</f>
        <v/>
      </c>
    </row>
    <row r="1550">
      <c r="A1550" s="2" t="inlineStr">
        <is>
          <t>EXD408</t>
        </is>
      </c>
      <c r="B1550" s="3" t="n">
        <v>46066.25</v>
      </c>
      <c r="C1550" s="3" t="n">
        <v>46066.75</v>
      </c>
      <c r="D1550" s="4">
        <f>(C1550-B1550)*24</f>
        <v/>
      </c>
      <c r="E1550" s="5">
        <f>IF(AND(HOUR(B1550)&gt;=6,HOUR(B1550)&lt;18),"Day Shift","Night Shift")</f>
        <v/>
      </c>
      <c r="F1550" s="6">
        <f>INT(B1550)</f>
        <v/>
      </c>
      <c r="G1550" s="6">
        <f>INT(C1550)</f>
        <v/>
      </c>
    </row>
    <row r="1551">
      <c r="A1551" s="7" t="inlineStr">
        <is>
          <t>EXD408</t>
        </is>
      </c>
      <c r="B1551" s="8" t="n">
        <v>46066.75</v>
      </c>
      <c r="C1551" s="8" t="n">
        <v>46067.25</v>
      </c>
      <c r="D1551" s="9">
        <f>(C1551-B1551)*24</f>
        <v/>
      </c>
      <c r="E1551" s="10">
        <f>IF(AND(HOUR(B1551)&gt;=6,HOUR(B1551)&lt;18),"Day Shift","Night Shift")</f>
        <v/>
      </c>
      <c r="F1551" s="11">
        <f>INT(B1551)</f>
        <v/>
      </c>
      <c r="G1551" s="11">
        <f>INT(C1551)</f>
        <v/>
      </c>
    </row>
    <row r="1552">
      <c r="A1552" s="2" t="inlineStr">
        <is>
          <t>EXD408</t>
        </is>
      </c>
      <c r="B1552" s="3" t="n">
        <v>46067.25</v>
      </c>
      <c r="C1552" s="3" t="n">
        <v>46067.43833333333</v>
      </c>
      <c r="D1552" s="4">
        <f>(C1552-B1552)*24</f>
        <v/>
      </c>
      <c r="E1552" s="5">
        <f>IF(AND(HOUR(B1552)&gt;=6,HOUR(B1552)&lt;18),"Day Shift","Night Shift")</f>
        <v/>
      </c>
      <c r="F1552" s="6">
        <f>INT(B1552)</f>
        <v/>
      </c>
      <c r="G1552" s="6">
        <f>INT(C1552)</f>
        <v/>
      </c>
    </row>
    <row r="1553">
      <c r="A1553" s="7" t="inlineStr">
        <is>
          <t>EXD98</t>
        </is>
      </c>
      <c r="B1553" s="8" t="n">
        <v>46066.0059375</v>
      </c>
      <c r="C1553" s="8" t="n">
        <v>46066.25</v>
      </c>
      <c r="D1553" s="9">
        <f>(C1553-B1553)*24</f>
        <v/>
      </c>
      <c r="E1553" s="10">
        <f>IF(AND(HOUR(B1553)&gt;=6,HOUR(B1553)&lt;18),"Day Shift","Night Shift")</f>
        <v/>
      </c>
      <c r="F1553" s="11">
        <f>INT(B1553)</f>
        <v/>
      </c>
      <c r="G1553" s="11">
        <f>INT(C1553)</f>
        <v/>
      </c>
    </row>
    <row r="1554">
      <c r="A1554" s="2" t="inlineStr">
        <is>
          <t>EXD98</t>
        </is>
      </c>
      <c r="B1554" s="3" t="n">
        <v>46066.25</v>
      </c>
      <c r="C1554" s="3" t="n">
        <v>46066.7382175926</v>
      </c>
      <c r="D1554" s="4">
        <f>(C1554-B1554)*24</f>
        <v/>
      </c>
      <c r="E1554" s="5">
        <f>IF(AND(HOUR(B1554)&gt;=6,HOUR(B1554)&lt;18),"Day Shift","Night Shift")</f>
        <v/>
      </c>
      <c r="F1554" s="6">
        <f>INT(B1554)</f>
        <v/>
      </c>
      <c r="G1554" s="6">
        <f>INT(C1554)</f>
        <v/>
      </c>
    </row>
    <row r="1555">
      <c r="A1555" s="7" t="inlineStr">
        <is>
          <t>EDD1932;EDD2541</t>
        </is>
      </c>
      <c r="B1555" s="8" t="n">
        <v>46066.01833333333</v>
      </c>
      <c r="C1555" s="8" t="n">
        <v>46066.21555555556</v>
      </c>
      <c r="D1555" s="9">
        <f>(C1555-B1555)*24</f>
        <v/>
      </c>
      <c r="E1555" s="10">
        <f>IF(AND(HOUR(B1555)&gt;=6,HOUR(B1555)&lt;18),"Day Shift","Night Shift")</f>
        <v/>
      </c>
      <c r="F1555" s="11">
        <f>INT(B1555)</f>
        <v/>
      </c>
      <c r="G1555" s="11">
        <f>INT(C1555)</f>
        <v/>
      </c>
    </row>
    <row r="1556">
      <c r="A1556" s="7" t="inlineStr">
        <is>
          <t>EXD73</t>
        </is>
      </c>
      <c r="B1556" s="8" t="n">
        <v>46066.04435185185</v>
      </c>
      <c r="C1556" s="8" t="n">
        <v>46066.25</v>
      </c>
      <c r="D1556" s="9">
        <f>(C1556-B1556)*24</f>
        <v/>
      </c>
      <c r="E1556" s="10">
        <f>IF(AND(HOUR(B1556)&gt;=6,HOUR(B1556)&lt;18),"Day Shift","Night Shift")</f>
        <v/>
      </c>
      <c r="F1556" s="11">
        <f>INT(B1556)</f>
        <v/>
      </c>
      <c r="G1556" s="11">
        <f>INT(C1556)</f>
        <v/>
      </c>
    </row>
    <row r="1557">
      <c r="A1557" s="2" t="inlineStr">
        <is>
          <t>EXD73</t>
        </is>
      </c>
      <c r="B1557" s="3" t="n">
        <v>46066.25</v>
      </c>
      <c r="C1557" s="3" t="n">
        <v>46066.75</v>
      </c>
      <c r="D1557" s="4">
        <f>(C1557-B1557)*24</f>
        <v/>
      </c>
      <c r="E1557" s="5">
        <f>IF(AND(HOUR(B1557)&gt;=6,HOUR(B1557)&lt;18),"Day Shift","Night Shift")</f>
        <v/>
      </c>
      <c r="F1557" s="6">
        <f>INT(B1557)</f>
        <v/>
      </c>
      <c r="G1557" s="6">
        <f>INT(C1557)</f>
        <v/>
      </c>
    </row>
    <row r="1558">
      <c r="A1558" s="7" t="inlineStr">
        <is>
          <t>EXD73</t>
        </is>
      </c>
      <c r="B1558" s="8" t="n">
        <v>46066.75</v>
      </c>
      <c r="C1558" s="8" t="n">
        <v>46066.7599537037</v>
      </c>
      <c r="D1558" s="9">
        <f>(C1558-B1558)*24</f>
        <v/>
      </c>
      <c r="E1558" s="10">
        <f>IF(AND(HOUR(B1558)&gt;=6,HOUR(B1558)&lt;18),"Day Shift","Night Shift")</f>
        <v/>
      </c>
      <c r="F1558" s="11">
        <f>INT(B1558)</f>
        <v/>
      </c>
      <c r="G1558" s="11">
        <f>INT(C1558)</f>
        <v/>
      </c>
    </row>
    <row r="1559">
      <c r="A1559" s="7" t="inlineStr">
        <is>
          <t>DRE42</t>
        </is>
      </c>
      <c r="B1559" s="8" t="n">
        <v>46066.10986111111</v>
      </c>
      <c r="C1559" s="8" t="n">
        <v>46066.25</v>
      </c>
      <c r="D1559" s="9">
        <f>(C1559-B1559)*24</f>
        <v/>
      </c>
      <c r="E1559" s="10">
        <f>IF(AND(HOUR(B1559)&gt;=6,HOUR(B1559)&lt;18),"Day Shift","Night Shift")</f>
        <v/>
      </c>
      <c r="F1559" s="11">
        <f>INT(B1559)</f>
        <v/>
      </c>
      <c r="G1559" s="11">
        <f>INT(C1559)</f>
        <v/>
      </c>
    </row>
    <row r="1560">
      <c r="A1560" s="2" t="inlineStr">
        <is>
          <t>DRE42</t>
        </is>
      </c>
      <c r="B1560" s="3" t="n">
        <v>46066.25</v>
      </c>
      <c r="C1560" s="3" t="n">
        <v>46066.2971875</v>
      </c>
      <c r="D1560" s="4">
        <f>(C1560-B1560)*24</f>
        <v/>
      </c>
      <c r="E1560" s="5">
        <f>IF(AND(HOUR(B1560)&gt;=6,HOUR(B1560)&lt;18),"Day Shift","Night Shift")</f>
        <v/>
      </c>
      <c r="F1560" s="6">
        <f>INT(B1560)</f>
        <v/>
      </c>
      <c r="G1560" s="6">
        <f>INT(C1560)</f>
        <v/>
      </c>
    </row>
    <row r="1561">
      <c r="A1561" s="7" t="inlineStr">
        <is>
          <t>EXD409</t>
        </is>
      </c>
      <c r="B1561" s="8" t="n">
        <v>46066.11380787037</v>
      </c>
      <c r="C1561" s="8" t="n">
        <v>46066.25</v>
      </c>
      <c r="D1561" s="9">
        <f>(C1561-B1561)*24</f>
        <v/>
      </c>
      <c r="E1561" s="10">
        <f>IF(AND(HOUR(B1561)&gt;=6,HOUR(B1561)&lt;18),"Day Shift","Night Shift")</f>
        <v/>
      </c>
      <c r="F1561" s="11">
        <f>INT(B1561)</f>
        <v/>
      </c>
      <c r="G1561" s="11">
        <f>INT(C1561)</f>
        <v/>
      </c>
    </row>
    <row r="1562">
      <c r="A1562" s="2" t="inlineStr">
        <is>
          <t>EXD409</t>
        </is>
      </c>
      <c r="B1562" s="3" t="n">
        <v>46066.25</v>
      </c>
      <c r="C1562" s="3" t="n">
        <v>46066.75</v>
      </c>
      <c r="D1562" s="4">
        <f>(C1562-B1562)*24</f>
        <v/>
      </c>
      <c r="E1562" s="5">
        <f>IF(AND(HOUR(B1562)&gt;=6,HOUR(B1562)&lt;18),"Day Shift","Night Shift")</f>
        <v/>
      </c>
      <c r="F1562" s="6">
        <f>INT(B1562)</f>
        <v/>
      </c>
      <c r="G1562" s="6">
        <f>INT(C1562)</f>
        <v/>
      </c>
    </row>
    <row r="1563">
      <c r="A1563" s="7" t="inlineStr">
        <is>
          <t>EXD409</t>
        </is>
      </c>
      <c r="B1563" s="8" t="n">
        <v>46066.75</v>
      </c>
      <c r="C1563" s="8" t="n">
        <v>46067.25</v>
      </c>
      <c r="D1563" s="9">
        <f>(C1563-B1563)*24</f>
        <v/>
      </c>
      <c r="E1563" s="10">
        <f>IF(AND(HOUR(B1563)&gt;=6,HOUR(B1563)&lt;18),"Day Shift","Night Shift")</f>
        <v/>
      </c>
      <c r="F1563" s="11">
        <f>INT(B1563)</f>
        <v/>
      </c>
      <c r="G1563" s="11">
        <f>INT(C1563)</f>
        <v/>
      </c>
    </row>
    <row r="1564">
      <c r="A1564" s="2" t="inlineStr">
        <is>
          <t>EXD409</t>
        </is>
      </c>
      <c r="B1564" s="3" t="n">
        <v>46067.25</v>
      </c>
      <c r="C1564" s="3" t="n">
        <v>46067.75</v>
      </c>
      <c r="D1564" s="4">
        <f>(C1564-B1564)*24</f>
        <v/>
      </c>
      <c r="E1564" s="5">
        <f>IF(AND(HOUR(B1564)&gt;=6,HOUR(B1564)&lt;18),"Day Shift","Night Shift")</f>
        <v/>
      </c>
      <c r="F1564" s="6">
        <f>INT(B1564)</f>
        <v/>
      </c>
      <c r="G1564" s="6">
        <f>INT(C1564)</f>
        <v/>
      </c>
    </row>
    <row r="1565">
      <c r="A1565" s="7" t="inlineStr">
        <is>
          <t>EXD409</t>
        </is>
      </c>
      <c r="B1565" s="8" t="n">
        <v>46067.75</v>
      </c>
      <c r="C1565" s="8" t="n">
        <v>46067.88099537037</v>
      </c>
      <c r="D1565" s="9">
        <f>(C1565-B1565)*24</f>
        <v/>
      </c>
      <c r="E1565" s="10">
        <f>IF(AND(HOUR(B1565)&gt;=6,HOUR(B1565)&lt;18),"Day Shift","Night Shift")</f>
        <v/>
      </c>
      <c r="F1565" s="11">
        <f>INT(B1565)</f>
        <v/>
      </c>
      <c r="G1565" s="11">
        <f>INT(C1565)</f>
        <v/>
      </c>
    </row>
    <row r="1566">
      <c r="A1566" s="7" t="inlineStr">
        <is>
          <t>EXD51</t>
        </is>
      </c>
      <c r="B1566" s="8" t="n">
        <v>46066.13105324074</v>
      </c>
      <c r="C1566" s="8" t="n">
        <v>46066.25</v>
      </c>
      <c r="D1566" s="9">
        <f>(C1566-B1566)*24</f>
        <v/>
      </c>
      <c r="E1566" s="10">
        <f>IF(AND(HOUR(B1566)&gt;=6,HOUR(B1566)&lt;18),"Day Shift","Night Shift")</f>
        <v/>
      </c>
      <c r="F1566" s="11">
        <f>INT(B1566)</f>
        <v/>
      </c>
      <c r="G1566" s="11">
        <f>INT(C1566)</f>
        <v/>
      </c>
    </row>
    <row r="1567">
      <c r="A1567" s="2" t="inlineStr">
        <is>
          <t>EXD51</t>
        </is>
      </c>
      <c r="B1567" s="3" t="n">
        <v>46066.25</v>
      </c>
      <c r="C1567" s="3" t="n">
        <v>46066.75</v>
      </c>
      <c r="D1567" s="4">
        <f>(C1567-B1567)*24</f>
        <v/>
      </c>
      <c r="E1567" s="5">
        <f>IF(AND(HOUR(B1567)&gt;=6,HOUR(B1567)&lt;18),"Day Shift","Night Shift")</f>
        <v/>
      </c>
      <c r="F1567" s="6">
        <f>INT(B1567)</f>
        <v/>
      </c>
      <c r="G1567" s="6">
        <f>INT(C1567)</f>
        <v/>
      </c>
    </row>
    <row r="1568">
      <c r="A1568" s="7" t="inlineStr">
        <is>
          <t>EXD51</t>
        </is>
      </c>
      <c r="B1568" s="8" t="n">
        <v>46066.75</v>
      </c>
      <c r="C1568" s="8" t="n">
        <v>46067.25</v>
      </c>
      <c r="D1568" s="9">
        <f>(C1568-B1568)*24</f>
        <v/>
      </c>
      <c r="E1568" s="10">
        <f>IF(AND(HOUR(B1568)&gt;=6,HOUR(B1568)&lt;18),"Day Shift","Night Shift")</f>
        <v/>
      </c>
      <c r="F1568" s="11">
        <f>INT(B1568)</f>
        <v/>
      </c>
      <c r="G1568" s="11">
        <f>INT(C1568)</f>
        <v/>
      </c>
    </row>
    <row r="1569">
      <c r="A1569" s="2" t="inlineStr">
        <is>
          <t>EXD51</t>
        </is>
      </c>
      <c r="B1569" s="3" t="n">
        <v>46067.25</v>
      </c>
      <c r="C1569" s="3" t="n">
        <v>46067.61773148148</v>
      </c>
      <c r="D1569" s="4">
        <f>(C1569-B1569)*24</f>
        <v/>
      </c>
      <c r="E1569" s="5">
        <f>IF(AND(HOUR(B1569)&gt;=6,HOUR(B1569)&lt;18),"Day Shift","Night Shift")</f>
        <v/>
      </c>
      <c r="F1569" s="6">
        <f>INT(B1569)</f>
        <v/>
      </c>
      <c r="G1569" s="6">
        <f>INT(C1569)</f>
        <v/>
      </c>
    </row>
    <row r="1570">
      <c r="A1570" s="7" t="inlineStr">
        <is>
          <t>Blast Crew</t>
        </is>
      </c>
      <c r="B1570" s="8" t="n">
        <v>46066.13393518519</v>
      </c>
      <c r="C1570" s="8" t="n">
        <v>46066.25</v>
      </c>
      <c r="D1570" s="9">
        <f>(C1570-B1570)*24</f>
        <v/>
      </c>
      <c r="E1570" s="10">
        <f>IF(AND(HOUR(B1570)&gt;=6,HOUR(B1570)&lt;18),"Day Shift","Night Shift")</f>
        <v/>
      </c>
      <c r="F1570" s="11">
        <f>INT(B1570)</f>
        <v/>
      </c>
      <c r="G1570" s="11">
        <f>INT(C1570)</f>
        <v/>
      </c>
    </row>
    <row r="1571">
      <c r="A1571" s="2" t="inlineStr">
        <is>
          <t>Blast Crew</t>
        </is>
      </c>
      <c r="B1571" s="3" t="n">
        <v>46066.25</v>
      </c>
      <c r="C1571" s="3" t="n">
        <v>46066.41133101852</v>
      </c>
      <c r="D1571" s="4">
        <f>(C1571-B1571)*24</f>
        <v/>
      </c>
      <c r="E1571" s="5">
        <f>IF(AND(HOUR(B1571)&gt;=6,HOUR(B1571)&lt;18),"Day Shift","Night Shift")</f>
        <v/>
      </c>
      <c r="F1571" s="6">
        <f>INT(B1571)</f>
        <v/>
      </c>
      <c r="G1571" s="6">
        <f>INT(C1571)</f>
        <v/>
      </c>
    </row>
    <row r="1572">
      <c r="A1572" s="7" t="inlineStr">
        <is>
          <t>EDD1932;EDD2541</t>
        </is>
      </c>
      <c r="B1572" s="8" t="n">
        <v>46066.21555555556</v>
      </c>
      <c r="C1572" s="8" t="n">
        <v>46066.25</v>
      </c>
      <c r="D1572" s="9">
        <f>(C1572-B1572)*24</f>
        <v/>
      </c>
      <c r="E1572" s="10">
        <f>IF(AND(HOUR(B1572)&gt;=6,HOUR(B1572)&lt;18),"Day Shift","Night Shift")</f>
        <v/>
      </c>
      <c r="F1572" s="11">
        <f>INT(B1572)</f>
        <v/>
      </c>
      <c r="G1572" s="11">
        <f>INT(C1572)</f>
        <v/>
      </c>
    </row>
    <row r="1573">
      <c r="A1573" s="2" t="inlineStr">
        <is>
          <t>EDD1932;EDD2541</t>
        </is>
      </c>
      <c r="B1573" s="3" t="n">
        <v>46066.25</v>
      </c>
      <c r="C1573" s="3" t="n">
        <v>46066.45158564814</v>
      </c>
      <c r="D1573" s="4">
        <f>(C1573-B1573)*24</f>
        <v/>
      </c>
      <c r="E1573" s="5">
        <f>IF(AND(HOUR(B1573)&gt;=6,HOUR(B1573)&lt;18),"Day Shift","Night Shift")</f>
        <v/>
      </c>
      <c r="F1573" s="6">
        <f>INT(B1573)</f>
        <v/>
      </c>
      <c r="G1573" s="6">
        <f>INT(C1573)</f>
        <v/>
      </c>
    </row>
    <row r="1574">
      <c r="A1574" s="7" t="inlineStr">
        <is>
          <t>EDD175;EDD2134;EDD812</t>
        </is>
      </c>
      <c r="B1574" s="8" t="n">
        <v>46066.23712962963</v>
      </c>
      <c r="C1574" s="8" t="n">
        <v>46066.25</v>
      </c>
      <c r="D1574" s="9">
        <f>(C1574-B1574)*24</f>
        <v/>
      </c>
      <c r="E1574" s="10">
        <f>IF(AND(HOUR(B1574)&gt;=6,HOUR(B1574)&lt;18),"Day Shift","Night Shift")</f>
        <v/>
      </c>
      <c r="F1574" s="11">
        <f>INT(B1574)</f>
        <v/>
      </c>
      <c r="G1574" s="11">
        <f>INT(C1574)</f>
        <v/>
      </c>
    </row>
    <row r="1575">
      <c r="A1575" s="2" t="inlineStr">
        <is>
          <t>EDD175;EDD2134;EDD812</t>
        </is>
      </c>
      <c r="B1575" s="3" t="n">
        <v>46066.25</v>
      </c>
      <c r="C1575" s="3" t="n">
        <v>46066.75</v>
      </c>
      <c r="D1575" s="4">
        <f>(C1575-B1575)*24</f>
        <v/>
      </c>
      <c r="E1575" s="5">
        <f>IF(AND(HOUR(B1575)&gt;=6,HOUR(B1575)&lt;18),"Day Shift","Night Shift")</f>
        <v/>
      </c>
      <c r="F1575" s="6">
        <f>INT(B1575)</f>
        <v/>
      </c>
      <c r="G1575" s="6">
        <f>INT(C1575)</f>
        <v/>
      </c>
    </row>
    <row r="1576">
      <c r="A1576" s="7" t="inlineStr">
        <is>
          <t>EDD175;EDD2134;EDD812</t>
        </is>
      </c>
      <c r="B1576" s="8" t="n">
        <v>46066.75</v>
      </c>
      <c r="C1576" s="8" t="n">
        <v>46067.25</v>
      </c>
      <c r="D1576" s="9">
        <f>(C1576-B1576)*24</f>
        <v/>
      </c>
      <c r="E1576" s="10">
        <f>IF(AND(HOUR(B1576)&gt;=6,HOUR(B1576)&lt;18),"Day Shift","Night Shift")</f>
        <v/>
      </c>
      <c r="F1576" s="11">
        <f>INT(B1576)</f>
        <v/>
      </c>
      <c r="G1576" s="11">
        <f>INT(C1576)</f>
        <v/>
      </c>
    </row>
    <row r="1577">
      <c r="A1577" s="2" t="inlineStr">
        <is>
          <t>EDD175;EDD2134;EDD812</t>
        </is>
      </c>
      <c r="B1577" s="3" t="n">
        <v>46067.25</v>
      </c>
      <c r="C1577" s="3" t="n">
        <v>46067.70429398148</v>
      </c>
      <c r="D1577" s="4">
        <f>(C1577-B1577)*24</f>
        <v/>
      </c>
      <c r="E1577" s="5">
        <f>IF(AND(HOUR(B1577)&gt;=6,HOUR(B1577)&lt;18),"Day Shift","Night Shift")</f>
        <v/>
      </c>
      <c r="F1577" s="6">
        <f>INT(B1577)</f>
        <v/>
      </c>
      <c r="G1577" s="6">
        <f>INT(C1577)</f>
        <v/>
      </c>
    </row>
    <row r="1578">
      <c r="A1578" s="2" t="inlineStr">
        <is>
          <t>DRE42</t>
        </is>
      </c>
      <c r="B1578" s="3" t="n">
        <v>46066.2971875</v>
      </c>
      <c r="C1578" s="3" t="n">
        <v>46066.75</v>
      </c>
      <c r="D1578" s="4">
        <f>(C1578-B1578)*24</f>
        <v/>
      </c>
      <c r="E1578" s="5">
        <f>IF(AND(HOUR(B1578)&gt;=6,HOUR(B1578)&lt;18),"Day Shift","Night Shift")</f>
        <v/>
      </c>
      <c r="F1578" s="6">
        <f>INT(B1578)</f>
        <v/>
      </c>
      <c r="G1578" s="6">
        <f>INT(C1578)</f>
        <v/>
      </c>
    </row>
    <row r="1579">
      <c r="A1579" s="7" t="inlineStr">
        <is>
          <t>DRE42</t>
        </is>
      </c>
      <c r="B1579" s="8" t="n">
        <v>46066.75</v>
      </c>
      <c r="C1579" s="8" t="n">
        <v>46066.92037037037</v>
      </c>
      <c r="D1579" s="9">
        <f>(C1579-B1579)*24</f>
        <v/>
      </c>
      <c r="E1579" s="10">
        <f>IF(AND(HOUR(B1579)&gt;=6,HOUR(B1579)&lt;18),"Day Shift","Night Shift")</f>
        <v/>
      </c>
      <c r="F1579" s="11">
        <f>INT(B1579)</f>
        <v/>
      </c>
      <c r="G1579" s="11">
        <f>INT(C1579)</f>
        <v/>
      </c>
    </row>
    <row r="1580">
      <c r="A1580" s="2" t="inlineStr">
        <is>
          <t>Blast Crew</t>
        </is>
      </c>
      <c r="B1580" s="3" t="n">
        <v>46066.41133101852</v>
      </c>
      <c r="C1580" s="3" t="n">
        <v>46066.69385416667</v>
      </c>
      <c r="D1580" s="4">
        <f>(C1580-B1580)*24</f>
        <v/>
      </c>
      <c r="E1580" s="5">
        <f>IF(AND(HOUR(B1580)&gt;=6,HOUR(B1580)&lt;18),"Day Shift","Night Shift")</f>
        <v/>
      </c>
      <c r="F1580" s="6">
        <f>INT(B1580)</f>
        <v/>
      </c>
      <c r="G1580" s="6">
        <f>INT(C1580)</f>
        <v/>
      </c>
    </row>
    <row r="1581">
      <c r="A1581" s="2" t="inlineStr">
        <is>
          <t>EXD100</t>
        </is>
      </c>
      <c r="B1581" s="3" t="n">
        <v>46066.44971064815</v>
      </c>
      <c r="C1581" s="3" t="n">
        <v>46066.75</v>
      </c>
      <c r="D1581" s="4">
        <f>(C1581-B1581)*24</f>
        <v/>
      </c>
      <c r="E1581" s="5">
        <f>IF(AND(HOUR(B1581)&gt;=6,HOUR(B1581)&lt;18),"Day Shift","Night Shift")</f>
        <v/>
      </c>
      <c r="F1581" s="6">
        <f>INT(B1581)</f>
        <v/>
      </c>
      <c r="G1581" s="6">
        <f>INT(C1581)</f>
        <v/>
      </c>
    </row>
    <row r="1582">
      <c r="A1582" s="7" t="inlineStr">
        <is>
          <t>EXD100</t>
        </is>
      </c>
      <c r="B1582" s="8" t="n">
        <v>46066.75</v>
      </c>
      <c r="C1582" s="8" t="n">
        <v>46067.25</v>
      </c>
      <c r="D1582" s="9">
        <f>(C1582-B1582)*24</f>
        <v/>
      </c>
      <c r="E1582" s="10">
        <f>IF(AND(HOUR(B1582)&gt;=6,HOUR(B1582)&lt;18),"Day Shift","Night Shift")</f>
        <v/>
      </c>
      <c r="F1582" s="11">
        <f>INT(B1582)</f>
        <v/>
      </c>
      <c r="G1582" s="11">
        <f>INT(C1582)</f>
        <v/>
      </c>
    </row>
    <row r="1583">
      <c r="A1583" s="2" t="inlineStr">
        <is>
          <t>EXD100</t>
        </is>
      </c>
      <c r="B1583" s="3" t="n">
        <v>46067.25</v>
      </c>
      <c r="C1583" s="3" t="n">
        <v>46067.45965277778</v>
      </c>
      <c r="D1583" s="4">
        <f>(C1583-B1583)*24</f>
        <v/>
      </c>
      <c r="E1583" s="5">
        <f>IF(AND(HOUR(B1583)&gt;=6,HOUR(B1583)&lt;18),"Day Shift","Night Shift")</f>
        <v/>
      </c>
      <c r="F1583" s="6">
        <f>INT(B1583)</f>
        <v/>
      </c>
      <c r="G1583" s="6">
        <f>INT(C1583)</f>
        <v/>
      </c>
    </row>
    <row r="1584">
      <c r="A1584" s="2" t="inlineStr">
        <is>
          <t>EDD1932;EDD2541</t>
        </is>
      </c>
      <c r="B1584" s="3" t="n">
        <v>46066.50737268518</v>
      </c>
      <c r="C1584" s="3" t="n">
        <v>46066.63226851852</v>
      </c>
      <c r="D1584" s="4">
        <f>(C1584-B1584)*24</f>
        <v/>
      </c>
      <c r="E1584" s="5">
        <f>IF(AND(HOUR(B1584)&gt;=6,HOUR(B1584)&lt;18),"Day Shift","Night Shift")</f>
        <v/>
      </c>
      <c r="F1584" s="6">
        <f>INT(B1584)</f>
        <v/>
      </c>
      <c r="G1584" s="6">
        <f>INT(C1584)</f>
        <v/>
      </c>
    </row>
    <row r="1585">
      <c r="A1585" s="2" t="inlineStr">
        <is>
          <t>DRE12</t>
        </is>
      </c>
      <c r="B1585" s="3" t="n">
        <v>46066.54505787037</v>
      </c>
      <c r="C1585" s="3" t="n">
        <v>46066.75</v>
      </c>
      <c r="D1585" s="4">
        <f>(C1585-B1585)*24</f>
        <v/>
      </c>
      <c r="E1585" s="5">
        <f>IF(AND(HOUR(B1585)&gt;=6,HOUR(B1585)&lt;18),"Day Shift","Night Shift")</f>
        <v/>
      </c>
      <c r="F1585" s="6">
        <f>INT(B1585)</f>
        <v/>
      </c>
      <c r="G1585" s="6">
        <f>INT(C1585)</f>
        <v/>
      </c>
    </row>
    <row r="1586">
      <c r="A1586" s="7" t="inlineStr">
        <is>
          <t>DRE12</t>
        </is>
      </c>
      <c r="B1586" s="8" t="n">
        <v>46066.75</v>
      </c>
      <c r="C1586" s="8" t="n">
        <v>46067.25</v>
      </c>
      <c r="D1586" s="9">
        <f>(C1586-B1586)*24</f>
        <v/>
      </c>
      <c r="E1586" s="10">
        <f>IF(AND(HOUR(B1586)&gt;=6,HOUR(B1586)&lt;18),"Day Shift","Night Shift")</f>
        <v/>
      </c>
      <c r="F1586" s="11">
        <f>INT(B1586)</f>
        <v/>
      </c>
      <c r="G1586" s="11">
        <f>INT(C1586)</f>
        <v/>
      </c>
    </row>
    <row r="1587">
      <c r="A1587" s="2" t="inlineStr">
        <is>
          <t>DRE12</t>
        </is>
      </c>
      <c r="B1587" s="3" t="n">
        <v>46067.25</v>
      </c>
      <c r="C1587" s="3" t="n">
        <v>46067.75</v>
      </c>
      <c r="D1587" s="4">
        <f>(C1587-B1587)*24</f>
        <v/>
      </c>
      <c r="E1587" s="5">
        <f>IF(AND(HOUR(B1587)&gt;=6,HOUR(B1587)&lt;18),"Day Shift","Night Shift")</f>
        <v/>
      </c>
      <c r="F1587" s="6">
        <f>INT(B1587)</f>
        <v/>
      </c>
      <c r="G1587" s="6">
        <f>INT(C1587)</f>
        <v/>
      </c>
    </row>
    <row r="1588">
      <c r="A1588" s="7" t="inlineStr">
        <is>
          <t>DRE12</t>
        </is>
      </c>
      <c r="B1588" s="8" t="n">
        <v>46067.75</v>
      </c>
      <c r="C1588" s="8" t="n">
        <v>46068.25</v>
      </c>
      <c r="D1588" s="9">
        <f>(C1588-B1588)*24</f>
        <v/>
      </c>
      <c r="E1588" s="10">
        <f>IF(AND(HOUR(B1588)&gt;=6,HOUR(B1588)&lt;18),"Day Shift","Night Shift")</f>
        <v/>
      </c>
      <c r="F1588" s="11">
        <f>INT(B1588)</f>
        <v/>
      </c>
      <c r="G1588" s="11">
        <f>INT(C1588)</f>
        <v/>
      </c>
    </row>
    <row r="1589">
      <c r="A1589" s="2" t="inlineStr">
        <is>
          <t>DRE12</t>
        </is>
      </c>
      <c r="B1589" s="3" t="n">
        <v>46068.25</v>
      </c>
      <c r="C1589" s="3" t="n">
        <v>46068.75</v>
      </c>
      <c r="D1589" s="4">
        <f>(C1589-B1589)*24</f>
        <v/>
      </c>
      <c r="E1589" s="5">
        <f>IF(AND(HOUR(B1589)&gt;=6,HOUR(B1589)&lt;18),"Day Shift","Night Shift")</f>
        <v/>
      </c>
      <c r="F1589" s="6">
        <f>INT(B1589)</f>
        <v/>
      </c>
      <c r="G1589" s="6">
        <f>INT(C1589)</f>
        <v/>
      </c>
    </row>
    <row r="1590">
      <c r="A1590" s="7" t="inlineStr">
        <is>
          <t>DRE12</t>
        </is>
      </c>
      <c r="B1590" s="8" t="n">
        <v>46068.75</v>
      </c>
      <c r="C1590" s="8" t="n">
        <v>46069.25</v>
      </c>
      <c r="D1590" s="9">
        <f>(C1590-B1590)*24</f>
        <v/>
      </c>
      <c r="E1590" s="10">
        <f>IF(AND(HOUR(B1590)&gt;=6,HOUR(B1590)&lt;18),"Day Shift","Night Shift")</f>
        <v/>
      </c>
      <c r="F1590" s="11">
        <f>INT(B1590)</f>
        <v/>
      </c>
      <c r="G1590" s="11">
        <f>INT(C1590)</f>
        <v/>
      </c>
    </row>
    <row r="1591">
      <c r="A1591" s="2" t="inlineStr">
        <is>
          <t>DRE12</t>
        </is>
      </c>
      <c r="B1591" s="3" t="n">
        <v>46069.25</v>
      </c>
      <c r="C1591" s="3" t="n">
        <v>46069.75</v>
      </c>
      <c r="D1591" s="4">
        <f>(C1591-B1591)*24</f>
        <v/>
      </c>
      <c r="E1591" s="5">
        <f>IF(AND(HOUR(B1591)&gt;=6,HOUR(B1591)&lt;18),"Day Shift","Night Shift")</f>
        <v/>
      </c>
      <c r="F1591" s="6">
        <f>INT(B1591)</f>
        <v/>
      </c>
      <c r="G1591" s="6">
        <f>INT(C1591)</f>
        <v/>
      </c>
    </row>
    <row r="1592">
      <c r="A1592" s="7" t="inlineStr">
        <is>
          <t>DRE12</t>
        </is>
      </c>
      <c r="B1592" s="8" t="n">
        <v>46069.75</v>
      </c>
      <c r="C1592" s="8" t="n">
        <v>46070.12318287037</v>
      </c>
      <c r="D1592" s="9">
        <f>(C1592-B1592)*24</f>
        <v/>
      </c>
      <c r="E1592" s="10">
        <f>IF(AND(HOUR(B1592)&gt;=6,HOUR(B1592)&lt;18),"Day Shift","Night Shift")</f>
        <v/>
      </c>
      <c r="F1592" s="11">
        <f>INT(B1592)</f>
        <v/>
      </c>
      <c r="G1592" s="11">
        <f>INT(C1592)</f>
        <v/>
      </c>
    </row>
    <row r="1593">
      <c r="A1593" s="2" t="inlineStr">
        <is>
          <t>EXD407</t>
        </is>
      </c>
      <c r="B1593" s="3" t="n">
        <v>46066.61101851852</v>
      </c>
      <c r="C1593" s="3" t="n">
        <v>46066.75</v>
      </c>
      <c r="D1593" s="4">
        <f>(C1593-B1593)*24</f>
        <v/>
      </c>
      <c r="E1593" s="5">
        <f>IF(AND(HOUR(B1593)&gt;=6,HOUR(B1593)&lt;18),"Day Shift","Night Shift")</f>
        <v/>
      </c>
      <c r="F1593" s="6">
        <f>INT(B1593)</f>
        <v/>
      </c>
      <c r="G1593" s="6">
        <f>INT(C1593)</f>
        <v/>
      </c>
    </row>
    <row r="1594">
      <c r="A1594" s="7" t="inlineStr">
        <is>
          <t>EXD407</t>
        </is>
      </c>
      <c r="B1594" s="8" t="n">
        <v>46066.75</v>
      </c>
      <c r="C1594" s="8" t="n">
        <v>46067.25</v>
      </c>
      <c r="D1594" s="9">
        <f>(C1594-B1594)*24</f>
        <v/>
      </c>
      <c r="E1594" s="10">
        <f>IF(AND(HOUR(B1594)&gt;=6,HOUR(B1594)&lt;18),"Day Shift","Night Shift")</f>
        <v/>
      </c>
      <c r="F1594" s="11">
        <f>INT(B1594)</f>
        <v/>
      </c>
      <c r="G1594" s="11">
        <f>INT(C1594)</f>
        <v/>
      </c>
    </row>
    <row r="1595">
      <c r="A1595" s="2" t="inlineStr">
        <is>
          <t>EXD407</t>
        </is>
      </c>
      <c r="B1595" s="3" t="n">
        <v>46067.25</v>
      </c>
      <c r="C1595" s="3" t="n">
        <v>46067.75</v>
      </c>
      <c r="D1595" s="4">
        <f>(C1595-B1595)*24</f>
        <v/>
      </c>
      <c r="E1595" s="5">
        <f>IF(AND(HOUR(B1595)&gt;=6,HOUR(B1595)&lt;18),"Day Shift","Night Shift")</f>
        <v/>
      </c>
      <c r="F1595" s="6">
        <f>INT(B1595)</f>
        <v/>
      </c>
      <c r="G1595" s="6">
        <f>INT(C1595)</f>
        <v/>
      </c>
    </row>
    <row r="1596">
      <c r="A1596" s="7" t="inlineStr">
        <is>
          <t>EXD407</t>
        </is>
      </c>
      <c r="B1596" s="8" t="n">
        <v>46067.75</v>
      </c>
      <c r="C1596" s="8" t="n">
        <v>46067.86486111111</v>
      </c>
      <c r="D1596" s="9">
        <f>(C1596-B1596)*24</f>
        <v/>
      </c>
      <c r="E1596" s="10">
        <f>IF(AND(HOUR(B1596)&gt;=6,HOUR(B1596)&lt;18),"Day Shift","Night Shift")</f>
        <v/>
      </c>
      <c r="F1596" s="11">
        <f>INT(B1596)</f>
        <v/>
      </c>
      <c r="G1596" s="11">
        <f>INT(C1596)</f>
        <v/>
      </c>
    </row>
    <row r="1597">
      <c r="A1597" s="2" t="inlineStr">
        <is>
          <t>EDD1932;EDD2541</t>
        </is>
      </c>
      <c r="B1597" s="3" t="n">
        <v>46066.63226851852</v>
      </c>
      <c r="C1597" s="3" t="n">
        <v>46066.75</v>
      </c>
      <c r="D1597" s="4">
        <f>(C1597-B1597)*24</f>
        <v/>
      </c>
      <c r="E1597" s="5">
        <f>IF(AND(HOUR(B1597)&gt;=6,HOUR(B1597)&lt;18),"Day Shift","Night Shift")</f>
        <v/>
      </c>
      <c r="F1597" s="6">
        <f>INT(B1597)</f>
        <v/>
      </c>
      <c r="G1597" s="6">
        <f>INT(C1597)</f>
        <v/>
      </c>
    </row>
    <row r="1598">
      <c r="A1598" s="7" t="inlineStr">
        <is>
          <t>EDD1932;EDD2541</t>
        </is>
      </c>
      <c r="B1598" s="8" t="n">
        <v>46066.75</v>
      </c>
      <c r="C1598" s="8" t="n">
        <v>46066.81299768519</v>
      </c>
      <c r="D1598" s="9">
        <f>(C1598-B1598)*24</f>
        <v/>
      </c>
      <c r="E1598" s="10">
        <f>IF(AND(HOUR(B1598)&gt;=6,HOUR(B1598)&lt;18),"Day Shift","Night Shift")</f>
        <v/>
      </c>
      <c r="F1598" s="11">
        <f>INT(B1598)</f>
        <v/>
      </c>
      <c r="G1598" s="11">
        <f>INT(C1598)</f>
        <v/>
      </c>
    </row>
    <row r="1599">
      <c r="A1599" s="2" t="inlineStr">
        <is>
          <t>Blast Crew</t>
        </is>
      </c>
      <c r="B1599" s="3" t="n">
        <v>46066.69385416667</v>
      </c>
      <c r="C1599" s="3" t="n">
        <v>46066.75</v>
      </c>
      <c r="D1599" s="4">
        <f>(C1599-B1599)*24</f>
        <v/>
      </c>
      <c r="E1599" s="5">
        <f>IF(AND(HOUR(B1599)&gt;=6,HOUR(B1599)&lt;18),"Day Shift","Night Shift")</f>
        <v/>
      </c>
      <c r="F1599" s="6">
        <f>INT(B1599)</f>
        <v/>
      </c>
      <c r="G1599" s="6">
        <f>INT(C1599)</f>
        <v/>
      </c>
    </row>
    <row r="1600">
      <c r="A1600" s="7" t="inlineStr">
        <is>
          <t>Blast Crew</t>
        </is>
      </c>
      <c r="B1600" s="8" t="n">
        <v>46066.75</v>
      </c>
      <c r="C1600" s="8" t="n">
        <v>46066.93741898148</v>
      </c>
      <c r="D1600" s="9">
        <f>(C1600-B1600)*24</f>
        <v/>
      </c>
      <c r="E1600" s="10">
        <f>IF(AND(HOUR(B1600)&gt;=6,HOUR(B1600)&lt;18),"Day Shift","Night Shift")</f>
        <v/>
      </c>
      <c r="F1600" s="11">
        <f>INT(B1600)</f>
        <v/>
      </c>
      <c r="G1600" s="11">
        <f>INT(C1600)</f>
        <v/>
      </c>
    </row>
    <row r="1601">
      <c r="A1601" s="2" t="inlineStr">
        <is>
          <t>EXD98</t>
        </is>
      </c>
      <c r="B1601" s="3" t="n">
        <v>46066.7382175926</v>
      </c>
      <c r="C1601" s="3" t="n">
        <v>46066.75</v>
      </c>
      <c r="D1601" s="4">
        <f>(C1601-B1601)*24</f>
        <v/>
      </c>
      <c r="E1601" s="5">
        <f>IF(AND(HOUR(B1601)&gt;=6,HOUR(B1601)&lt;18),"Day Shift","Night Shift")</f>
        <v/>
      </c>
      <c r="F1601" s="6">
        <f>INT(B1601)</f>
        <v/>
      </c>
      <c r="G1601" s="6">
        <f>INT(C1601)</f>
        <v/>
      </c>
    </row>
    <row r="1602">
      <c r="A1602" s="7" t="inlineStr">
        <is>
          <t>EXD98</t>
        </is>
      </c>
      <c r="B1602" s="8" t="n">
        <v>46066.75</v>
      </c>
      <c r="C1602" s="8" t="n">
        <v>46067.25</v>
      </c>
      <c r="D1602" s="9">
        <f>(C1602-B1602)*24</f>
        <v/>
      </c>
      <c r="E1602" s="10">
        <f>IF(AND(HOUR(B1602)&gt;=6,HOUR(B1602)&lt;18),"Day Shift","Night Shift")</f>
        <v/>
      </c>
      <c r="F1602" s="11">
        <f>INT(B1602)</f>
        <v/>
      </c>
      <c r="G1602" s="11">
        <f>INT(C1602)</f>
        <v/>
      </c>
    </row>
    <row r="1603">
      <c r="A1603" s="2" t="inlineStr">
        <is>
          <t>EXD98</t>
        </is>
      </c>
      <c r="B1603" s="3" t="n">
        <v>46067.25</v>
      </c>
      <c r="C1603" s="3" t="n">
        <v>46067.50359953703</v>
      </c>
      <c r="D1603" s="4">
        <f>(C1603-B1603)*24</f>
        <v/>
      </c>
      <c r="E1603" s="5">
        <f>IF(AND(HOUR(B1603)&gt;=6,HOUR(B1603)&lt;18),"Day Shift","Night Shift")</f>
        <v/>
      </c>
      <c r="F1603" s="6">
        <f>INT(B1603)</f>
        <v/>
      </c>
      <c r="G1603" s="6">
        <f>INT(C1603)</f>
        <v/>
      </c>
    </row>
    <row r="1604">
      <c r="A1604" s="7" t="inlineStr">
        <is>
          <t>EXD55</t>
        </is>
      </c>
      <c r="B1604" s="8" t="n">
        <v>46066.75480324074</v>
      </c>
      <c r="C1604" s="8" t="n">
        <v>46067.25</v>
      </c>
      <c r="D1604" s="9">
        <f>(C1604-B1604)*24</f>
        <v/>
      </c>
      <c r="E1604" s="10">
        <f>IF(AND(HOUR(B1604)&gt;=6,HOUR(B1604)&lt;18),"Day Shift","Night Shift")</f>
        <v/>
      </c>
      <c r="F1604" s="11">
        <f>INT(B1604)</f>
        <v/>
      </c>
      <c r="G1604" s="11">
        <f>INT(C1604)</f>
        <v/>
      </c>
    </row>
    <row r="1605">
      <c r="A1605" s="2" t="inlineStr">
        <is>
          <t>EXD55</t>
        </is>
      </c>
      <c r="B1605" s="3" t="n">
        <v>46067.25</v>
      </c>
      <c r="C1605" s="3" t="n">
        <v>46067.75</v>
      </c>
      <c r="D1605" s="4">
        <f>(C1605-B1605)*24</f>
        <v/>
      </c>
      <c r="E1605" s="5">
        <f>IF(AND(HOUR(B1605)&gt;=6,HOUR(B1605)&lt;18),"Day Shift","Night Shift")</f>
        <v/>
      </c>
      <c r="F1605" s="6">
        <f>INT(B1605)</f>
        <v/>
      </c>
      <c r="G1605" s="6">
        <f>INT(C1605)</f>
        <v/>
      </c>
    </row>
    <row r="1606">
      <c r="A1606" s="7" t="inlineStr">
        <is>
          <t>EXD55</t>
        </is>
      </c>
      <c r="B1606" s="8" t="n">
        <v>46067.75</v>
      </c>
      <c r="C1606" s="8" t="n">
        <v>46068.25</v>
      </c>
      <c r="D1606" s="9">
        <f>(C1606-B1606)*24</f>
        <v/>
      </c>
      <c r="E1606" s="10">
        <f>IF(AND(HOUR(B1606)&gt;=6,HOUR(B1606)&lt;18),"Day Shift","Night Shift")</f>
        <v/>
      </c>
      <c r="F1606" s="11">
        <f>INT(B1606)</f>
        <v/>
      </c>
      <c r="G1606" s="11">
        <f>INT(C1606)</f>
        <v/>
      </c>
    </row>
    <row r="1607">
      <c r="A1607" s="2" t="inlineStr">
        <is>
          <t>EXD55</t>
        </is>
      </c>
      <c r="B1607" s="3" t="n">
        <v>46068.25</v>
      </c>
      <c r="C1607" s="3" t="n">
        <v>46068.69064814815</v>
      </c>
      <c r="D1607" s="4">
        <f>(C1607-B1607)*24</f>
        <v/>
      </c>
      <c r="E1607" s="5">
        <f>IF(AND(HOUR(B1607)&gt;=6,HOUR(B1607)&lt;18),"Day Shift","Night Shift")</f>
        <v/>
      </c>
      <c r="F1607" s="6">
        <f>INT(B1607)</f>
        <v/>
      </c>
      <c r="G1607" s="6">
        <f>INT(C1607)</f>
        <v/>
      </c>
    </row>
    <row r="1608">
      <c r="A1608" s="7" t="inlineStr">
        <is>
          <t>EXD73</t>
        </is>
      </c>
      <c r="B1608" s="8" t="n">
        <v>46066.7599537037</v>
      </c>
      <c r="C1608" s="8" t="n">
        <v>46067.25</v>
      </c>
      <c r="D1608" s="9">
        <f>(C1608-B1608)*24</f>
        <v/>
      </c>
      <c r="E1608" s="10">
        <f>IF(AND(HOUR(B1608)&gt;=6,HOUR(B1608)&lt;18),"Day Shift","Night Shift")</f>
        <v/>
      </c>
      <c r="F1608" s="11">
        <f>INT(B1608)</f>
        <v/>
      </c>
      <c r="G1608" s="11">
        <f>INT(C1608)</f>
        <v/>
      </c>
    </row>
    <row r="1609">
      <c r="A1609" s="2" t="inlineStr">
        <is>
          <t>EXD73</t>
        </is>
      </c>
      <c r="B1609" s="3" t="n">
        <v>46067.25</v>
      </c>
      <c r="C1609" s="3" t="n">
        <v>46067.56010416667</v>
      </c>
      <c r="D1609" s="4">
        <f>(C1609-B1609)*24</f>
        <v/>
      </c>
      <c r="E1609" s="5">
        <f>IF(AND(HOUR(B1609)&gt;=6,HOUR(B1609)&lt;18),"Day Shift","Night Shift")</f>
        <v/>
      </c>
      <c r="F1609" s="6">
        <f>INT(B1609)</f>
        <v/>
      </c>
      <c r="G1609" s="6">
        <f>INT(C1609)</f>
        <v/>
      </c>
    </row>
    <row r="1610">
      <c r="A1610" s="7" t="inlineStr">
        <is>
          <t>SHE36</t>
        </is>
      </c>
      <c r="B1610" s="8" t="n">
        <v>46066.76827546296</v>
      </c>
      <c r="C1610" s="8" t="n">
        <v>46067.25</v>
      </c>
      <c r="D1610" s="9">
        <f>(C1610-B1610)*24</f>
        <v/>
      </c>
      <c r="E1610" s="10">
        <f>IF(AND(HOUR(B1610)&gt;=6,HOUR(B1610)&lt;18),"Day Shift","Night Shift")</f>
        <v/>
      </c>
      <c r="F1610" s="11">
        <f>INT(B1610)</f>
        <v/>
      </c>
      <c r="G1610" s="11">
        <f>INT(C1610)</f>
        <v/>
      </c>
    </row>
    <row r="1611">
      <c r="A1611" s="2" t="inlineStr">
        <is>
          <t>SHE36</t>
        </is>
      </c>
      <c r="B1611" s="3" t="n">
        <v>46067.25</v>
      </c>
      <c r="C1611" s="3" t="n">
        <v>46067.75</v>
      </c>
      <c r="D1611" s="4">
        <f>(C1611-B1611)*24</f>
        <v/>
      </c>
      <c r="E1611" s="5">
        <f>IF(AND(HOUR(B1611)&gt;=6,HOUR(B1611)&lt;18),"Day Shift","Night Shift")</f>
        <v/>
      </c>
      <c r="F1611" s="6">
        <f>INT(B1611)</f>
        <v/>
      </c>
      <c r="G1611" s="6">
        <f>INT(C1611)</f>
        <v/>
      </c>
    </row>
    <row r="1612">
      <c r="A1612" s="7" t="inlineStr">
        <is>
          <t>SHE36</t>
        </is>
      </c>
      <c r="B1612" s="8" t="n">
        <v>46067.75</v>
      </c>
      <c r="C1612" s="8" t="n">
        <v>46067.80162037037</v>
      </c>
      <c r="D1612" s="9">
        <f>(C1612-B1612)*24</f>
        <v/>
      </c>
      <c r="E1612" s="10">
        <f>IF(AND(HOUR(B1612)&gt;=6,HOUR(B1612)&lt;18),"Day Shift","Night Shift")</f>
        <v/>
      </c>
      <c r="F1612" s="11">
        <f>INT(B1612)</f>
        <v/>
      </c>
      <c r="G1612" s="11">
        <f>INT(C1612)</f>
        <v/>
      </c>
    </row>
    <row r="1613">
      <c r="A1613" s="7" t="inlineStr">
        <is>
          <t>EDD1932;EDD2541</t>
        </is>
      </c>
      <c r="B1613" s="8" t="n">
        <v>46066.81299768519</v>
      </c>
      <c r="C1613" s="8" t="n">
        <v>46066.99825231481</v>
      </c>
      <c r="D1613" s="9">
        <f>(C1613-B1613)*24</f>
        <v/>
      </c>
      <c r="E1613" s="10">
        <f>IF(AND(HOUR(B1613)&gt;=6,HOUR(B1613)&lt;18),"Day Shift","Night Shift")</f>
        <v/>
      </c>
      <c r="F1613" s="11">
        <f>INT(B1613)</f>
        <v/>
      </c>
      <c r="G1613" s="11">
        <f>INT(C1613)</f>
        <v/>
      </c>
    </row>
    <row r="1614">
      <c r="A1614" s="7" t="inlineStr">
        <is>
          <t>DRE42</t>
        </is>
      </c>
      <c r="B1614" s="8" t="n">
        <v>46066.92825231481</v>
      </c>
      <c r="C1614" s="8" t="n">
        <v>46067.25</v>
      </c>
      <c r="D1614" s="9">
        <f>(C1614-B1614)*24</f>
        <v/>
      </c>
      <c r="E1614" s="10">
        <f>IF(AND(HOUR(B1614)&gt;=6,HOUR(B1614)&lt;18),"Day Shift","Night Shift")</f>
        <v/>
      </c>
      <c r="F1614" s="11">
        <f>INT(B1614)</f>
        <v/>
      </c>
      <c r="G1614" s="11">
        <f>INT(C1614)</f>
        <v/>
      </c>
    </row>
    <row r="1615">
      <c r="A1615" s="2" t="inlineStr">
        <is>
          <t>DRE42</t>
        </is>
      </c>
      <c r="B1615" s="3" t="n">
        <v>46067.25</v>
      </c>
      <c r="C1615" s="3" t="n">
        <v>46067.61578703704</v>
      </c>
      <c r="D1615" s="4">
        <f>(C1615-B1615)*24</f>
        <v/>
      </c>
      <c r="E1615" s="5">
        <f>IF(AND(HOUR(B1615)&gt;=6,HOUR(B1615)&lt;18),"Day Shift","Night Shift")</f>
        <v/>
      </c>
      <c r="F1615" s="6">
        <f>INT(B1615)</f>
        <v/>
      </c>
      <c r="G1615" s="6">
        <f>INT(C1615)</f>
        <v/>
      </c>
    </row>
    <row r="1616">
      <c r="A1616" s="7" t="inlineStr">
        <is>
          <t>EXD61</t>
        </is>
      </c>
      <c r="B1616" s="8" t="n">
        <v>46066.95836805556</v>
      </c>
      <c r="C1616" s="8" t="n">
        <v>46067.25</v>
      </c>
      <c r="D1616" s="9">
        <f>(C1616-B1616)*24</f>
        <v/>
      </c>
      <c r="E1616" s="10">
        <f>IF(AND(HOUR(B1616)&gt;=6,HOUR(B1616)&lt;18),"Day Shift","Night Shift")</f>
        <v/>
      </c>
      <c r="F1616" s="11">
        <f>INT(B1616)</f>
        <v/>
      </c>
      <c r="G1616" s="11">
        <f>INT(C1616)</f>
        <v/>
      </c>
    </row>
    <row r="1617">
      <c r="A1617" s="2" t="inlineStr">
        <is>
          <t>EXD61</t>
        </is>
      </c>
      <c r="B1617" s="3" t="n">
        <v>46067.25</v>
      </c>
      <c r="C1617" s="3" t="n">
        <v>46067.75</v>
      </c>
      <c r="D1617" s="4">
        <f>(C1617-B1617)*24</f>
        <v/>
      </c>
      <c r="E1617" s="5">
        <f>IF(AND(HOUR(B1617)&gt;=6,HOUR(B1617)&lt;18),"Day Shift","Night Shift")</f>
        <v/>
      </c>
      <c r="F1617" s="6">
        <f>INT(B1617)</f>
        <v/>
      </c>
      <c r="G1617" s="6">
        <f>INT(C1617)</f>
        <v/>
      </c>
    </row>
    <row r="1618">
      <c r="A1618" s="7" t="inlineStr">
        <is>
          <t>EXD61</t>
        </is>
      </c>
      <c r="B1618" s="8" t="n">
        <v>46067.75</v>
      </c>
      <c r="C1618" s="8" t="n">
        <v>46068.25</v>
      </c>
      <c r="D1618" s="9">
        <f>(C1618-B1618)*24</f>
        <v/>
      </c>
      <c r="E1618" s="10">
        <f>IF(AND(HOUR(B1618)&gt;=6,HOUR(B1618)&lt;18),"Day Shift","Night Shift")</f>
        <v/>
      </c>
      <c r="F1618" s="11">
        <f>INT(B1618)</f>
        <v/>
      </c>
      <c r="G1618" s="11">
        <f>INT(C1618)</f>
        <v/>
      </c>
    </row>
    <row r="1619">
      <c r="A1619" s="2" t="inlineStr">
        <is>
          <t>EXD61</t>
        </is>
      </c>
      <c r="B1619" s="3" t="n">
        <v>46068.25</v>
      </c>
      <c r="C1619" s="3" t="n">
        <v>46068.75</v>
      </c>
      <c r="D1619" s="4">
        <f>(C1619-B1619)*24</f>
        <v/>
      </c>
      <c r="E1619" s="5">
        <f>IF(AND(HOUR(B1619)&gt;=6,HOUR(B1619)&lt;18),"Day Shift","Night Shift")</f>
        <v/>
      </c>
      <c r="F1619" s="6">
        <f>INT(B1619)</f>
        <v/>
      </c>
      <c r="G1619" s="6">
        <f>INT(C1619)</f>
        <v/>
      </c>
    </row>
    <row r="1620">
      <c r="A1620" s="7" t="inlineStr">
        <is>
          <t>EXD61</t>
        </is>
      </c>
      <c r="B1620" s="8" t="n">
        <v>46068.75</v>
      </c>
      <c r="C1620" s="8" t="n">
        <v>46069.20462962963</v>
      </c>
      <c r="D1620" s="9">
        <f>(C1620-B1620)*24</f>
        <v/>
      </c>
      <c r="E1620" s="10">
        <f>IF(AND(HOUR(B1620)&gt;=6,HOUR(B1620)&lt;18),"Day Shift","Night Shift")</f>
        <v/>
      </c>
      <c r="F1620" s="11">
        <f>INT(B1620)</f>
        <v/>
      </c>
      <c r="G1620" s="11">
        <f>INT(C1620)</f>
        <v/>
      </c>
    </row>
    <row r="1621">
      <c r="A1621" s="7" t="inlineStr">
        <is>
          <t>EDD1932;EDD2541</t>
        </is>
      </c>
      <c r="B1621" s="8" t="n">
        <v>46066.99825231481</v>
      </c>
      <c r="C1621" s="8" t="n">
        <v>46067.20517361111</v>
      </c>
      <c r="D1621" s="9">
        <f>(C1621-B1621)*24</f>
        <v/>
      </c>
      <c r="E1621" s="10">
        <f>IF(AND(HOUR(B1621)&gt;=6,HOUR(B1621)&lt;18),"Day Shift","Night Shift")</f>
        <v/>
      </c>
      <c r="F1621" s="11">
        <f>INT(B1621)</f>
        <v/>
      </c>
      <c r="G1621" s="11">
        <f>INT(C1621)</f>
        <v/>
      </c>
    </row>
    <row r="1622">
      <c r="A1622" s="7" t="inlineStr">
        <is>
          <t>EDD1932;EDD2541</t>
        </is>
      </c>
      <c r="B1622" s="8" t="n">
        <v>46067.20517361111</v>
      </c>
      <c r="C1622" s="8" t="n">
        <v>46067.25</v>
      </c>
      <c r="D1622" s="9">
        <f>(C1622-B1622)*24</f>
        <v/>
      </c>
      <c r="E1622" s="10">
        <f>IF(AND(HOUR(B1622)&gt;=6,HOUR(B1622)&lt;18),"Day Shift","Night Shift")</f>
        <v/>
      </c>
      <c r="F1622" s="11">
        <f>INT(B1622)</f>
        <v/>
      </c>
      <c r="G1622" s="11">
        <f>INT(C1622)</f>
        <v/>
      </c>
    </row>
    <row r="1623">
      <c r="A1623" s="2" t="inlineStr">
        <is>
          <t>EDD1932;EDD2541</t>
        </is>
      </c>
      <c r="B1623" s="3" t="n">
        <v>46067.25</v>
      </c>
      <c r="C1623" s="3" t="n">
        <v>46067.43116898148</v>
      </c>
      <c r="D1623" s="4">
        <f>(C1623-B1623)*24</f>
        <v/>
      </c>
      <c r="E1623" s="5">
        <f>IF(AND(HOUR(B1623)&gt;=6,HOUR(B1623)&lt;18),"Day Shift","Night Shift")</f>
        <v/>
      </c>
      <c r="F1623" s="6">
        <f>INT(B1623)</f>
        <v/>
      </c>
      <c r="G1623" s="6">
        <f>INT(C1623)</f>
        <v/>
      </c>
    </row>
    <row r="1624">
      <c r="A1624" s="2" t="inlineStr">
        <is>
          <t>Blast Crew</t>
        </is>
      </c>
      <c r="B1624" s="3" t="n">
        <v>46067.36474537037</v>
      </c>
      <c r="C1624" s="3" t="n">
        <v>46067.57756944445</v>
      </c>
      <c r="D1624" s="4">
        <f>(C1624-B1624)*24</f>
        <v/>
      </c>
      <c r="E1624" s="5">
        <f>IF(AND(HOUR(B1624)&gt;=6,HOUR(B1624)&lt;18),"Day Shift","Night Shift")</f>
        <v/>
      </c>
      <c r="F1624" s="6">
        <f>INT(B1624)</f>
        <v/>
      </c>
      <c r="G1624" s="6">
        <f>INT(C1624)</f>
        <v/>
      </c>
    </row>
    <row r="1625">
      <c r="A1625" s="2" t="inlineStr">
        <is>
          <t>EDD1932;EDD2541</t>
        </is>
      </c>
      <c r="B1625" s="3" t="n">
        <v>46067.43116898148</v>
      </c>
      <c r="C1625" s="3" t="n">
        <v>46067.61481481481</v>
      </c>
      <c r="D1625" s="4">
        <f>(C1625-B1625)*24</f>
        <v/>
      </c>
      <c r="E1625" s="5">
        <f>IF(AND(HOUR(B1625)&gt;=6,HOUR(B1625)&lt;18),"Day Shift","Night Shift")</f>
        <v/>
      </c>
      <c r="F1625" s="6">
        <f>INT(B1625)</f>
        <v/>
      </c>
      <c r="G1625" s="6">
        <f>INT(C1625)</f>
        <v/>
      </c>
    </row>
    <row r="1626">
      <c r="A1626" s="2" t="inlineStr">
        <is>
          <t>EXD408;EXD98</t>
        </is>
      </c>
      <c r="B1626" s="3" t="n">
        <v>46067.43833333333</v>
      </c>
      <c r="C1626" s="3" t="n">
        <v>46067.75</v>
      </c>
      <c r="D1626" s="4">
        <f>(C1626-B1626)*24</f>
        <v/>
      </c>
      <c r="E1626" s="5">
        <f>IF(AND(HOUR(B1626)&gt;=6,HOUR(B1626)&lt;18),"Day Shift","Night Shift")</f>
        <v/>
      </c>
      <c r="F1626" s="6">
        <f>INT(B1626)</f>
        <v/>
      </c>
      <c r="G1626" s="6">
        <f>INT(C1626)</f>
        <v/>
      </c>
    </row>
    <row r="1627">
      <c r="A1627" s="7" t="inlineStr">
        <is>
          <t>EXD408;EXD98</t>
        </is>
      </c>
      <c r="B1627" s="8" t="n">
        <v>46067.75</v>
      </c>
      <c r="C1627" s="8" t="n">
        <v>46068.25</v>
      </c>
      <c r="D1627" s="9">
        <f>(C1627-B1627)*24</f>
        <v/>
      </c>
      <c r="E1627" s="10">
        <f>IF(AND(HOUR(B1627)&gt;=6,HOUR(B1627)&lt;18),"Day Shift","Night Shift")</f>
        <v/>
      </c>
      <c r="F1627" s="11">
        <f>INT(B1627)</f>
        <v/>
      </c>
      <c r="G1627" s="11">
        <f>INT(C1627)</f>
        <v/>
      </c>
    </row>
    <row r="1628">
      <c r="A1628" s="2" t="inlineStr">
        <is>
          <t>EXD408;EXD98</t>
        </is>
      </c>
      <c r="B1628" s="3" t="n">
        <v>46068.25</v>
      </c>
      <c r="C1628" s="3" t="n">
        <v>46068.50938657407</v>
      </c>
      <c r="D1628" s="4">
        <f>(C1628-B1628)*24</f>
        <v/>
      </c>
      <c r="E1628" s="5">
        <f>IF(AND(HOUR(B1628)&gt;=6,HOUR(B1628)&lt;18),"Day Shift","Night Shift")</f>
        <v/>
      </c>
      <c r="F1628" s="6">
        <f>INT(B1628)</f>
        <v/>
      </c>
      <c r="G1628" s="6">
        <f>INT(C1628)</f>
        <v/>
      </c>
    </row>
    <row r="1629">
      <c r="A1629" s="2" t="inlineStr">
        <is>
          <t>LDW265</t>
        </is>
      </c>
      <c r="B1629" s="3" t="n">
        <v>46067.49390046296</v>
      </c>
      <c r="C1629" s="3" t="n">
        <v>46067.75</v>
      </c>
      <c r="D1629" s="4">
        <f>(C1629-B1629)*24</f>
        <v/>
      </c>
      <c r="E1629" s="5">
        <f>IF(AND(HOUR(B1629)&gt;=6,HOUR(B1629)&lt;18),"Day Shift","Night Shift")</f>
        <v/>
      </c>
      <c r="F1629" s="6">
        <f>INT(B1629)</f>
        <v/>
      </c>
      <c r="G1629" s="6">
        <f>INT(C1629)</f>
        <v/>
      </c>
    </row>
    <row r="1630">
      <c r="A1630" s="7" t="inlineStr">
        <is>
          <t>LDW265</t>
        </is>
      </c>
      <c r="B1630" s="8" t="n">
        <v>46067.75</v>
      </c>
      <c r="C1630" s="8" t="n">
        <v>46068.25</v>
      </c>
      <c r="D1630" s="9">
        <f>(C1630-B1630)*24</f>
        <v/>
      </c>
      <c r="E1630" s="10">
        <f>IF(AND(HOUR(B1630)&gt;=6,HOUR(B1630)&lt;18),"Day Shift","Night Shift")</f>
        <v/>
      </c>
      <c r="F1630" s="11">
        <f>INT(B1630)</f>
        <v/>
      </c>
      <c r="G1630" s="11">
        <f>INT(C1630)</f>
        <v/>
      </c>
    </row>
    <row r="1631">
      <c r="A1631" s="2" t="inlineStr">
        <is>
          <t>LDW265</t>
        </is>
      </c>
      <c r="B1631" s="3" t="n">
        <v>46068.25</v>
      </c>
      <c r="C1631" s="3" t="n">
        <v>46068.75</v>
      </c>
      <c r="D1631" s="4">
        <f>(C1631-B1631)*24</f>
        <v/>
      </c>
      <c r="E1631" s="5">
        <f>IF(AND(HOUR(B1631)&gt;=6,HOUR(B1631)&lt;18),"Day Shift","Night Shift")</f>
        <v/>
      </c>
      <c r="F1631" s="6">
        <f>INT(B1631)</f>
        <v/>
      </c>
      <c r="G1631" s="6">
        <f>INT(C1631)</f>
        <v/>
      </c>
    </row>
    <row r="1632">
      <c r="A1632" s="7" t="inlineStr">
        <is>
          <t>LDW265</t>
        </is>
      </c>
      <c r="B1632" s="8" t="n">
        <v>46068.75</v>
      </c>
      <c r="C1632" s="8" t="n">
        <v>46069.25</v>
      </c>
      <c r="D1632" s="9">
        <f>(C1632-B1632)*24</f>
        <v/>
      </c>
      <c r="E1632" s="10">
        <f>IF(AND(HOUR(B1632)&gt;=6,HOUR(B1632)&lt;18),"Day Shift","Night Shift")</f>
        <v/>
      </c>
      <c r="F1632" s="11">
        <f>INT(B1632)</f>
        <v/>
      </c>
      <c r="G1632" s="11">
        <f>INT(C1632)</f>
        <v/>
      </c>
    </row>
    <row r="1633">
      <c r="A1633" s="2" t="inlineStr">
        <is>
          <t>LDW265</t>
        </is>
      </c>
      <c r="B1633" s="3" t="n">
        <v>46069.25</v>
      </c>
      <c r="C1633" s="3" t="n">
        <v>46069.70840277777</v>
      </c>
      <c r="D1633" s="4">
        <f>(C1633-B1633)*24</f>
        <v/>
      </c>
      <c r="E1633" s="5">
        <f>IF(AND(HOUR(B1633)&gt;=6,HOUR(B1633)&lt;18),"Day Shift","Night Shift")</f>
        <v/>
      </c>
      <c r="F1633" s="6">
        <f>INT(B1633)</f>
        <v/>
      </c>
      <c r="G1633" s="6">
        <f>INT(C1633)</f>
        <v/>
      </c>
    </row>
    <row r="1634">
      <c r="A1634" s="2" t="inlineStr">
        <is>
          <t>EXD100</t>
        </is>
      </c>
      <c r="B1634" s="3" t="n">
        <v>46067.5034375</v>
      </c>
      <c r="C1634" s="3" t="n">
        <v>46067.73399305555</v>
      </c>
      <c r="D1634" s="4">
        <f>(C1634-B1634)*24</f>
        <v/>
      </c>
      <c r="E1634" s="5">
        <f>IF(AND(HOUR(B1634)&gt;=6,HOUR(B1634)&lt;18),"Day Shift","Night Shift")</f>
        <v/>
      </c>
      <c r="F1634" s="6">
        <f>INT(B1634)</f>
        <v/>
      </c>
      <c r="G1634" s="6">
        <f>INT(C1634)</f>
        <v/>
      </c>
    </row>
    <row r="1635">
      <c r="A1635" s="2" t="inlineStr">
        <is>
          <t>EXD73</t>
        </is>
      </c>
      <c r="B1635" s="3" t="n">
        <v>46067.56010416667</v>
      </c>
      <c r="C1635" s="3" t="n">
        <v>46067.75</v>
      </c>
      <c r="D1635" s="4">
        <f>(C1635-B1635)*24</f>
        <v/>
      </c>
      <c r="E1635" s="5">
        <f>IF(AND(HOUR(B1635)&gt;=6,HOUR(B1635)&lt;18),"Day Shift","Night Shift")</f>
        <v/>
      </c>
      <c r="F1635" s="6">
        <f>INT(B1635)</f>
        <v/>
      </c>
      <c r="G1635" s="6">
        <f>INT(C1635)</f>
        <v/>
      </c>
    </row>
    <row r="1636">
      <c r="A1636" s="7" t="inlineStr">
        <is>
          <t>EXD73</t>
        </is>
      </c>
      <c r="B1636" s="8" t="n">
        <v>46067.75</v>
      </c>
      <c r="C1636" s="8" t="n">
        <v>46068.25</v>
      </c>
      <c r="D1636" s="9">
        <f>(C1636-B1636)*24</f>
        <v/>
      </c>
      <c r="E1636" s="10">
        <f>IF(AND(HOUR(B1636)&gt;=6,HOUR(B1636)&lt;18),"Day Shift","Night Shift")</f>
        <v/>
      </c>
      <c r="F1636" s="11">
        <f>INT(B1636)</f>
        <v/>
      </c>
      <c r="G1636" s="11">
        <f>INT(C1636)</f>
        <v/>
      </c>
    </row>
    <row r="1637">
      <c r="A1637" s="2" t="inlineStr">
        <is>
          <t>EXD73</t>
        </is>
      </c>
      <c r="B1637" s="3" t="n">
        <v>46068.25</v>
      </c>
      <c r="C1637" s="3" t="n">
        <v>46068.36605324074</v>
      </c>
      <c r="D1637" s="4">
        <f>(C1637-B1637)*24</f>
        <v/>
      </c>
      <c r="E1637" s="5">
        <f>IF(AND(HOUR(B1637)&gt;=6,HOUR(B1637)&lt;18),"Day Shift","Night Shift")</f>
        <v/>
      </c>
      <c r="F1637" s="6">
        <f>INT(B1637)</f>
        <v/>
      </c>
      <c r="G1637" s="6">
        <f>INT(C1637)</f>
        <v/>
      </c>
    </row>
    <row r="1638">
      <c r="A1638" s="2" t="inlineStr">
        <is>
          <t>Blast Crew</t>
        </is>
      </c>
      <c r="B1638" s="3" t="n">
        <v>46067.57756944445</v>
      </c>
      <c r="C1638" s="3" t="n">
        <v>46067.75</v>
      </c>
      <c r="D1638" s="4">
        <f>(C1638-B1638)*24</f>
        <v/>
      </c>
      <c r="E1638" s="5">
        <f>IF(AND(HOUR(B1638)&gt;=6,HOUR(B1638)&lt;18),"Day Shift","Night Shift")</f>
        <v/>
      </c>
      <c r="F1638" s="6">
        <f>INT(B1638)</f>
        <v/>
      </c>
      <c r="G1638" s="6">
        <f>INT(C1638)</f>
        <v/>
      </c>
    </row>
    <row r="1639">
      <c r="A1639" s="7" t="inlineStr">
        <is>
          <t>Blast Crew</t>
        </is>
      </c>
      <c r="B1639" s="8" t="n">
        <v>46067.75</v>
      </c>
      <c r="C1639" s="8" t="n">
        <v>46067.75313657407</v>
      </c>
      <c r="D1639" s="9">
        <f>(C1639-B1639)*24</f>
        <v/>
      </c>
      <c r="E1639" s="10">
        <f>IF(AND(HOUR(B1639)&gt;=6,HOUR(B1639)&lt;18),"Day Shift","Night Shift")</f>
        <v/>
      </c>
      <c r="F1639" s="11">
        <f>INT(B1639)</f>
        <v/>
      </c>
      <c r="G1639" s="11">
        <f>INT(C1639)</f>
        <v/>
      </c>
    </row>
    <row r="1640">
      <c r="A1640" s="2" t="inlineStr">
        <is>
          <t>EDD1932;EDD2541</t>
        </is>
      </c>
      <c r="B1640" s="3" t="n">
        <v>46067.61481481481</v>
      </c>
      <c r="C1640" s="3" t="n">
        <v>46067.75</v>
      </c>
      <c r="D1640" s="4">
        <f>(C1640-B1640)*24</f>
        <v/>
      </c>
      <c r="E1640" s="5">
        <f>IF(AND(HOUR(B1640)&gt;=6,HOUR(B1640)&lt;18),"Day Shift","Night Shift")</f>
        <v/>
      </c>
      <c r="F1640" s="6">
        <f>INT(B1640)</f>
        <v/>
      </c>
      <c r="G1640" s="6">
        <f>INT(C1640)</f>
        <v/>
      </c>
    </row>
    <row r="1641">
      <c r="A1641" s="7" t="inlineStr">
        <is>
          <t>EDD1932;EDD2541</t>
        </is>
      </c>
      <c r="B1641" s="8" t="n">
        <v>46067.75</v>
      </c>
      <c r="C1641" s="8" t="n">
        <v>46067.80171296297</v>
      </c>
      <c r="D1641" s="9">
        <f>(C1641-B1641)*24</f>
        <v/>
      </c>
      <c r="E1641" s="10">
        <f>IF(AND(HOUR(B1641)&gt;=6,HOUR(B1641)&lt;18),"Day Shift","Night Shift")</f>
        <v/>
      </c>
      <c r="F1641" s="11">
        <f>INT(B1641)</f>
        <v/>
      </c>
      <c r="G1641" s="11">
        <f>INT(C1641)</f>
        <v/>
      </c>
    </row>
    <row r="1642">
      <c r="A1642" s="2" t="inlineStr">
        <is>
          <t>EDD175;EDD2134;EDD812</t>
        </is>
      </c>
      <c r="B1642" s="3" t="n">
        <v>46067.70429398148</v>
      </c>
      <c r="C1642" s="3" t="n">
        <v>46067.75</v>
      </c>
      <c r="D1642" s="4">
        <f>(C1642-B1642)*24</f>
        <v/>
      </c>
      <c r="E1642" s="5">
        <f>IF(AND(HOUR(B1642)&gt;=6,HOUR(B1642)&lt;18),"Day Shift","Night Shift")</f>
        <v/>
      </c>
      <c r="F1642" s="6">
        <f>INT(B1642)</f>
        <v/>
      </c>
      <c r="G1642" s="6">
        <f>INT(C1642)</f>
        <v/>
      </c>
    </row>
    <row r="1643">
      <c r="A1643" s="7" t="inlineStr">
        <is>
          <t>EDD175;EDD2134;EDD812</t>
        </is>
      </c>
      <c r="B1643" s="8" t="n">
        <v>46067.75</v>
      </c>
      <c r="C1643" s="8" t="n">
        <v>46068.25</v>
      </c>
      <c r="D1643" s="9">
        <f>(C1643-B1643)*24</f>
        <v/>
      </c>
      <c r="E1643" s="10">
        <f>IF(AND(HOUR(B1643)&gt;=6,HOUR(B1643)&lt;18),"Day Shift","Night Shift")</f>
        <v/>
      </c>
      <c r="F1643" s="11">
        <f>INT(B1643)</f>
        <v/>
      </c>
      <c r="G1643" s="11">
        <f>INT(C1643)</f>
        <v/>
      </c>
    </row>
    <row r="1644">
      <c r="A1644" s="2" t="inlineStr">
        <is>
          <t>EDD175;EDD2134;EDD812</t>
        </is>
      </c>
      <c r="B1644" s="3" t="n">
        <v>46068.25</v>
      </c>
      <c r="C1644" s="3" t="n">
        <v>46068.75</v>
      </c>
      <c r="D1644" s="4">
        <f>(C1644-B1644)*24</f>
        <v/>
      </c>
      <c r="E1644" s="5">
        <f>IF(AND(HOUR(B1644)&gt;=6,HOUR(B1644)&lt;18),"Day Shift","Night Shift")</f>
        <v/>
      </c>
      <c r="F1644" s="6">
        <f>INT(B1644)</f>
        <v/>
      </c>
      <c r="G1644" s="6">
        <f>INT(C1644)</f>
        <v/>
      </c>
    </row>
    <row r="1645">
      <c r="A1645" s="7" t="inlineStr">
        <is>
          <t>EDD175;EDD2134;EDD812</t>
        </is>
      </c>
      <c r="B1645" s="8" t="n">
        <v>46068.75</v>
      </c>
      <c r="C1645" s="8" t="n">
        <v>46068.82582175926</v>
      </c>
      <c r="D1645" s="9">
        <f>(C1645-B1645)*24</f>
        <v/>
      </c>
      <c r="E1645" s="10">
        <f>IF(AND(HOUR(B1645)&gt;=6,HOUR(B1645)&lt;18),"Day Shift","Night Shift")</f>
        <v/>
      </c>
      <c r="F1645" s="11">
        <f>INT(B1645)</f>
        <v/>
      </c>
      <c r="G1645" s="11">
        <f>INT(C1645)</f>
        <v/>
      </c>
    </row>
    <row r="1646">
      <c r="A1646" s="2" t="inlineStr">
        <is>
          <t>EXD408</t>
        </is>
      </c>
      <c r="B1646" s="3" t="n">
        <v>46067.72939814815</v>
      </c>
      <c r="C1646" s="3" t="n">
        <v>46067.75</v>
      </c>
      <c r="D1646" s="4">
        <f>(C1646-B1646)*24</f>
        <v/>
      </c>
      <c r="E1646" s="5">
        <f>IF(AND(HOUR(B1646)&gt;=6,HOUR(B1646)&lt;18),"Day Shift","Night Shift")</f>
        <v/>
      </c>
      <c r="F1646" s="6">
        <f>INT(B1646)</f>
        <v/>
      </c>
      <c r="G1646" s="6">
        <f>INT(C1646)</f>
        <v/>
      </c>
    </row>
    <row r="1647">
      <c r="A1647" s="7" t="inlineStr">
        <is>
          <t>EXD408</t>
        </is>
      </c>
      <c r="B1647" s="8" t="n">
        <v>46067.75</v>
      </c>
      <c r="C1647" s="8" t="n">
        <v>46068.03815972222</v>
      </c>
      <c r="D1647" s="9">
        <f>(C1647-B1647)*24</f>
        <v/>
      </c>
      <c r="E1647" s="10">
        <f>IF(AND(HOUR(B1647)&gt;=6,HOUR(B1647)&lt;18),"Day Shift","Night Shift")</f>
        <v/>
      </c>
      <c r="F1647" s="11">
        <f>INT(B1647)</f>
        <v/>
      </c>
      <c r="G1647" s="11">
        <f>INT(C1647)</f>
        <v/>
      </c>
    </row>
    <row r="1648">
      <c r="A1648" s="2" t="inlineStr">
        <is>
          <t>EXD100</t>
        </is>
      </c>
      <c r="B1648" s="3" t="n">
        <v>46067.73399305555</v>
      </c>
      <c r="C1648" s="3" t="n">
        <v>46067.75</v>
      </c>
      <c r="D1648" s="4">
        <f>(C1648-B1648)*24</f>
        <v/>
      </c>
      <c r="E1648" s="5">
        <f>IF(AND(HOUR(B1648)&gt;=6,HOUR(B1648)&lt;18),"Day Shift","Night Shift")</f>
        <v/>
      </c>
      <c r="F1648" s="6">
        <f>INT(B1648)</f>
        <v/>
      </c>
      <c r="G1648" s="6">
        <f>INT(C1648)</f>
        <v/>
      </c>
    </row>
    <row r="1649">
      <c r="A1649" s="7" t="inlineStr">
        <is>
          <t>EXD100</t>
        </is>
      </c>
      <c r="B1649" s="8" t="n">
        <v>46067.75</v>
      </c>
      <c r="C1649" s="8" t="n">
        <v>46067.96884259259</v>
      </c>
      <c r="D1649" s="9">
        <f>(C1649-B1649)*24</f>
        <v/>
      </c>
      <c r="E1649" s="10">
        <f>IF(AND(HOUR(B1649)&gt;=6,HOUR(B1649)&lt;18),"Day Shift","Night Shift")</f>
        <v/>
      </c>
      <c r="F1649" s="11">
        <f>INT(B1649)</f>
        <v/>
      </c>
      <c r="G1649" s="11">
        <f>INT(C1649)</f>
        <v/>
      </c>
    </row>
    <row r="1650">
      <c r="A1650" s="7" t="inlineStr">
        <is>
          <t>DRE42</t>
        </is>
      </c>
      <c r="B1650" s="8" t="n">
        <v>46067.78185185185</v>
      </c>
      <c r="C1650" s="8" t="n">
        <v>46067.95746527778</v>
      </c>
      <c r="D1650" s="9">
        <f>(C1650-B1650)*24</f>
        <v/>
      </c>
      <c r="E1650" s="10">
        <f>IF(AND(HOUR(B1650)&gt;=6,HOUR(B1650)&lt;18),"Day Shift","Night Shift")</f>
        <v/>
      </c>
      <c r="F1650" s="11">
        <f>INT(B1650)</f>
        <v/>
      </c>
      <c r="G1650" s="11">
        <f>INT(C1650)</f>
        <v/>
      </c>
    </row>
    <row r="1651">
      <c r="A1651" s="7" t="inlineStr">
        <is>
          <t>EXD52</t>
        </is>
      </c>
      <c r="B1651" s="8" t="n">
        <v>46067.78574074074</v>
      </c>
      <c r="C1651" s="8" t="n">
        <v>46068.25</v>
      </c>
      <c r="D1651" s="9">
        <f>(C1651-B1651)*24</f>
        <v/>
      </c>
      <c r="E1651" s="10">
        <f>IF(AND(HOUR(B1651)&gt;=6,HOUR(B1651)&lt;18),"Day Shift","Night Shift")</f>
        <v/>
      </c>
      <c r="F1651" s="11">
        <f>INT(B1651)</f>
        <v/>
      </c>
      <c r="G1651" s="11">
        <f>INT(C1651)</f>
        <v/>
      </c>
    </row>
    <row r="1652">
      <c r="A1652" s="2" t="inlineStr">
        <is>
          <t>EXD52</t>
        </is>
      </c>
      <c r="B1652" s="3" t="n">
        <v>46068.25</v>
      </c>
      <c r="C1652" s="3" t="n">
        <v>46068.75</v>
      </c>
      <c r="D1652" s="4">
        <f>(C1652-B1652)*24</f>
        <v/>
      </c>
      <c r="E1652" s="5">
        <f>IF(AND(HOUR(B1652)&gt;=6,HOUR(B1652)&lt;18),"Day Shift","Night Shift")</f>
        <v/>
      </c>
      <c r="F1652" s="6">
        <f>INT(B1652)</f>
        <v/>
      </c>
      <c r="G1652" s="6">
        <f>INT(C1652)</f>
        <v/>
      </c>
    </row>
    <row r="1653">
      <c r="A1653" s="7" t="inlineStr">
        <is>
          <t>EXD52</t>
        </is>
      </c>
      <c r="B1653" s="8" t="n">
        <v>46068.75</v>
      </c>
      <c r="C1653" s="8" t="n">
        <v>46069.25</v>
      </c>
      <c r="D1653" s="9">
        <f>(C1653-B1653)*24</f>
        <v/>
      </c>
      <c r="E1653" s="10">
        <f>IF(AND(HOUR(B1653)&gt;=6,HOUR(B1653)&lt;18),"Day Shift","Night Shift")</f>
        <v/>
      </c>
      <c r="F1653" s="11">
        <f>INT(B1653)</f>
        <v/>
      </c>
      <c r="G1653" s="11">
        <f>INT(C1653)</f>
        <v/>
      </c>
    </row>
    <row r="1654">
      <c r="A1654" s="2" t="inlineStr">
        <is>
          <t>EXD52</t>
        </is>
      </c>
      <c r="B1654" s="3" t="n">
        <v>46069.25</v>
      </c>
      <c r="C1654" s="3" t="n">
        <v>46069.75</v>
      </c>
      <c r="D1654" s="4">
        <f>(C1654-B1654)*24</f>
        <v/>
      </c>
      <c r="E1654" s="5">
        <f>IF(AND(HOUR(B1654)&gt;=6,HOUR(B1654)&lt;18),"Day Shift","Night Shift")</f>
        <v/>
      </c>
      <c r="F1654" s="6">
        <f>INT(B1654)</f>
        <v/>
      </c>
      <c r="G1654" s="6">
        <f>INT(C1654)</f>
        <v/>
      </c>
    </row>
    <row r="1655">
      <c r="A1655" s="7" t="inlineStr">
        <is>
          <t>EXD52</t>
        </is>
      </c>
      <c r="B1655" s="8" t="n">
        <v>46069.75</v>
      </c>
      <c r="C1655" s="8" t="n">
        <v>46070.25</v>
      </c>
      <c r="D1655" s="9">
        <f>(C1655-B1655)*24</f>
        <v/>
      </c>
      <c r="E1655" s="10">
        <f>IF(AND(HOUR(B1655)&gt;=6,HOUR(B1655)&lt;18),"Day Shift","Night Shift")</f>
        <v/>
      </c>
      <c r="F1655" s="11">
        <f>INT(B1655)</f>
        <v/>
      </c>
      <c r="G1655" s="11">
        <f>INT(C1655)</f>
        <v/>
      </c>
    </row>
    <row r="1656">
      <c r="A1656" s="2" t="inlineStr">
        <is>
          <t>EXD52</t>
        </is>
      </c>
      <c r="B1656" s="3" t="n">
        <v>46070.25</v>
      </c>
      <c r="C1656" s="3" t="n">
        <v>46070.39861111111</v>
      </c>
      <c r="D1656" s="4">
        <f>(C1656-B1656)*24</f>
        <v/>
      </c>
      <c r="E1656" s="5">
        <f>IF(AND(HOUR(B1656)&gt;=6,HOUR(B1656)&lt;18),"Day Shift","Night Shift")</f>
        <v/>
      </c>
      <c r="F1656" s="6">
        <f>INT(B1656)</f>
        <v/>
      </c>
      <c r="G1656" s="6">
        <f>INT(C1656)</f>
        <v/>
      </c>
    </row>
    <row r="1657">
      <c r="A1657" s="7" t="inlineStr">
        <is>
          <t>EXD51</t>
        </is>
      </c>
      <c r="B1657" s="8" t="n">
        <v>46067.80047453703</v>
      </c>
      <c r="C1657" s="8" t="n">
        <v>46068.17121527778</v>
      </c>
      <c r="D1657" s="9">
        <f>(C1657-B1657)*24</f>
        <v/>
      </c>
      <c r="E1657" s="10">
        <f>IF(AND(HOUR(B1657)&gt;=6,HOUR(B1657)&lt;18),"Day Shift","Night Shift")</f>
        <v/>
      </c>
      <c r="F1657" s="11">
        <f>INT(B1657)</f>
        <v/>
      </c>
      <c r="G1657" s="11">
        <f>INT(C1657)</f>
        <v/>
      </c>
    </row>
    <row r="1658">
      <c r="A1658" s="7" t="inlineStr">
        <is>
          <t>SHE36</t>
        </is>
      </c>
      <c r="B1658" s="8" t="n">
        <v>46067.80162037037</v>
      </c>
      <c r="C1658" s="8" t="n">
        <v>46068.25</v>
      </c>
      <c r="D1658" s="9">
        <f>(C1658-B1658)*24</f>
        <v/>
      </c>
      <c r="E1658" s="10">
        <f>IF(AND(HOUR(B1658)&gt;=6,HOUR(B1658)&lt;18),"Day Shift","Night Shift")</f>
        <v/>
      </c>
      <c r="F1658" s="11">
        <f>INT(B1658)</f>
        <v/>
      </c>
      <c r="G1658" s="11">
        <f>INT(C1658)</f>
        <v/>
      </c>
    </row>
    <row r="1659">
      <c r="A1659" s="2" t="inlineStr">
        <is>
          <t>SHE36</t>
        </is>
      </c>
      <c r="B1659" s="3" t="n">
        <v>46068.25</v>
      </c>
      <c r="C1659" s="3" t="n">
        <v>46068.75</v>
      </c>
      <c r="D1659" s="4">
        <f>(C1659-B1659)*24</f>
        <v/>
      </c>
      <c r="E1659" s="5">
        <f>IF(AND(HOUR(B1659)&gt;=6,HOUR(B1659)&lt;18),"Day Shift","Night Shift")</f>
        <v/>
      </c>
      <c r="F1659" s="6">
        <f>INT(B1659)</f>
        <v/>
      </c>
      <c r="G1659" s="6">
        <f>INT(C1659)</f>
        <v/>
      </c>
    </row>
    <row r="1660">
      <c r="A1660" s="7" t="inlineStr">
        <is>
          <t>SHE36</t>
        </is>
      </c>
      <c r="B1660" s="8" t="n">
        <v>46068.75</v>
      </c>
      <c r="C1660" s="8" t="n">
        <v>46068.86716435185</v>
      </c>
      <c r="D1660" s="9">
        <f>(C1660-B1660)*24</f>
        <v/>
      </c>
      <c r="E1660" s="10">
        <f>IF(AND(HOUR(B1660)&gt;=6,HOUR(B1660)&lt;18),"Day Shift","Night Shift")</f>
        <v/>
      </c>
      <c r="F1660" s="11">
        <f>INT(B1660)</f>
        <v/>
      </c>
      <c r="G1660" s="11">
        <f>INT(C1660)</f>
        <v/>
      </c>
    </row>
    <row r="1661">
      <c r="A1661" s="7" t="inlineStr">
        <is>
          <t>EDD1932;EDD2541</t>
        </is>
      </c>
      <c r="B1661" s="8" t="n">
        <v>46067.80171296297</v>
      </c>
      <c r="C1661" s="8" t="n">
        <v>46067.99684027778</v>
      </c>
      <c r="D1661" s="9">
        <f>(C1661-B1661)*24</f>
        <v/>
      </c>
      <c r="E1661" s="10">
        <f>IF(AND(HOUR(B1661)&gt;=6,HOUR(B1661)&lt;18),"Day Shift","Night Shift")</f>
        <v/>
      </c>
      <c r="F1661" s="11">
        <f>INT(B1661)</f>
        <v/>
      </c>
      <c r="G1661" s="11">
        <f>INT(C1661)</f>
        <v/>
      </c>
    </row>
    <row r="1662">
      <c r="A1662" s="7" t="inlineStr">
        <is>
          <t>EXD407</t>
        </is>
      </c>
      <c r="B1662" s="8" t="n">
        <v>46067.86486111111</v>
      </c>
      <c r="C1662" s="8" t="n">
        <v>46068.25</v>
      </c>
      <c r="D1662" s="9">
        <f>(C1662-B1662)*24</f>
        <v/>
      </c>
      <c r="E1662" s="10">
        <f>IF(AND(HOUR(B1662)&gt;=6,HOUR(B1662)&lt;18),"Day Shift","Night Shift")</f>
        <v/>
      </c>
      <c r="F1662" s="11">
        <f>INT(B1662)</f>
        <v/>
      </c>
      <c r="G1662" s="11">
        <f>INT(C1662)</f>
        <v/>
      </c>
    </row>
    <row r="1663">
      <c r="A1663" s="2" t="inlineStr">
        <is>
          <t>EXD407</t>
        </is>
      </c>
      <c r="B1663" s="3" t="n">
        <v>46068.25</v>
      </c>
      <c r="C1663" s="3" t="n">
        <v>46068.75</v>
      </c>
      <c r="D1663" s="4">
        <f>(C1663-B1663)*24</f>
        <v/>
      </c>
      <c r="E1663" s="5">
        <f>IF(AND(HOUR(B1663)&gt;=6,HOUR(B1663)&lt;18),"Day Shift","Night Shift")</f>
        <v/>
      </c>
      <c r="F1663" s="6">
        <f>INT(B1663)</f>
        <v/>
      </c>
      <c r="G1663" s="6">
        <f>INT(C1663)</f>
        <v/>
      </c>
    </row>
    <row r="1664">
      <c r="A1664" s="7" t="inlineStr">
        <is>
          <t>EXD407</t>
        </is>
      </c>
      <c r="B1664" s="8" t="n">
        <v>46068.75</v>
      </c>
      <c r="C1664" s="8" t="n">
        <v>46068.87096064815</v>
      </c>
      <c r="D1664" s="9">
        <f>(C1664-B1664)*24</f>
        <v/>
      </c>
      <c r="E1664" s="10">
        <f>IF(AND(HOUR(B1664)&gt;=6,HOUR(B1664)&lt;18),"Day Shift","Night Shift")</f>
        <v/>
      </c>
      <c r="F1664" s="11">
        <f>INT(B1664)</f>
        <v/>
      </c>
      <c r="G1664" s="11">
        <f>INT(C1664)</f>
        <v/>
      </c>
    </row>
    <row r="1665">
      <c r="A1665" s="7" t="inlineStr">
        <is>
          <t>EXD409</t>
        </is>
      </c>
      <c r="B1665" s="8" t="n">
        <v>46067.88099537037</v>
      </c>
      <c r="C1665" s="8" t="n">
        <v>46068.25</v>
      </c>
      <c r="D1665" s="9">
        <f>(C1665-B1665)*24</f>
        <v/>
      </c>
      <c r="E1665" s="10">
        <f>IF(AND(HOUR(B1665)&gt;=6,HOUR(B1665)&lt;18),"Day Shift","Night Shift")</f>
        <v/>
      </c>
      <c r="F1665" s="11">
        <f>INT(B1665)</f>
        <v/>
      </c>
      <c r="G1665" s="11">
        <f>INT(C1665)</f>
        <v/>
      </c>
    </row>
    <row r="1666">
      <c r="A1666" s="2" t="inlineStr">
        <is>
          <t>EXD409</t>
        </is>
      </c>
      <c r="B1666" s="3" t="n">
        <v>46068.25</v>
      </c>
      <c r="C1666" s="3" t="n">
        <v>46068.75</v>
      </c>
      <c r="D1666" s="4">
        <f>(C1666-B1666)*24</f>
        <v/>
      </c>
      <c r="E1666" s="5">
        <f>IF(AND(HOUR(B1666)&gt;=6,HOUR(B1666)&lt;18),"Day Shift","Night Shift")</f>
        <v/>
      </c>
      <c r="F1666" s="6">
        <f>INT(B1666)</f>
        <v/>
      </c>
      <c r="G1666" s="6">
        <f>INT(C1666)</f>
        <v/>
      </c>
    </row>
    <row r="1667">
      <c r="A1667" s="7" t="inlineStr">
        <is>
          <t>EXD409</t>
        </is>
      </c>
      <c r="B1667" s="8" t="n">
        <v>46068.75</v>
      </c>
      <c r="C1667" s="8" t="n">
        <v>46069.25</v>
      </c>
      <c r="D1667" s="9">
        <f>(C1667-B1667)*24</f>
        <v/>
      </c>
      <c r="E1667" s="10">
        <f>IF(AND(HOUR(B1667)&gt;=6,HOUR(B1667)&lt;18),"Day Shift","Night Shift")</f>
        <v/>
      </c>
      <c r="F1667" s="11">
        <f>INT(B1667)</f>
        <v/>
      </c>
      <c r="G1667" s="11">
        <f>INT(C1667)</f>
        <v/>
      </c>
    </row>
    <row r="1668">
      <c r="A1668" s="2" t="inlineStr">
        <is>
          <t>EXD409</t>
        </is>
      </c>
      <c r="B1668" s="3" t="n">
        <v>46069.25</v>
      </c>
      <c r="C1668" s="3" t="n">
        <v>46069.75</v>
      </c>
      <c r="D1668" s="4">
        <f>(C1668-B1668)*24</f>
        <v/>
      </c>
      <c r="E1668" s="5">
        <f>IF(AND(HOUR(B1668)&gt;=6,HOUR(B1668)&lt;18),"Day Shift","Night Shift")</f>
        <v/>
      </c>
      <c r="F1668" s="6">
        <f>INT(B1668)</f>
        <v/>
      </c>
      <c r="G1668" s="6">
        <f>INT(C1668)</f>
        <v/>
      </c>
    </row>
    <row r="1669">
      <c r="A1669" s="7" t="inlineStr">
        <is>
          <t>EXD409</t>
        </is>
      </c>
      <c r="B1669" s="8" t="n">
        <v>46069.75</v>
      </c>
      <c r="C1669" s="8" t="n">
        <v>46069.84034722222</v>
      </c>
      <c r="D1669" s="9">
        <f>(C1669-B1669)*24</f>
        <v/>
      </c>
      <c r="E1669" s="10">
        <f>IF(AND(HOUR(B1669)&gt;=6,HOUR(B1669)&lt;18),"Day Shift","Night Shift")</f>
        <v/>
      </c>
      <c r="F1669" s="11">
        <f>INT(B1669)</f>
        <v/>
      </c>
      <c r="G1669" s="11">
        <f>INT(C1669)</f>
        <v/>
      </c>
    </row>
    <row r="1670">
      <c r="A1670" s="7" t="inlineStr">
        <is>
          <t>DRE42</t>
        </is>
      </c>
      <c r="B1670" s="8" t="n">
        <v>46067.95746527778</v>
      </c>
      <c r="C1670" s="8" t="n">
        <v>46068.25</v>
      </c>
      <c r="D1670" s="9">
        <f>(C1670-B1670)*24</f>
        <v/>
      </c>
      <c r="E1670" s="10">
        <f>IF(AND(HOUR(B1670)&gt;=6,HOUR(B1670)&lt;18),"Day Shift","Night Shift")</f>
        <v/>
      </c>
      <c r="F1670" s="11">
        <f>INT(B1670)</f>
        <v/>
      </c>
      <c r="G1670" s="11">
        <f>INT(C1670)</f>
        <v/>
      </c>
    </row>
    <row r="1671">
      <c r="A1671" s="2" t="inlineStr">
        <is>
          <t>DRE42</t>
        </is>
      </c>
      <c r="B1671" s="3" t="n">
        <v>46068.25</v>
      </c>
      <c r="C1671" s="3" t="n">
        <v>46068.75</v>
      </c>
      <c r="D1671" s="4">
        <f>(C1671-B1671)*24</f>
        <v/>
      </c>
      <c r="E1671" s="5">
        <f>IF(AND(HOUR(B1671)&gt;=6,HOUR(B1671)&lt;18),"Day Shift","Night Shift")</f>
        <v/>
      </c>
      <c r="F1671" s="6">
        <f>INT(B1671)</f>
        <v/>
      </c>
      <c r="G1671" s="6">
        <f>INT(C1671)</f>
        <v/>
      </c>
    </row>
    <row r="1672">
      <c r="A1672" s="7" t="inlineStr">
        <is>
          <t>DRE42</t>
        </is>
      </c>
      <c r="B1672" s="8" t="n">
        <v>46068.75</v>
      </c>
      <c r="C1672" s="8" t="n">
        <v>46069.25</v>
      </c>
      <c r="D1672" s="9">
        <f>(C1672-B1672)*24</f>
        <v/>
      </c>
      <c r="E1672" s="10">
        <f>IF(AND(HOUR(B1672)&gt;=6,HOUR(B1672)&lt;18),"Day Shift","Night Shift")</f>
        <v/>
      </c>
      <c r="F1672" s="11">
        <f>INT(B1672)</f>
        <v/>
      </c>
      <c r="G1672" s="11">
        <f>INT(C1672)</f>
        <v/>
      </c>
    </row>
    <row r="1673">
      <c r="A1673" s="2" t="inlineStr">
        <is>
          <t>DRE42</t>
        </is>
      </c>
      <c r="B1673" s="3" t="n">
        <v>46069.25</v>
      </c>
      <c r="C1673" s="3" t="n">
        <v>46069.75</v>
      </c>
      <c r="D1673" s="4">
        <f>(C1673-B1673)*24</f>
        <v/>
      </c>
      <c r="E1673" s="5">
        <f>IF(AND(HOUR(B1673)&gt;=6,HOUR(B1673)&lt;18),"Day Shift","Night Shift")</f>
        <v/>
      </c>
      <c r="F1673" s="6">
        <f>INT(B1673)</f>
        <v/>
      </c>
      <c r="G1673" s="6">
        <f>INT(C1673)</f>
        <v/>
      </c>
    </row>
    <row r="1674">
      <c r="A1674" s="7" t="inlineStr">
        <is>
          <t>DRE42</t>
        </is>
      </c>
      <c r="B1674" s="8" t="n">
        <v>46069.75</v>
      </c>
      <c r="C1674" s="8" t="n">
        <v>46070.25</v>
      </c>
      <c r="D1674" s="9">
        <f>(C1674-B1674)*24</f>
        <v/>
      </c>
      <c r="E1674" s="10">
        <f>IF(AND(HOUR(B1674)&gt;=6,HOUR(B1674)&lt;18),"Day Shift","Night Shift")</f>
        <v/>
      </c>
      <c r="F1674" s="11">
        <f>INT(B1674)</f>
        <v/>
      </c>
      <c r="G1674" s="11">
        <f>INT(C1674)</f>
        <v/>
      </c>
    </row>
    <row r="1675">
      <c r="A1675" s="2" t="inlineStr">
        <is>
          <t>DRE42</t>
        </is>
      </c>
      <c r="B1675" s="3" t="n">
        <v>46070.25</v>
      </c>
      <c r="C1675" s="3" t="n">
        <v>46070.75</v>
      </c>
      <c r="D1675" s="4">
        <f>(C1675-B1675)*24</f>
        <v/>
      </c>
      <c r="E1675" s="5">
        <f>IF(AND(HOUR(B1675)&gt;=6,HOUR(B1675)&lt;18),"Day Shift","Night Shift")</f>
        <v/>
      </c>
      <c r="F1675" s="6">
        <f>INT(B1675)</f>
        <v/>
      </c>
      <c r="G1675" s="6">
        <f>INT(C1675)</f>
        <v/>
      </c>
    </row>
    <row r="1676">
      <c r="A1676" s="7" t="inlineStr">
        <is>
          <t>DRE42</t>
        </is>
      </c>
      <c r="B1676" s="8" t="n">
        <v>46070.75</v>
      </c>
      <c r="C1676" s="8" t="n">
        <v>46070.94150462963</v>
      </c>
      <c r="D1676" s="9">
        <f>(C1676-B1676)*24</f>
        <v/>
      </c>
      <c r="E1676" s="10">
        <f>IF(AND(HOUR(B1676)&gt;=6,HOUR(B1676)&lt;18),"Day Shift","Night Shift")</f>
        <v/>
      </c>
      <c r="F1676" s="11">
        <f>INT(B1676)</f>
        <v/>
      </c>
      <c r="G1676" s="11">
        <f>INT(C1676)</f>
        <v/>
      </c>
    </row>
    <row r="1677">
      <c r="A1677" s="7" t="inlineStr">
        <is>
          <t>EXD100</t>
        </is>
      </c>
      <c r="B1677" s="8" t="n">
        <v>46067.96884259259</v>
      </c>
      <c r="C1677" s="8" t="n">
        <v>46068.25</v>
      </c>
      <c r="D1677" s="9">
        <f>(C1677-B1677)*24</f>
        <v/>
      </c>
      <c r="E1677" s="10">
        <f>IF(AND(HOUR(B1677)&gt;=6,HOUR(B1677)&lt;18),"Day Shift","Night Shift")</f>
        <v/>
      </c>
      <c r="F1677" s="11">
        <f>INT(B1677)</f>
        <v/>
      </c>
      <c r="G1677" s="11">
        <f>INT(C1677)</f>
        <v/>
      </c>
    </row>
    <row r="1678">
      <c r="A1678" s="2" t="inlineStr">
        <is>
          <t>EXD100</t>
        </is>
      </c>
      <c r="B1678" s="3" t="n">
        <v>46068.25</v>
      </c>
      <c r="C1678" s="3" t="n">
        <v>46068.42280092592</v>
      </c>
      <c r="D1678" s="4">
        <f>(C1678-B1678)*24</f>
        <v/>
      </c>
      <c r="E1678" s="5">
        <f>IF(AND(HOUR(B1678)&gt;=6,HOUR(B1678)&lt;18),"Day Shift","Night Shift")</f>
        <v/>
      </c>
      <c r="F1678" s="6">
        <f>INT(B1678)</f>
        <v/>
      </c>
      <c r="G1678" s="6">
        <f>INT(C1678)</f>
        <v/>
      </c>
    </row>
    <row r="1679">
      <c r="A1679" s="7" t="inlineStr">
        <is>
          <t>EDD1932;EDD2541</t>
        </is>
      </c>
      <c r="B1679" s="8" t="n">
        <v>46067.99684027778</v>
      </c>
      <c r="C1679" s="8" t="n">
        <v>46068.21743055555</v>
      </c>
      <c r="D1679" s="9">
        <f>(C1679-B1679)*24</f>
        <v/>
      </c>
      <c r="E1679" s="10">
        <f>IF(AND(HOUR(B1679)&gt;=6,HOUR(B1679)&lt;18),"Day Shift","Night Shift")</f>
        <v/>
      </c>
      <c r="F1679" s="11">
        <f>INT(B1679)</f>
        <v/>
      </c>
      <c r="G1679" s="11">
        <f>INT(C1679)</f>
        <v/>
      </c>
    </row>
    <row r="1680">
      <c r="A1680" s="7" t="inlineStr">
        <is>
          <t>EXD60</t>
        </is>
      </c>
      <c r="B1680" s="8" t="n">
        <v>46068.03619212963</v>
      </c>
      <c r="C1680" s="8" t="n">
        <v>46068.25</v>
      </c>
      <c r="D1680" s="9">
        <f>(C1680-B1680)*24</f>
        <v/>
      </c>
      <c r="E1680" s="10">
        <f>IF(AND(HOUR(B1680)&gt;=6,HOUR(B1680)&lt;18),"Day Shift","Night Shift")</f>
        <v/>
      </c>
      <c r="F1680" s="11">
        <f>INT(B1680)</f>
        <v/>
      </c>
      <c r="G1680" s="11">
        <f>INT(C1680)</f>
        <v/>
      </c>
    </row>
    <row r="1681">
      <c r="A1681" s="2" t="inlineStr">
        <is>
          <t>EXD60</t>
        </is>
      </c>
      <c r="B1681" s="3" t="n">
        <v>46068.25</v>
      </c>
      <c r="C1681" s="3" t="n">
        <v>46068.75</v>
      </c>
      <c r="D1681" s="4">
        <f>(C1681-B1681)*24</f>
        <v/>
      </c>
      <c r="E1681" s="5">
        <f>IF(AND(HOUR(B1681)&gt;=6,HOUR(B1681)&lt;18),"Day Shift","Night Shift")</f>
        <v/>
      </c>
      <c r="F1681" s="6">
        <f>INT(B1681)</f>
        <v/>
      </c>
      <c r="G1681" s="6">
        <f>INT(C1681)</f>
        <v/>
      </c>
    </row>
    <row r="1682">
      <c r="A1682" s="7" t="inlineStr">
        <is>
          <t>EXD60</t>
        </is>
      </c>
      <c r="B1682" s="8" t="n">
        <v>46068.75</v>
      </c>
      <c r="C1682" s="8" t="n">
        <v>46069.25</v>
      </c>
      <c r="D1682" s="9">
        <f>(C1682-B1682)*24</f>
        <v/>
      </c>
      <c r="E1682" s="10">
        <f>IF(AND(HOUR(B1682)&gt;=6,HOUR(B1682)&lt;18),"Day Shift","Night Shift")</f>
        <v/>
      </c>
      <c r="F1682" s="11">
        <f>INT(B1682)</f>
        <v/>
      </c>
      <c r="G1682" s="11">
        <f>INT(C1682)</f>
        <v/>
      </c>
    </row>
    <row r="1683">
      <c r="A1683" s="2" t="inlineStr">
        <is>
          <t>EXD60</t>
        </is>
      </c>
      <c r="B1683" s="3" t="n">
        <v>46069.25</v>
      </c>
      <c r="C1683" s="3" t="n">
        <v>46069.75</v>
      </c>
      <c r="D1683" s="4">
        <f>(C1683-B1683)*24</f>
        <v/>
      </c>
      <c r="E1683" s="5">
        <f>IF(AND(HOUR(B1683)&gt;=6,HOUR(B1683)&lt;18),"Day Shift","Night Shift")</f>
        <v/>
      </c>
      <c r="F1683" s="6">
        <f>INT(B1683)</f>
        <v/>
      </c>
      <c r="G1683" s="6">
        <f>INT(C1683)</f>
        <v/>
      </c>
    </row>
    <row r="1684">
      <c r="A1684" s="7" t="inlineStr">
        <is>
          <t>EXD60</t>
        </is>
      </c>
      <c r="B1684" s="8" t="n">
        <v>46069.75</v>
      </c>
      <c r="C1684" s="8" t="n">
        <v>46069.78034722222</v>
      </c>
      <c r="D1684" s="9">
        <f>(C1684-B1684)*24</f>
        <v/>
      </c>
      <c r="E1684" s="10">
        <f>IF(AND(HOUR(B1684)&gt;=6,HOUR(B1684)&lt;18),"Day Shift","Night Shift")</f>
        <v/>
      </c>
      <c r="F1684" s="11">
        <f>INT(B1684)</f>
        <v/>
      </c>
      <c r="G1684" s="11">
        <f>INT(C1684)</f>
        <v/>
      </c>
    </row>
    <row r="1685">
      <c r="A1685" s="7" t="inlineStr">
        <is>
          <t>EXD408</t>
        </is>
      </c>
      <c r="B1685" s="8" t="n">
        <v>46068.03815972222</v>
      </c>
      <c r="C1685" s="8" t="n">
        <v>46068.25</v>
      </c>
      <c r="D1685" s="9">
        <f>(C1685-B1685)*24</f>
        <v/>
      </c>
      <c r="E1685" s="10">
        <f>IF(AND(HOUR(B1685)&gt;=6,HOUR(B1685)&lt;18),"Day Shift","Night Shift")</f>
        <v/>
      </c>
      <c r="F1685" s="11">
        <f>INT(B1685)</f>
        <v/>
      </c>
      <c r="G1685" s="11">
        <f>INT(C1685)</f>
        <v/>
      </c>
    </row>
    <row r="1686">
      <c r="A1686" s="2" t="inlineStr">
        <is>
          <t>EXD408</t>
        </is>
      </c>
      <c r="B1686" s="3" t="n">
        <v>46068.25</v>
      </c>
      <c r="C1686" s="3" t="n">
        <v>46068.39085648148</v>
      </c>
      <c r="D1686" s="4">
        <f>(C1686-B1686)*24</f>
        <v/>
      </c>
      <c r="E1686" s="5">
        <f>IF(AND(HOUR(B1686)&gt;=6,HOUR(B1686)&lt;18),"Day Shift","Night Shift")</f>
        <v/>
      </c>
      <c r="F1686" s="6">
        <f>INT(B1686)</f>
        <v/>
      </c>
      <c r="G1686" s="6">
        <f>INT(C1686)</f>
        <v/>
      </c>
    </row>
    <row r="1687">
      <c r="A1687" s="7" t="inlineStr">
        <is>
          <t>EXD101</t>
        </is>
      </c>
      <c r="B1687" s="8" t="n">
        <v>46068.11203703703</v>
      </c>
      <c r="C1687" s="8" t="n">
        <v>46068.25</v>
      </c>
      <c r="D1687" s="9">
        <f>(C1687-B1687)*24</f>
        <v/>
      </c>
      <c r="E1687" s="10">
        <f>IF(AND(HOUR(B1687)&gt;=6,HOUR(B1687)&lt;18),"Day Shift","Night Shift")</f>
        <v/>
      </c>
      <c r="F1687" s="11">
        <f>INT(B1687)</f>
        <v/>
      </c>
      <c r="G1687" s="11">
        <f>INT(C1687)</f>
        <v/>
      </c>
    </row>
    <row r="1688">
      <c r="A1688" s="2" t="inlineStr">
        <is>
          <t>EXD101</t>
        </is>
      </c>
      <c r="B1688" s="3" t="n">
        <v>46068.25</v>
      </c>
      <c r="C1688" s="3" t="n">
        <v>46068.75</v>
      </c>
      <c r="D1688" s="4">
        <f>(C1688-B1688)*24</f>
        <v/>
      </c>
      <c r="E1688" s="5">
        <f>IF(AND(HOUR(B1688)&gt;=6,HOUR(B1688)&lt;18),"Day Shift","Night Shift")</f>
        <v/>
      </c>
      <c r="F1688" s="6">
        <f>INT(B1688)</f>
        <v/>
      </c>
      <c r="G1688" s="6">
        <f>INT(C1688)</f>
        <v/>
      </c>
    </row>
    <row r="1689">
      <c r="A1689" s="7" t="inlineStr">
        <is>
          <t>EXD101</t>
        </is>
      </c>
      <c r="B1689" s="8" t="n">
        <v>46068.75</v>
      </c>
      <c r="C1689" s="8" t="n">
        <v>46069.25</v>
      </c>
      <c r="D1689" s="9">
        <f>(C1689-B1689)*24</f>
        <v/>
      </c>
      <c r="E1689" s="10">
        <f>IF(AND(HOUR(B1689)&gt;=6,HOUR(B1689)&lt;18),"Day Shift","Night Shift")</f>
        <v/>
      </c>
      <c r="F1689" s="11">
        <f>INT(B1689)</f>
        <v/>
      </c>
      <c r="G1689" s="11">
        <f>INT(C1689)</f>
        <v/>
      </c>
    </row>
    <row r="1690">
      <c r="A1690" s="2" t="inlineStr">
        <is>
          <t>EXD101</t>
        </is>
      </c>
      <c r="B1690" s="3" t="n">
        <v>46069.25</v>
      </c>
      <c r="C1690" s="3" t="n">
        <v>46069.69043981482</v>
      </c>
      <c r="D1690" s="4">
        <f>(C1690-B1690)*24</f>
        <v/>
      </c>
      <c r="E1690" s="5">
        <f>IF(AND(HOUR(B1690)&gt;=6,HOUR(B1690)&lt;18),"Day Shift","Night Shift")</f>
        <v/>
      </c>
      <c r="F1690" s="6">
        <f>INT(B1690)</f>
        <v/>
      </c>
      <c r="G1690" s="6">
        <f>INT(C1690)</f>
        <v/>
      </c>
    </row>
    <row r="1691">
      <c r="A1691" s="7" t="inlineStr">
        <is>
          <t>EDD1932;EDD2541</t>
        </is>
      </c>
      <c r="B1691" s="8" t="n">
        <v>46068.21743055555</v>
      </c>
      <c r="C1691" s="8" t="n">
        <v>46068.25</v>
      </c>
      <c r="D1691" s="9">
        <f>(C1691-B1691)*24</f>
        <v/>
      </c>
      <c r="E1691" s="10">
        <f>IF(AND(HOUR(B1691)&gt;=6,HOUR(B1691)&lt;18),"Day Shift","Night Shift")</f>
        <v/>
      </c>
      <c r="F1691" s="11">
        <f>INT(B1691)</f>
        <v/>
      </c>
      <c r="G1691" s="11">
        <f>INT(C1691)</f>
        <v/>
      </c>
    </row>
    <row r="1692">
      <c r="A1692" s="2" t="inlineStr">
        <is>
          <t>EDD1932;EDD2541</t>
        </is>
      </c>
      <c r="B1692" s="3" t="n">
        <v>46068.25</v>
      </c>
      <c r="C1692" s="3" t="n">
        <v>46068.50366898148</v>
      </c>
      <c r="D1692" s="4">
        <f>(C1692-B1692)*24</f>
        <v/>
      </c>
      <c r="E1692" s="5">
        <f>IF(AND(HOUR(B1692)&gt;=6,HOUR(B1692)&lt;18),"Day Shift","Night Shift")</f>
        <v/>
      </c>
      <c r="F1692" s="6">
        <f>INT(B1692)</f>
        <v/>
      </c>
      <c r="G1692" s="6">
        <f>INT(C1692)</f>
        <v/>
      </c>
    </row>
    <row r="1693">
      <c r="A1693" s="2" t="inlineStr">
        <is>
          <t>EXD51</t>
        </is>
      </c>
      <c r="B1693" s="3" t="n">
        <v>46068.27607638889</v>
      </c>
      <c r="C1693" s="3" t="n">
        <v>46068.64545138889</v>
      </c>
      <c r="D1693" s="4">
        <f>(C1693-B1693)*24</f>
        <v/>
      </c>
      <c r="E1693" s="5">
        <f>IF(AND(HOUR(B1693)&gt;=6,HOUR(B1693)&lt;18),"Day Shift","Night Shift")</f>
        <v/>
      </c>
      <c r="F1693" s="6">
        <f>INT(B1693)</f>
        <v/>
      </c>
      <c r="G1693" s="6">
        <f>INT(C1693)</f>
        <v/>
      </c>
    </row>
    <row r="1694">
      <c r="A1694" s="2" t="inlineStr">
        <is>
          <t>EXD408</t>
        </is>
      </c>
      <c r="B1694" s="3" t="n">
        <v>46068.39085648148</v>
      </c>
      <c r="C1694" s="3" t="n">
        <v>46068.75</v>
      </c>
      <c r="D1694" s="4">
        <f>(C1694-B1694)*24</f>
        <v/>
      </c>
      <c r="E1694" s="5">
        <f>IF(AND(HOUR(B1694)&gt;=6,HOUR(B1694)&lt;18),"Day Shift","Night Shift")</f>
        <v/>
      </c>
      <c r="F1694" s="6">
        <f>INT(B1694)</f>
        <v/>
      </c>
      <c r="G1694" s="6">
        <f>INT(C1694)</f>
        <v/>
      </c>
    </row>
    <row r="1695">
      <c r="A1695" s="7" t="inlineStr">
        <is>
          <t>EXD408</t>
        </is>
      </c>
      <c r="B1695" s="8" t="n">
        <v>46068.75</v>
      </c>
      <c r="C1695" s="8" t="n">
        <v>46068.81605324074</v>
      </c>
      <c r="D1695" s="9">
        <f>(C1695-B1695)*24</f>
        <v/>
      </c>
      <c r="E1695" s="10">
        <f>IF(AND(HOUR(B1695)&gt;=6,HOUR(B1695)&lt;18),"Day Shift","Night Shift")</f>
        <v/>
      </c>
      <c r="F1695" s="11">
        <f>INT(B1695)</f>
        <v/>
      </c>
      <c r="G1695" s="11">
        <f>INT(C1695)</f>
        <v/>
      </c>
    </row>
    <row r="1696">
      <c r="A1696" s="2" t="inlineStr">
        <is>
          <t>EXD100</t>
        </is>
      </c>
      <c r="B1696" s="3" t="n">
        <v>46068.42280092592</v>
      </c>
      <c r="C1696" s="3" t="n">
        <v>46068.75</v>
      </c>
      <c r="D1696" s="4">
        <f>(C1696-B1696)*24</f>
        <v/>
      </c>
      <c r="E1696" s="5">
        <f>IF(AND(HOUR(B1696)&gt;=6,HOUR(B1696)&lt;18),"Day Shift","Night Shift")</f>
        <v/>
      </c>
      <c r="F1696" s="6">
        <f>INT(B1696)</f>
        <v/>
      </c>
      <c r="G1696" s="6">
        <f>INT(C1696)</f>
        <v/>
      </c>
    </row>
    <row r="1697">
      <c r="A1697" s="7" t="inlineStr">
        <is>
          <t>EXD100</t>
        </is>
      </c>
      <c r="B1697" s="8" t="n">
        <v>46068.75</v>
      </c>
      <c r="C1697" s="8" t="n">
        <v>46069.19201388889</v>
      </c>
      <c r="D1697" s="9">
        <f>(C1697-B1697)*24</f>
        <v/>
      </c>
      <c r="E1697" s="10">
        <f>IF(AND(HOUR(B1697)&gt;=6,HOUR(B1697)&lt;18),"Day Shift","Night Shift")</f>
        <v/>
      </c>
      <c r="F1697" s="11">
        <f>INT(B1697)</f>
        <v/>
      </c>
      <c r="G1697" s="11">
        <f>INT(C1697)</f>
        <v/>
      </c>
    </row>
    <row r="1698">
      <c r="A1698" s="2" t="inlineStr">
        <is>
          <t>EXD73</t>
        </is>
      </c>
      <c r="B1698" s="3" t="n">
        <v>46068.45019675926</v>
      </c>
      <c r="C1698" s="3" t="n">
        <v>46068.75</v>
      </c>
      <c r="D1698" s="4">
        <f>(C1698-B1698)*24</f>
        <v/>
      </c>
      <c r="E1698" s="5">
        <f>IF(AND(HOUR(B1698)&gt;=6,HOUR(B1698)&lt;18),"Day Shift","Night Shift")</f>
        <v/>
      </c>
      <c r="F1698" s="6">
        <f>INT(B1698)</f>
        <v/>
      </c>
      <c r="G1698" s="6">
        <f>INT(C1698)</f>
        <v/>
      </c>
    </row>
    <row r="1699">
      <c r="A1699" s="7" t="inlineStr">
        <is>
          <t>EXD73</t>
        </is>
      </c>
      <c r="B1699" s="8" t="n">
        <v>46068.75</v>
      </c>
      <c r="C1699" s="8" t="n">
        <v>46069.17234953704</v>
      </c>
      <c r="D1699" s="9">
        <f>(C1699-B1699)*24</f>
        <v/>
      </c>
      <c r="E1699" s="10">
        <f>IF(AND(HOUR(B1699)&gt;=6,HOUR(B1699)&lt;18),"Day Shift","Night Shift")</f>
        <v/>
      </c>
      <c r="F1699" s="11">
        <f>INT(B1699)</f>
        <v/>
      </c>
      <c r="G1699" s="11">
        <f>INT(C1699)</f>
        <v/>
      </c>
    </row>
    <row r="1700">
      <c r="A1700" s="2" t="inlineStr">
        <is>
          <t>EXD98</t>
        </is>
      </c>
      <c r="B1700" s="3" t="n">
        <v>46068.50938657407</v>
      </c>
      <c r="C1700" s="3" t="n">
        <v>46068.75</v>
      </c>
      <c r="D1700" s="4">
        <f>(C1700-B1700)*24</f>
        <v/>
      </c>
      <c r="E1700" s="5">
        <f>IF(AND(HOUR(B1700)&gt;=6,HOUR(B1700)&lt;18),"Day Shift","Night Shift")</f>
        <v/>
      </c>
      <c r="F1700" s="6">
        <f>INT(B1700)</f>
        <v/>
      </c>
      <c r="G1700" s="6">
        <f>INT(C1700)</f>
        <v/>
      </c>
    </row>
    <row r="1701">
      <c r="A1701" s="7" t="inlineStr">
        <is>
          <t>EXD98</t>
        </is>
      </c>
      <c r="B1701" s="8" t="n">
        <v>46068.75</v>
      </c>
      <c r="C1701" s="8" t="n">
        <v>46069.25</v>
      </c>
      <c r="D1701" s="9">
        <f>(C1701-B1701)*24</f>
        <v/>
      </c>
      <c r="E1701" s="10">
        <f>IF(AND(HOUR(B1701)&gt;=6,HOUR(B1701)&lt;18),"Day Shift","Night Shift")</f>
        <v/>
      </c>
      <c r="F1701" s="11">
        <f>INT(B1701)</f>
        <v/>
      </c>
      <c r="G1701" s="11">
        <f>INT(C1701)</f>
        <v/>
      </c>
    </row>
    <row r="1702">
      <c r="A1702" s="2" t="inlineStr">
        <is>
          <t>EXD98</t>
        </is>
      </c>
      <c r="B1702" s="3" t="n">
        <v>46069.25</v>
      </c>
      <c r="C1702" s="3" t="n">
        <v>46069.27836805556</v>
      </c>
      <c r="D1702" s="4">
        <f>(C1702-B1702)*24</f>
        <v/>
      </c>
      <c r="E1702" s="5">
        <f>IF(AND(HOUR(B1702)&gt;=6,HOUR(B1702)&lt;18),"Day Shift","Night Shift")</f>
        <v/>
      </c>
      <c r="F1702" s="6">
        <f>INT(B1702)</f>
        <v/>
      </c>
      <c r="G1702" s="6">
        <f>INT(C1702)</f>
        <v/>
      </c>
    </row>
    <row r="1703">
      <c r="A1703" s="2" t="inlineStr">
        <is>
          <t>EDD2541;EDD1932</t>
        </is>
      </c>
      <c r="B1703" s="3" t="n">
        <v>46068.57652777778</v>
      </c>
      <c r="C1703" s="3" t="n">
        <v>46068.75</v>
      </c>
      <c r="D1703" s="4">
        <f>(C1703-B1703)*24</f>
        <v/>
      </c>
      <c r="E1703" s="5">
        <f>IF(AND(HOUR(B1703)&gt;=6,HOUR(B1703)&lt;18),"Day Shift","Night Shift")</f>
        <v/>
      </c>
      <c r="F1703" s="6">
        <f>INT(B1703)</f>
        <v/>
      </c>
      <c r="G1703" s="6">
        <f>INT(C1703)</f>
        <v/>
      </c>
    </row>
    <row r="1704">
      <c r="A1704" s="7" t="inlineStr">
        <is>
          <t>EDD2541;EDD1932</t>
        </is>
      </c>
      <c r="B1704" s="8" t="n">
        <v>46068.75</v>
      </c>
      <c r="C1704" s="8" t="n">
        <v>46069.08769675926</v>
      </c>
      <c r="D1704" s="9">
        <f>(C1704-B1704)*24</f>
        <v/>
      </c>
      <c r="E1704" s="10">
        <f>IF(AND(HOUR(B1704)&gt;=6,HOUR(B1704)&lt;18),"Day Shift","Night Shift")</f>
        <v/>
      </c>
      <c r="F1704" s="11">
        <f>INT(B1704)</f>
        <v/>
      </c>
      <c r="G1704" s="11">
        <f>INT(C1704)</f>
        <v/>
      </c>
    </row>
    <row r="1705">
      <c r="A1705" s="2" t="inlineStr">
        <is>
          <t>EXD51</t>
        </is>
      </c>
      <c r="B1705" s="3" t="n">
        <v>46068.64545138889</v>
      </c>
      <c r="C1705" s="3" t="n">
        <v>46068.75</v>
      </c>
      <c r="D1705" s="4">
        <f>(C1705-B1705)*24</f>
        <v/>
      </c>
      <c r="E1705" s="5">
        <f>IF(AND(HOUR(B1705)&gt;=6,HOUR(B1705)&lt;18),"Day Shift","Night Shift")</f>
        <v/>
      </c>
      <c r="F1705" s="6">
        <f>INT(B1705)</f>
        <v/>
      </c>
      <c r="G1705" s="6">
        <f>INT(C1705)</f>
        <v/>
      </c>
    </row>
    <row r="1706">
      <c r="A1706" s="7" t="inlineStr">
        <is>
          <t>EXD51</t>
        </is>
      </c>
      <c r="B1706" s="8" t="n">
        <v>46068.75</v>
      </c>
      <c r="C1706" s="8" t="n">
        <v>46068.87019675926</v>
      </c>
      <c r="D1706" s="9">
        <f>(C1706-B1706)*24</f>
        <v/>
      </c>
      <c r="E1706" s="10">
        <f>IF(AND(HOUR(B1706)&gt;=6,HOUR(B1706)&lt;18),"Day Shift","Night Shift")</f>
        <v/>
      </c>
      <c r="F1706" s="11">
        <f>INT(B1706)</f>
        <v/>
      </c>
      <c r="G1706" s="11">
        <f>INT(C1706)</f>
        <v/>
      </c>
    </row>
    <row r="1707">
      <c r="A1707" s="2" t="inlineStr">
        <is>
          <t>EXD55</t>
        </is>
      </c>
      <c r="B1707" s="3" t="n">
        <v>46068.69064814815</v>
      </c>
      <c r="C1707" s="3" t="n">
        <v>46068.75</v>
      </c>
      <c r="D1707" s="4">
        <f>(C1707-B1707)*24</f>
        <v/>
      </c>
      <c r="E1707" s="5">
        <f>IF(AND(HOUR(B1707)&gt;=6,HOUR(B1707)&lt;18),"Day Shift","Night Shift")</f>
        <v/>
      </c>
      <c r="F1707" s="6">
        <f>INT(B1707)</f>
        <v/>
      </c>
      <c r="G1707" s="6">
        <f>INT(C1707)</f>
        <v/>
      </c>
    </row>
    <row r="1708">
      <c r="A1708" s="7" t="inlineStr">
        <is>
          <t>EXD55</t>
        </is>
      </c>
      <c r="B1708" s="8" t="n">
        <v>46068.75</v>
      </c>
      <c r="C1708" s="8" t="n">
        <v>46069.25</v>
      </c>
      <c r="D1708" s="9">
        <f>(C1708-B1708)*24</f>
        <v/>
      </c>
      <c r="E1708" s="10">
        <f>IF(AND(HOUR(B1708)&gt;=6,HOUR(B1708)&lt;18),"Day Shift","Night Shift")</f>
        <v/>
      </c>
      <c r="F1708" s="11">
        <f>INT(B1708)</f>
        <v/>
      </c>
      <c r="G1708" s="11">
        <f>INT(C1708)</f>
        <v/>
      </c>
    </row>
    <row r="1709">
      <c r="A1709" s="2" t="inlineStr">
        <is>
          <t>EXD55</t>
        </is>
      </c>
      <c r="B1709" s="3" t="n">
        <v>46069.25</v>
      </c>
      <c r="C1709" s="3" t="n">
        <v>46069.75</v>
      </c>
      <c r="D1709" s="4">
        <f>(C1709-B1709)*24</f>
        <v/>
      </c>
      <c r="E1709" s="5">
        <f>IF(AND(HOUR(B1709)&gt;=6,HOUR(B1709)&lt;18),"Day Shift","Night Shift")</f>
        <v/>
      </c>
      <c r="F1709" s="6">
        <f>INT(B1709)</f>
        <v/>
      </c>
      <c r="G1709" s="6">
        <f>INT(C1709)</f>
        <v/>
      </c>
    </row>
    <row r="1710">
      <c r="A1710" s="7" t="inlineStr">
        <is>
          <t>EXD55</t>
        </is>
      </c>
      <c r="B1710" s="8" t="n">
        <v>46069.75</v>
      </c>
      <c r="C1710" s="8" t="n">
        <v>46070.25</v>
      </c>
      <c r="D1710" s="9">
        <f>(C1710-B1710)*24</f>
        <v/>
      </c>
      <c r="E1710" s="10">
        <f>IF(AND(HOUR(B1710)&gt;=6,HOUR(B1710)&lt;18),"Day Shift","Night Shift")</f>
        <v/>
      </c>
      <c r="F1710" s="11">
        <f>INT(B1710)</f>
        <v/>
      </c>
      <c r="G1710" s="11">
        <f>INT(C1710)</f>
        <v/>
      </c>
    </row>
    <row r="1711">
      <c r="A1711" s="2" t="inlineStr">
        <is>
          <t>EXD55</t>
        </is>
      </c>
      <c r="B1711" s="3" t="n">
        <v>46070.25</v>
      </c>
      <c r="C1711" s="3" t="n">
        <v>46070.73662037037</v>
      </c>
      <c r="D1711" s="4">
        <f>(C1711-B1711)*24</f>
        <v/>
      </c>
      <c r="E1711" s="5">
        <f>IF(AND(HOUR(B1711)&gt;=6,HOUR(B1711)&lt;18),"Day Shift","Night Shift")</f>
        <v/>
      </c>
      <c r="F1711" s="6">
        <f>INT(B1711)</f>
        <v/>
      </c>
      <c r="G1711" s="6">
        <f>INT(C1711)</f>
        <v/>
      </c>
    </row>
    <row r="1712">
      <c r="A1712" s="7" t="inlineStr">
        <is>
          <t>EXD408</t>
        </is>
      </c>
      <c r="B1712" s="8" t="n">
        <v>46068.81605324074</v>
      </c>
      <c r="C1712" s="8" t="n">
        <v>46069.25</v>
      </c>
      <c r="D1712" s="9">
        <f>(C1712-B1712)*24</f>
        <v/>
      </c>
      <c r="E1712" s="10">
        <f>IF(AND(HOUR(B1712)&gt;=6,HOUR(B1712)&lt;18),"Day Shift","Night Shift")</f>
        <v/>
      </c>
      <c r="F1712" s="11">
        <f>INT(B1712)</f>
        <v/>
      </c>
      <c r="G1712" s="11">
        <f>INT(C1712)</f>
        <v/>
      </c>
    </row>
    <row r="1713">
      <c r="A1713" s="2" t="inlineStr">
        <is>
          <t>EXD408</t>
        </is>
      </c>
      <c r="B1713" s="3" t="n">
        <v>46069.25</v>
      </c>
      <c r="C1713" s="3" t="n">
        <v>46069.75</v>
      </c>
      <c r="D1713" s="4">
        <f>(C1713-B1713)*24</f>
        <v/>
      </c>
      <c r="E1713" s="5">
        <f>IF(AND(HOUR(B1713)&gt;=6,HOUR(B1713)&lt;18),"Day Shift","Night Shift")</f>
        <v/>
      </c>
      <c r="F1713" s="6">
        <f>INT(B1713)</f>
        <v/>
      </c>
      <c r="G1713" s="6">
        <f>INT(C1713)</f>
        <v/>
      </c>
    </row>
    <row r="1714">
      <c r="A1714" s="7" t="inlineStr">
        <is>
          <t>EXD408</t>
        </is>
      </c>
      <c r="B1714" s="8" t="n">
        <v>46069.75</v>
      </c>
      <c r="C1714" s="8" t="n">
        <v>46069.75225694444</v>
      </c>
      <c r="D1714" s="9">
        <f>(C1714-B1714)*24</f>
        <v/>
      </c>
      <c r="E1714" s="10">
        <f>IF(AND(HOUR(B1714)&gt;=6,HOUR(B1714)&lt;18),"Day Shift","Night Shift")</f>
        <v/>
      </c>
      <c r="F1714" s="11">
        <f>INT(B1714)</f>
        <v/>
      </c>
      <c r="G1714" s="11">
        <f>INT(C1714)</f>
        <v/>
      </c>
    </row>
    <row r="1715">
      <c r="A1715" s="7" t="inlineStr">
        <is>
          <t>EDD175;EDD2134;EDD812</t>
        </is>
      </c>
      <c r="B1715" s="8" t="n">
        <v>46068.82582175926</v>
      </c>
      <c r="C1715" s="8" t="n">
        <v>46069.25</v>
      </c>
      <c r="D1715" s="9">
        <f>(C1715-B1715)*24</f>
        <v/>
      </c>
      <c r="E1715" s="10">
        <f>IF(AND(HOUR(B1715)&gt;=6,HOUR(B1715)&lt;18),"Day Shift","Night Shift")</f>
        <v/>
      </c>
      <c r="F1715" s="11">
        <f>INT(B1715)</f>
        <v/>
      </c>
      <c r="G1715" s="11">
        <f>INT(C1715)</f>
        <v/>
      </c>
    </row>
    <row r="1716">
      <c r="A1716" s="2" t="inlineStr">
        <is>
          <t>EDD175;EDD2134;EDD812</t>
        </is>
      </c>
      <c r="B1716" s="3" t="n">
        <v>46069.25</v>
      </c>
      <c r="C1716" s="3" t="n">
        <v>46069.75</v>
      </c>
      <c r="D1716" s="4">
        <f>(C1716-B1716)*24</f>
        <v/>
      </c>
      <c r="E1716" s="5">
        <f>IF(AND(HOUR(B1716)&gt;=6,HOUR(B1716)&lt;18),"Day Shift","Night Shift")</f>
        <v/>
      </c>
      <c r="F1716" s="6">
        <f>INT(B1716)</f>
        <v/>
      </c>
      <c r="G1716" s="6">
        <f>INT(C1716)</f>
        <v/>
      </c>
    </row>
    <row r="1717">
      <c r="A1717" s="7" t="inlineStr">
        <is>
          <t>EDD175;EDD2134;EDD812</t>
        </is>
      </c>
      <c r="B1717" s="8" t="n">
        <v>46069.75</v>
      </c>
      <c r="C1717" s="8" t="n">
        <v>46069.95459490741</v>
      </c>
      <c r="D1717" s="9">
        <f>(C1717-B1717)*24</f>
        <v/>
      </c>
      <c r="E1717" s="10">
        <f>IF(AND(HOUR(B1717)&gt;=6,HOUR(B1717)&lt;18),"Day Shift","Night Shift")</f>
        <v/>
      </c>
      <c r="F1717" s="11">
        <f>INT(B1717)</f>
        <v/>
      </c>
      <c r="G1717" s="11">
        <f>INT(C1717)</f>
        <v/>
      </c>
    </row>
    <row r="1718">
      <c r="A1718" s="7" t="inlineStr">
        <is>
          <t>SHE36</t>
        </is>
      </c>
      <c r="B1718" s="8" t="n">
        <v>46068.86716435185</v>
      </c>
      <c r="C1718" s="8" t="n">
        <v>46069.25</v>
      </c>
      <c r="D1718" s="9">
        <f>(C1718-B1718)*24</f>
        <v/>
      </c>
      <c r="E1718" s="10">
        <f>IF(AND(HOUR(B1718)&gt;=6,HOUR(B1718)&lt;18),"Day Shift","Night Shift")</f>
        <v/>
      </c>
      <c r="F1718" s="11">
        <f>INT(B1718)</f>
        <v/>
      </c>
      <c r="G1718" s="11">
        <f>INT(C1718)</f>
        <v/>
      </c>
    </row>
    <row r="1719">
      <c r="A1719" s="2" t="inlineStr">
        <is>
          <t>SHE36</t>
        </is>
      </c>
      <c r="B1719" s="3" t="n">
        <v>46069.25</v>
      </c>
      <c r="C1719" s="3" t="n">
        <v>46069.75</v>
      </c>
      <c r="D1719" s="4">
        <f>(C1719-B1719)*24</f>
        <v/>
      </c>
      <c r="E1719" s="5">
        <f>IF(AND(HOUR(B1719)&gt;=6,HOUR(B1719)&lt;18),"Day Shift","Night Shift")</f>
        <v/>
      </c>
      <c r="F1719" s="6">
        <f>INT(B1719)</f>
        <v/>
      </c>
      <c r="G1719" s="6">
        <f>INT(C1719)</f>
        <v/>
      </c>
    </row>
    <row r="1720">
      <c r="A1720" s="7" t="inlineStr">
        <is>
          <t>SHE36</t>
        </is>
      </c>
      <c r="B1720" s="8" t="n">
        <v>46069.75</v>
      </c>
      <c r="C1720" s="8" t="n">
        <v>46069.7621875</v>
      </c>
      <c r="D1720" s="9">
        <f>(C1720-B1720)*24</f>
        <v/>
      </c>
      <c r="E1720" s="10">
        <f>IF(AND(HOUR(B1720)&gt;=6,HOUR(B1720)&lt;18),"Day Shift","Night Shift")</f>
        <v/>
      </c>
      <c r="F1720" s="11">
        <f>INT(B1720)</f>
        <v/>
      </c>
      <c r="G1720" s="11">
        <f>INT(C1720)</f>
        <v/>
      </c>
    </row>
    <row r="1721">
      <c r="A1721" s="7" t="inlineStr">
        <is>
          <t>EXD51</t>
        </is>
      </c>
      <c r="B1721" s="8" t="n">
        <v>46068.87019675926</v>
      </c>
      <c r="C1721" s="8" t="n">
        <v>46069.24052083334</v>
      </c>
      <c r="D1721" s="9">
        <f>(C1721-B1721)*24</f>
        <v/>
      </c>
      <c r="E1721" s="10">
        <f>IF(AND(HOUR(B1721)&gt;=6,HOUR(B1721)&lt;18),"Day Shift","Night Shift")</f>
        <v/>
      </c>
      <c r="F1721" s="11">
        <f>INT(B1721)</f>
        <v/>
      </c>
      <c r="G1721" s="11">
        <f>INT(C1721)</f>
        <v/>
      </c>
    </row>
    <row r="1722">
      <c r="A1722" s="7" t="inlineStr">
        <is>
          <t>EXD407</t>
        </is>
      </c>
      <c r="B1722" s="8" t="n">
        <v>46068.87096064815</v>
      </c>
      <c r="C1722" s="8" t="n">
        <v>46069.25</v>
      </c>
      <c r="D1722" s="9">
        <f>(C1722-B1722)*24</f>
        <v/>
      </c>
      <c r="E1722" s="10">
        <f>IF(AND(HOUR(B1722)&gt;=6,HOUR(B1722)&lt;18),"Day Shift","Night Shift")</f>
        <v/>
      </c>
      <c r="F1722" s="11">
        <f>INT(B1722)</f>
        <v/>
      </c>
      <c r="G1722" s="11">
        <f>INT(C1722)</f>
        <v/>
      </c>
    </row>
    <row r="1723">
      <c r="A1723" s="2" t="inlineStr">
        <is>
          <t>EXD407</t>
        </is>
      </c>
      <c r="B1723" s="3" t="n">
        <v>46069.25</v>
      </c>
      <c r="C1723" s="3" t="n">
        <v>46069.75</v>
      </c>
      <c r="D1723" s="4">
        <f>(C1723-B1723)*24</f>
        <v/>
      </c>
      <c r="E1723" s="5">
        <f>IF(AND(HOUR(B1723)&gt;=6,HOUR(B1723)&lt;18),"Day Shift","Night Shift")</f>
        <v/>
      </c>
      <c r="F1723" s="6">
        <f>INT(B1723)</f>
        <v/>
      </c>
      <c r="G1723" s="6">
        <f>INT(C1723)</f>
        <v/>
      </c>
    </row>
    <row r="1724">
      <c r="A1724" s="7" t="inlineStr">
        <is>
          <t>EXD407</t>
        </is>
      </c>
      <c r="B1724" s="8" t="n">
        <v>46069.75</v>
      </c>
      <c r="C1724" s="8" t="n">
        <v>46069.83420138889</v>
      </c>
      <c r="D1724" s="9">
        <f>(C1724-B1724)*24</f>
        <v/>
      </c>
      <c r="E1724" s="10">
        <f>IF(AND(HOUR(B1724)&gt;=6,HOUR(B1724)&lt;18),"Day Shift","Night Shift")</f>
        <v/>
      </c>
      <c r="F1724" s="11">
        <f>INT(B1724)</f>
        <v/>
      </c>
      <c r="G1724" s="11">
        <f>INT(C1724)</f>
        <v/>
      </c>
    </row>
    <row r="1725">
      <c r="A1725" s="7" t="inlineStr">
        <is>
          <t>EDD1932;EDD2541</t>
        </is>
      </c>
      <c r="B1725" s="8" t="n">
        <v>46069.08769675926</v>
      </c>
      <c r="C1725" s="8" t="n">
        <v>46069.25</v>
      </c>
      <c r="D1725" s="9">
        <f>(C1725-B1725)*24</f>
        <v/>
      </c>
      <c r="E1725" s="10">
        <f>IF(AND(HOUR(B1725)&gt;=6,HOUR(B1725)&lt;18),"Day Shift","Night Shift")</f>
        <v/>
      </c>
      <c r="F1725" s="11">
        <f>INT(B1725)</f>
        <v/>
      </c>
      <c r="G1725" s="11">
        <f>INT(C1725)</f>
        <v/>
      </c>
    </row>
    <row r="1726">
      <c r="A1726" s="2" t="inlineStr">
        <is>
          <t>EDD1932;EDD2541</t>
        </is>
      </c>
      <c r="B1726" s="3" t="n">
        <v>46069.25</v>
      </c>
      <c r="C1726" s="3" t="n">
        <v>46069.51321759259</v>
      </c>
      <c r="D1726" s="4">
        <f>(C1726-B1726)*24</f>
        <v/>
      </c>
      <c r="E1726" s="5">
        <f>IF(AND(HOUR(B1726)&gt;=6,HOUR(B1726)&lt;18),"Day Shift","Night Shift")</f>
        <v/>
      </c>
      <c r="F1726" s="6">
        <f>INT(B1726)</f>
        <v/>
      </c>
      <c r="G1726" s="6">
        <f>INT(C1726)</f>
        <v/>
      </c>
    </row>
    <row r="1727">
      <c r="A1727" s="7" t="inlineStr">
        <is>
          <t>EXD73</t>
        </is>
      </c>
      <c r="B1727" s="8" t="n">
        <v>46069.17234953704</v>
      </c>
      <c r="C1727" s="8" t="n">
        <v>46069.25</v>
      </c>
      <c r="D1727" s="9">
        <f>(C1727-B1727)*24</f>
        <v/>
      </c>
      <c r="E1727" s="10">
        <f>IF(AND(HOUR(B1727)&gt;=6,HOUR(B1727)&lt;18),"Day Shift","Night Shift")</f>
        <v/>
      </c>
      <c r="F1727" s="11">
        <f>INT(B1727)</f>
        <v/>
      </c>
      <c r="G1727" s="11">
        <f>INT(C1727)</f>
        <v/>
      </c>
    </row>
    <row r="1728">
      <c r="A1728" s="2" t="inlineStr">
        <is>
          <t>EXD73</t>
        </is>
      </c>
      <c r="B1728" s="3" t="n">
        <v>46069.25</v>
      </c>
      <c r="C1728" s="3" t="n">
        <v>46069.75</v>
      </c>
      <c r="D1728" s="4">
        <f>(C1728-B1728)*24</f>
        <v/>
      </c>
      <c r="E1728" s="5">
        <f>IF(AND(HOUR(B1728)&gt;=6,HOUR(B1728)&lt;18),"Day Shift","Night Shift")</f>
        <v/>
      </c>
      <c r="F1728" s="6">
        <f>INT(B1728)</f>
        <v/>
      </c>
      <c r="G1728" s="6">
        <f>INT(C1728)</f>
        <v/>
      </c>
    </row>
    <row r="1729">
      <c r="A1729" s="7" t="inlineStr">
        <is>
          <t>EXD73</t>
        </is>
      </c>
      <c r="B1729" s="8" t="n">
        <v>46069.75</v>
      </c>
      <c r="C1729" s="8" t="n">
        <v>46070.05142361111</v>
      </c>
      <c r="D1729" s="9">
        <f>(C1729-B1729)*24</f>
        <v/>
      </c>
      <c r="E1729" s="10">
        <f>IF(AND(HOUR(B1729)&gt;=6,HOUR(B1729)&lt;18),"Day Shift","Night Shift")</f>
        <v/>
      </c>
      <c r="F1729" s="11">
        <f>INT(B1729)</f>
        <v/>
      </c>
      <c r="G1729" s="11">
        <f>INT(C1729)</f>
        <v/>
      </c>
    </row>
    <row r="1730">
      <c r="A1730" s="7" t="inlineStr">
        <is>
          <t>EXD100</t>
        </is>
      </c>
      <c r="B1730" s="8" t="n">
        <v>46069.19201388889</v>
      </c>
      <c r="C1730" s="8" t="n">
        <v>46069.25</v>
      </c>
      <c r="D1730" s="9">
        <f>(C1730-B1730)*24</f>
        <v/>
      </c>
      <c r="E1730" s="10">
        <f>IF(AND(HOUR(B1730)&gt;=6,HOUR(B1730)&lt;18),"Day Shift","Night Shift")</f>
        <v/>
      </c>
      <c r="F1730" s="11">
        <f>INT(B1730)</f>
        <v/>
      </c>
      <c r="G1730" s="11">
        <f>INT(C1730)</f>
        <v/>
      </c>
    </row>
    <row r="1731">
      <c r="A1731" s="2" t="inlineStr">
        <is>
          <t>EXD100</t>
        </is>
      </c>
      <c r="B1731" s="3" t="n">
        <v>46069.25</v>
      </c>
      <c r="C1731" s="3" t="n">
        <v>46069.75</v>
      </c>
      <c r="D1731" s="4">
        <f>(C1731-B1731)*24</f>
        <v/>
      </c>
      <c r="E1731" s="5">
        <f>IF(AND(HOUR(B1731)&gt;=6,HOUR(B1731)&lt;18),"Day Shift","Night Shift")</f>
        <v/>
      </c>
      <c r="F1731" s="6">
        <f>INT(B1731)</f>
        <v/>
      </c>
      <c r="G1731" s="6">
        <f>INT(C1731)</f>
        <v/>
      </c>
    </row>
    <row r="1732">
      <c r="A1732" s="7" t="inlineStr">
        <is>
          <t>EXD100</t>
        </is>
      </c>
      <c r="B1732" s="8" t="n">
        <v>46069.75</v>
      </c>
      <c r="C1732" s="8" t="n">
        <v>46070.09788194444</v>
      </c>
      <c r="D1732" s="9">
        <f>(C1732-B1732)*24</f>
        <v/>
      </c>
      <c r="E1732" s="10">
        <f>IF(AND(HOUR(B1732)&gt;=6,HOUR(B1732)&lt;18),"Day Shift","Night Shift")</f>
        <v/>
      </c>
      <c r="F1732" s="11">
        <f>INT(B1732)</f>
        <v/>
      </c>
      <c r="G1732" s="11">
        <f>INT(C1732)</f>
        <v/>
      </c>
    </row>
    <row r="1733">
      <c r="A1733" s="7" t="inlineStr">
        <is>
          <t>EXD51</t>
        </is>
      </c>
      <c r="B1733" s="8" t="n">
        <v>46069.24052083334</v>
      </c>
      <c r="C1733" s="8" t="n">
        <v>46069.25</v>
      </c>
      <c r="D1733" s="9">
        <f>(C1733-B1733)*24</f>
        <v/>
      </c>
      <c r="E1733" s="10">
        <f>IF(AND(HOUR(B1733)&gt;=6,HOUR(B1733)&lt;18),"Day Shift","Night Shift")</f>
        <v/>
      </c>
      <c r="F1733" s="11">
        <f>INT(B1733)</f>
        <v/>
      </c>
      <c r="G1733" s="11">
        <f>INT(C1733)</f>
        <v/>
      </c>
    </row>
    <row r="1734">
      <c r="A1734" s="2" t="inlineStr">
        <is>
          <t>EXD51</t>
        </is>
      </c>
      <c r="B1734" s="3" t="n">
        <v>46069.25</v>
      </c>
      <c r="C1734" s="3" t="n">
        <v>46069.54577546296</v>
      </c>
      <c r="D1734" s="4">
        <f>(C1734-B1734)*24</f>
        <v/>
      </c>
      <c r="E1734" s="5">
        <f>IF(AND(HOUR(B1734)&gt;=6,HOUR(B1734)&lt;18),"Day Shift","Night Shift")</f>
        <v/>
      </c>
      <c r="F1734" s="6">
        <f>INT(B1734)</f>
        <v/>
      </c>
      <c r="G1734" s="6">
        <f>INT(C1734)</f>
        <v/>
      </c>
    </row>
    <row r="1735">
      <c r="A1735" s="2" t="inlineStr">
        <is>
          <t>EXD98</t>
        </is>
      </c>
      <c r="B1735" s="3" t="n">
        <v>46069.27836805556</v>
      </c>
      <c r="C1735" s="3" t="n">
        <v>46069.75</v>
      </c>
      <c r="D1735" s="4">
        <f>(C1735-B1735)*24</f>
        <v/>
      </c>
      <c r="E1735" s="5">
        <f>IF(AND(HOUR(B1735)&gt;=6,HOUR(B1735)&lt;18),"Day Shift","Night Shift")</f>
        <v/>
      </c>
      <c r="F1735" s="6">
        <f>INT(B1735)</f>
        <v/>
      </c>
      <c r="G1735" s="6">
        <f>INT(C1735)</f>
        <v/>
      </c>
    </row>
    <row r="1736">
      <c r="A1736" s="7" t="inlineStr">
        <is>
          <t>EXD98</t>
        </is>
      </c>
      <c r="B1736" s="8" t="n">
        <v>46069.75</v>
      </c>
      <c r="C1736" s="8" t="n">
        <v>46070.01883101852</v>
      </c>
      <c r="D1736" s="9">
        <f>(C1736-B1736)*24</f>
        <v/>
      </c>
      <c r="E1736" s="10">
        <f>IF(AND(HOUR(B1736)&gt;=6,HOUR(B1736)&lt;18),"Day Shift","Night Shift")</f>
        <v/>
      </c>
      <c r="F1736" s="11">
        <f>INT(B1736)</f>
        <v/>
      </c>
      <c r="G1736" s="11">
        <f>INT(C1736)</f>
        <v/>
      </c>
    </row>
    <row r="1737">
      <c r="A1737" s="2" t="inlineStr">
        <is>
          <t>EXD61</t>
        </is>
      </c>
      <c r="B1737" s="3" t="n">
        <v>46069.31680555556</v>
      </c>
      <c r="C1737" s="3" t="n">
        <v>46069.75</v>
      </c>
      <c r="D1737" s="4">
        <f>(C1737-B1737)*24</f>
        <v/>
      </c>
      <c r="E1737" s="5">
        <f>IF(AND(HOUR(B1737)&gt;=6,HOUR(B1737)&lt;18),"Day Shift","Night Shift")</f>
        <v/>
      </c>
      <c r="F1737" s="6">
        <f>INT(B1737)</f>
        <v/>
      </c>
      <c r="G1737" s="6">
        <f>INT(C1737)</f>
        <v/>
      </c>
    </row>
    <row r="1738">
      <c r="A1738" s="7" t="inlineStr">
        <is>
          <t>EXD61</t>
        </is>
      </c>
      <c r="B1738" s="8" t="n">
        <v>46069.75</v>
      </c>
      <c r="C1738" s="8" t="n">
        <v>46070.25</v>
      </c>
      <c r="D1738" s="9">
        <f>(C1738-B1738)*24</f>
        <v/>
      </c>
      <c r="E1738" s="10">
        <f>IF(AND(HOUR(B1738)&gt;=6,HOUR(B1738)&lt;18),"Day Shift","Night Shift")</f>
        <v/>
      </c>
      <c r="F1738" s="11">
        <f>INT(B1738)</f>
        <v/>
      </c>
      <c r="G1738" s="11">
        <f>INT(C1738)</f>
        <v/>
      </c>
    </row>
    <row r="1739">
      <c r="A1739" s="2" t="inlineStr">
        <is>
          <t>EXD61</t>
        </is>
      </c>
      <c r="B1739" s="3" t="n">
        <v>46070.25</v>
      </c>
      <c r="C1739" s="3" t="n">
        <v>46070.75</v>
      </c>
      <c r="D1739" s="4">
        <f>(C1739-B1739)*24</f>
        <v/>
      </c>
      <c r="E1739" s="5">
        <f>IF(AND(HOUR(B1739)&gt;=6,HOUR(B1739)&lt;18),"Day Shift","Night Shift")</f>
        <v/>
      </c>
      <c r="F1739" s="6">
        <f>INT(B1739)</f>
        <v/>
      </c>
      <c r="G1739" s="6">
        <f>INT(C1739)</f>
        <v/>
      </c>
    </row>
    <row r="1740">
      <c r="A1740" s="7" t="inlineStr">
        <is>
          <t>EXD61</t>
        </is>
      </c>
      <c r="B1740" s="8" t="n">
        <v>46070.75</v>
      </c>
      <c r="C1740" s="8" t="n">
        <v>46071.25</v>
      </c>
      <c r="D1740" s="9">
        <f>(C1740-B1740)*24</f>
        <v/>
      </c>
      <c r="E1740" s="10">
        <f>IF(AND(HOUR(B1740)&gt;=6,HOUR(B1740)&lt;18),"Day Shift","Night Shift")</f>
        <v/>
      </c>
      <c r="F1740" s="11">
        <f>INT(B1740)</f>
        <v/>
      </c>
      <c r="G1740" s="11">
        <f>INT(C1740)</f>
        <v/>
      </c>
    </row>
    <row r="1741">
      <c r="A1741" s="2" t="inlineStr">
        <is>
          <t>EXD61</t>
        </is>
      </c>
      <c r="B1741" s="3" t="n">
        <v>46071.25</v>
      </c>
      <c r="C1741" s="3" t="n">
        <v>46071.46940972222</v>
      </c>
      <c r="D1741" s="4">
        <f>(C1741-B1741)*24</f>
        <v/>
      </c>
      <c r="E1741" s="5">
        <f>IF(AND(HOUR(B1741)&gt;=6,HOUR(B1741)&lt;18),"Day Shift","Night Shift")</f>
        <v/>
      </c>
      <c r="F1741" s="6">
        <f>INT(B1741)</f>
        <v/>
      </c>
      <c r="G1741" s="6">
        <f>INT(C1741)</f>
        <v/>
      </c>
    </row>
    <row r="1742">
      <c r="A1742" s="2" t="inlineStr">
        <is>
          <t>Blast</t>
        </is>
      </c>
      <c r="B1742" s="3" t="n">
        <v>46069.45833333334</v>
      </c>
      <c r="C1742" s="3" t="n">
        <v>46069.45834490741</v>
      </c>
      <c r="D1742" s="4">
        <f>(C1742-B1742)*24</f>
        <v/>
      </c>
      <c r="E1742" s="5">
        <f>IF(AND(HOUR(B1742)&gt;=6,HOUR(B1742)&lt;18),"Day Shift","Night Shift")</f>
        <v/>
      </c>
      <c r="F1742" s="6">
        <f>INT(B1742)</f>
        <v/>
      </c>
      <c r="G1742" s="6">
        <f>INT(C1742)</f>
        <v/>
      </c>
    </row>
    <row r="1743">
      <c r="A1743" s="2" t="inlineStr">
        <is>
          <t>Blast</t>
        </is>
      </c>
      <c r="B1743" s="3" t="n">
        <v>46069.45834490741</v>
      </c>
      <c r="C1743" s="3" t="n">
        <v>46069.45841435185</v>
      </c>
      <c r="D1743" s="4">
        <f>(C1743-B1743)*24</f>
        <v/>
      </c>
      <c r="E1743" s="5">
        <f>IF(AND(HOUR(B1743)&gt;=6,HOUR(B1743)&lt;18),"Day Shift","Night Shift")</f>
        <v/>
      </c>
      <c r="F1743" s="6">
        <f>INT(B1743)</f>
        <v/>
      </c>
      <c r="G1743" s="6">
        <f>INT(C1743)</f>
        <v/>
      </c>
    </row>
    <row r="1744">
      <c r="A1744" s="2" t="inlineStr">
        <is>
          <t>Blast</t>
        </is>
      </c>
      <c r="B1744" s="3" t="n">
        <v>46069.45841435185</v>
      </c>
      <c r="C1744" s="3" t="n">
        <v>46069.45855324074</v>
      </c>
      <c r="D1744" s="4">
        <f>(C1744-B1744)*24</f>
        <v/>
      </c>
      <c r="E1744" s="5">
        <f>IF(AND(HOUR(B1744)&gt;=6,HOUR(B1744)&lt;18),"Day Shift","Night Shift")</f>
        <v/>
      </c>
      <c r="F1744" s="6">
        <f>INT(B1744)</f>
        <v/>
      </c>
      <c r="G1744" s="6">
        <f>INT(C1744)</f>
        <v/>
      </c>
    </row>
    <row r="1745">
      <c r="A1745" s="2" t="inlineStr">
        <is>
          <t>Blast</t>
        </is>
      </c>
      <c r="B1745" s="3" t="n">
        <v>46069.45855324074</v>
      </c>
      <c r="C1745" s="3" t="n">
        <v>46069.45872685185</v>
      </c>
      <c r="D1745" s="4">
        <f>(C1745-B1745)*24</f>
        <v/>
      </c>
      <c r="E1745" s="5">
        <f>IF(AND(HOUR(B1745)&gt;=6,HOUR(B1745)&lt;18),"Day Shift","Night Shift")</f>
        <v/>
      </c>
      <c r="F1745" s="6">
        <f>INT(B1745)</f>
        <v/>
      </c>
      <c r="G1745" s="6">
        <f>INT(C1745)</f>
        <v/>
      </c>
    </row>
    <row r="1746">
      <c r="A1746" s="2" t="inlineStr">
        <is>
          <t>Blast</t>
        </is>
      </c>
      <c r="B1746" s="3" t="n">
        <v>46069.45872685185</v>
      </c>
      <c r="C1746" s="3" t="n">
        <v>46069.45891203704</v>
      </c>
      <c r="D1746" s="4">
        <f>(C1746-B1746)*24</f>
        <v/>
      </c>
      <c r="E1746" s="5">
        <f>IF(AND(HOUR(B1746)&gt;=6,HOUR(B1746)&lt;18),"Day Shift","Night Shift")</f>
        <v/>
      </c>
      <c r="F1746" s="6">
        <f>INT(B1746)</f>
        <v/>
      </c>
      <c r="G1746" s="6">
        <f>INT(C1746)</f>
        <v/>
      </c>
    </row>
    <row r="1747">
      <c r="A1747" s="2" t="inlineStr">
        <is>
          <t>Blast</t>
        </is>
      </c>
      <c r="B1747" s="3" t="n">
        <v>46069.45891203704</v>
      </c>
      <c r="C1747" s="3" t="n">
        <v>46069.45909722222</v>
      </c>
      <c r="D1747" s="4">
        <f>(C1747-B1747)*24</f>
        <v/>
      </c>
      <c r="E1747" s="5">
        <f>IF(AND(HOUR(B1747)&gt;=6,HOUR(B1747)&lt;18),"Day Shift","Night Shift")</f>
        <v/>
      </c>
      <c r="F1747" s="6">
        <f>INT(B1747)</f>
        <v/>
      </c>
      <c r="G1747" s="6">
        <f>INT(C1747)</f>
        <v/>
      </c>
    </row>
    <row r="1748">
      <c r="A1748" s="2" t="inlineStr">
        <is>
          <t>Blast</t>
        </is>
      </c>
      <c r="B1748" s="3" t="n">
        <v>46069.45909722222</v>
      </c>
      <c r="C1748" s="3" t="n">
        <v>46069.45927083334</v>
      </c>
      <c r="D1748" s="4">
        <f>(C1748-B1748)*24</f>
        <v/>
      </c>
      <c r="E1748" s="5">
        <f>IF(AND(HOUR(B1748)&gt;=6,HOUR(B1748)&lt;18),"Day Shift","Night Shift")</f>
        <v/>
      </c>
      <c r="F1748" s="6">
        <f>INT(B1748)</f>
        <v/>
      </c>
      <c r="G1748" s="6">
        <f>INT(C1748)</f>
        <v/>
      </c>
    </row>
    <row r="1749">
      <c r="A1749" s="2" t="inlineStr">
        <is>
          <t>Blast</t>
        </is>
      </c>
      <c r="B1749" s="3" t="n">
        <v>46069.45927083334</v>
      </c>
      <c r="C1749" s="3" t="n">
        <v>46069.45943287037</v>
      </c>
      <c r="D1749" s="4">
        <f>(C1749-B1749)*24</f>
        <v/>
      </c>
      <c r="E1749" s="5">
        <f>IF(AND(HOUR(B1749)&gt;=6,HOUR(B1749)&lt;18),"Day Shift","Night Shift")</f>
        <v/>
      </c>
      <c r="F1749" s="6">
        <f>INT(B1749)</f>
        <v/>
      </c>
      <c r="G1749" s="6">
        <f>INT(C1749)</f>
        <v/>
      </c>
    </row>
    <row r="1750">
      <c r="A1750" s="2" t="inlineStr">
        <is>
          <t>Blast</t>
        </is>
      </c>
      <c r="B1750" s="3" t="n">
        <v>46069.45943287037</v>
      </c>
      <c r="C1750" s="3" t="n">
        <v>46069.45950231481</v>
      </c>
      <c r="D1750" s="4">
        <f>(C1750-B1750)*24</f>
        <v/>
      </c>
      <c r="E1750" s="5">
        <f>IF(AND(HOUR(B1750)&gt;=6,HOUR(B1750)&lt;18),"Day Shift","Night Shift")</f>
        <v/>
      </c>
      <c r="F1750" s="6">
        <f>INT(B1750)</f>
        <v/>
      </c>
      <c r="G1750" s="6">
        <f>INT(C1750)</f>
        <v/>
      </c>
    </row>
    <row r="1751">
      <c r="A1751" s="2" t="inlineStr">
        <is>
          <t>Blast</t>
        </is>
      </c>
      <c r="B1751" s="3" t="n">
        <v>46069.45950231481</v>
      </c>
      <c r="C1751" s="3" t="n">
        <v>46069.45951388889</v>
      </c>
      <c r="D1751" s="4">
        <f>(C1751-B1751)*24</f>
        <v/>
      </c>
      <c r="E1751" s="5">
        <f>IF(AND(HOUR(B1751)&gt;=6,HOUR(B1751)&lt;18),"Day Shift","Night Shift")</f>
        <v/>
      </c>
      <c r="F1751" s="6">
        <f>INT(B1751)</f>
        <v/>
      </c>
      <c r="G1751" s="6">
        <f>INT(C1751)</f>
        <v/>
      </c>
    </row>
    <row r="1752">
      <c r="A1752" s="2" t="inlineStr">
        <is>
          <t>Blast</t>
        </is>
      </c>
      <c r="B1752" s="3" t="n">
        <v>46069.45951388889</v>
      </c>
      <c r="C1752" s="3" t="n">
        <v>46069.45958333334</v>
      </c>
      <c r="D1752" s="4">
        <f>(C1752-B1752)*24</f>
        <v/>
      </c>
      <c r="E1752" s="5">
        <f>IF(AND(HOUR(B1752)&gt;=6,HOUR(B1752)&lt;18),"Day Shift","Night Shift")</f>
        <v/>
      </c>
      <c r="F1752" s="6">
        <f>INT(B1752)</f>
        <v/>
      </c>
      <c r="G1752" s="6">
        <f>INT(C1752)</f>
        <v/>
      </c>
    </row>
    <row r="1753">
      <c r="A1753" s="2" t="inlineStr">
        <is>
          <t>Blast</t>
        </is>
      </c>
      <c r="B1753" s="3" t="n">
        <v>46069.45958333334</v>
      </c>
      <c r="C1753" s="3" t="n">
        <v>46069.45972222222</v>
      </c>
      <c r="D1753" s="4">
        <f>(C1753-B1753)*24</f>
        <v/>
      </c>
      <c r="E1753" s="5">
        <f>IF(AND(HOUR(B1753)&gt;=6,HOUR(B1753)&lt;18),"Day Shift","Night Shift")</f>
        <v/>
      </c>
      <c r="F1753" s="6">
        <f>INT(B1753)</f>
        <v/>
      </c>
      <c r="G1753" s="6">
        <f>INT(C1753)</f>
        <v/>
      </c>
    </row>
    <row r="1754">
      <c r="A1754" s="2" t="inlineStr">
        <is>
          <t>Blast</t>
        </is>
      </c>
      <c r="B1754" s="3" t="n">
        <v>46069.45972222222</v>
      </c>
      <c r="C1754" s="3" t="n">
        <v>46069.45989583333</v>
      </c>
      <c r="D1754" s="4">
        <f>(C1754-B1754)*24</f>
        <v/>
      </c>
      <c r="E1754" s="5">
        <f>IF(AND(HOUR(B1754)&gt;=6,HOUR(B1754)&lt;18),"Day Shift","Night Shift")</f>
        <v/>
      </c>
      <c r="F1754" s="6">
        <f>INT(B1754)</f>
        <v/>
      </c>
      <c r="G1754" s="6">
        <f>INT(C1754)</f>
        <v/>
      </c>
    </row>
    <row r="1755">
      <c r="A1755" s="2" t="inlineStr">
        <is>
          <t>Blast</t>
        </is>
      </c>
      <c r="B1755" s="3" t="n">
        <v>46069.45989583333</v>
      </c>
      <c r="C1755" s="3" t="n">
        <v>46069.46005787037</v>
      </c>
      <c r="D1755" s="4">
        <f>(C1755-B1755)*24</f>
        <v/>
      </c>
      <c r="E1755" s="5">
        <f>IF(AND(HOUR(B1755)&gt;=6,HOUR(B1755)&lt;18),"Day Shift","Night Shift")</f>
        <v/>
      </c>
      <c r="F1755" s="6">
        <f>INT(B1755)</f>
        <v/>
      </c>
      <c r="G1755" s="6">
        <f>INT(C1755)</f>
        <v/>
      </c>
    </row>
    <row r="1756">
      <c r="A1756" s="2" t="inlineStr">
        <is>
          <t>Blast</t>
        </is>
      </c>
      <c r="B1756" s="3" t="n">
        <v>46069.46005787037</v>
      </c>
      <c r="C1756" s="3" t="n">
        <v>46069.46020833333</v>
      </c>
      <c r="D1756" s="4">
        <f>(C1756-B1756)*24</f>
        <v/>
      </c>
      <c r="E1756" s="5">
        <f>IF(AND(HOUR(B1756)&gt;=6,HOUR(B1756)&lt;18),"Day Shift","Night Shift")</f>
        <v/>
      </c>
      <c r="F1756" s="6">
        <f>INT(B1756)</f>
        <v/>
      </c>
      <c r="G1756" s="6">
        <f>INT(C1756)</f>
        <v/>
      </c>
    </row>
    <row r="1757">
      <c r="A1757" s="2" t="inlineStr">
        <is>
          <t>Blast</t>
        </is>
      </c>
      <c r="B1757" s="3" t="n">
        <v>46069.46020833333</v>
      </c>
      <c r="C1757" s="3" t="n">
        <v>46069.46030092592</v>
      </c>
      <c r="D1757" s="4">
        <f>(C1757-B1757)*24</f>
        <v/>
      </c>
      <c r="E1757" s="5">
        <f>IF(AND(HOUR(B1757)&gt;=6,HOUR(B1757)&lt;18),"Day Shift","Night Shift")</f>
        <v/>
      </c>
      <c r="F1757" s="6">
        <f>INT(B1757)</f>
        <v/>
      </c>
      <c r="G1757" s="6">
        <f>INT(C1757)</f>
        <v/>
      </c>
    </row>
    <row r="1758">
      <c r="A1758" s="2" t="inlineStr">
        <is>
          <t>Blast</t>
        </is>
      </c>
      <c r="B1758" s="3" t="n">
        <v>46069.46030092592</v>
      </c>
      <c r="C1758" s="3" t="n">
        <v>46069.46038194445</v>
      </c>
      <c r="D1758" s="4">
        <f>(C1758-B1758)*24</f>
        <v/>
      </c>
      <c r="E1758" s="5">
        <f>IF(AND(HOUR(B1758)&gt;=6,HOUR(B1758)&lt;18),"Day Shift","Night Shift")</f>
        <v/>
      </c>
      <c r="F1758" s="6">
        <f>INT(B1758)</f>
        <v/>
      </c>
      <c r="G1758" s="6">
        <f>INT(C1758)</f>
        <v/>
      </c>
    </row>
    <row r="1759">
      <c r="A1759" s="2" t="inlineStr">
        <is>
          <t>Blast</t>
        </is>
      </c>
      <c r="B1759" s="3" t="n">
        <v>46069.46038194445</v>
      </c>
      <c r="C1759" s="3" t="n">
        <v>46069.46042824074</v>
      </c>
      <c r="D1759" s="4">
        <f>(C1759-B1759)*24</f>
        <v/>
      </c>
      <c r="E1759" s="5">
        <f>IF(AND(HOUR(B1759)&gt;=6,HOUR(B1759)&lt;18),"Day Shift","Night Shift")</f>
        <v/>
      </c>
      <c r="F1759" s="6">
        <f>INT(B1759)</f>
        <v/>
      </c>
      <c r="G1759" s="6">
        <f>INT(C1759)</f>
        <v/>
      </c>
    </row>
    <row r="1760">
      <c r="A1760" s="2" t="inlineStr">
        <is>
          <t>Blast</t>
        </is>
      </c>
      <c r="B1760" s="3" t="n">
        <v>46069.46042824074</v>
      </c>
      <c r="C1760" s="3" t="n">
        <v>46069.46046296296</v>
      </c>
      <c r="D1760" s="4">
        <f>(C1760-B1760)*24</f>
        <v/>
      </c>
      <c r="E1760" s="5">
        <f>IF(AND(HOUR(B1760)&gt;=6,HOUR(B1760)&lt;18),"Day Shift","Night Shift")</f>
        <v/>
      </c>
      <c r="F1760" s="6">
        <f>INT(B1760)</f>
        <v/>
      </c>
      <c r="G1760" s="6">
        <f>INT(C1760)</f>
        <v/>
      </c>
    </row>
    <row r="1761">
      <c r="A1761" s="2" t="inlineStr">
        <is>
          <t>Blast</t>
        </is>
      </c>
      <c r="B1761" s="3" t="n">
        <v>46069.46046296296</v>
      </c>
      <c r="C1761" s="3" t="n">
        <v>46069.46059027778</v>
      </c>
      <c r="D1761" s="4">
        <f>(C1761-B1761)*24</f>
        <v/>
      </c>
      <c r="E1761" s="5">
        <f>IF(AND(HOUR(B1761)&gt;=6,HOUR(B1761)&lt;18),"Day Shift","Night Shift")</f>
        <v/>
      </c>
      <c r="F1761" s="6">
        <f>INT(B1761)</f>
        <v/>
      </c>
      <c r="G1761" s="6">
        <f>INT(C1761)</f>
        <v/>
      </c>
    </row>
    <row r="1762">
      <c r="A1762" s="2" t="inlineStr">
        <is>
          <t>Blast</t>
        </is>
      </c>
      <c r="B1762" s="3" t="n">
        <v>46069.46059027778</v>
      </c>
      <c r="C1762" s="3" t="n">
        <v>46069.46069444445</v>
      </c>
      <c r="D1762" s="4">
        <f>(C1762-B1762)*24</f>
        <v/>
      </c>
      <c r="E1762" s="5">
        <f>IF(AND(HOUR(B1762)&gt;=6,HOUR(B1762)&lt;18),"Day Shift","Night Shift")</f>
        <v/>
      </c>
      <c r="F1762" s="6">
        <f>INT(B1762)</f>
        <v/>
      </c>
      <c r="G1762" s="6">
        <f>INT(C1762)</f>
        <v/>
      </c>
    </row>
    <row r="1763">
      <c r="A1763" s="2" t="inlineStr">
        <is>
          <t>Blast</t>
        </is>
      </c>
      <c r="B1763" s="3" t="n">
        <v>46069.46069444445</v>
      </c>
      <c r="C1763" s="3" t="n">
        <v>46069.46077546296</v>
      </c>
      <c r="D1763" s="4">
        <f>(C1763-B1763)*24</f>
        <v/>
      </c>
      <c r="E1763" s="5">
        <f>IF(AND(HOUR(B1763)&gt;=6,HOUR(B1763)&lt;18),"Day Shift","Night Shift")</f>
        <v/>
      </c>
      <c r="F1763" s="6">
        <f>INT(B1763)</f>
        <v/>
      </c>
      <c r="G1763" s="6">
        <f>INT(C1763)</f>
        <v/>
      </c>
    </row>
    <row r="1764">
      <c r="A1764" s="2" t="inlineStr">
        <is>
          <t>Blast</t>
        </is>
      </c>
      <c r="B1764" s="3" t="n">
        <v>46069.46077546296</v>
      </c>
      <c r="C1764" s="3" t="n">
        <v>46069.46086805555</v>
      </c>
      <c r="D1764" s="4">
        <f>(C1764-B1764)*24</f>
        <v/>
      </c>
      <c r="E1764" s="5">
        <f>IF(AND(HOUR(B1764)&gt;=6,HOUR(B1764)&lt;18),"Day Shift","Night Shift")</f>
        <v/>
      </c>
      <c r="F1764" s="6">
        <f>INT(B1764)</f>
        <v/>
      </c>
      <c r="G1764" s="6">
        <f>INT(C1764)</f>
        <v/>
      </c>
    </row>
    <row r="1765">
      <c r="A1765" s="2" t="inlineStr">
        <is>
          <t>Blast</t>
        </is>
      </c>
      <c r="B1765" s="3" t="n">
        <v>46069.46086805555</v>
      </c>
      <c r="C1765" s="3" t="n">
        <v>46069.4609375</v>
      </c>
      <c r="D1765" s="4">
        <f>(C1765-B1765)*24</f>
        <v/>
      </c>
      <c r="E1765" s="5">
        <f>IF(AND(HOUR(B1765)&gt;=6,HOUR(B1765)&lt;18),"Day Shift","Night Shift")</f>
        <v/>
      </c>
      <c r="F1765" s="6">
        <f>INT(B1765)</f>
        <v/>
      </c>
      <c r="G1765" s="6">
        <f>INT(C1765)</f>
        <v/>
      </c>
    </row>
    <row r="1766">
      <c r="A1766" s="2" t="inlineStr">
        <is>
          <t>Blast</t>
        </is>
      </c>
      <c r="B1766" s="3" t="n">
        <v>46069.4609375</v>
      </c>
      <c r="C1766" s="3" t="n">
        <v>46069.46100694445</v>
      </c>
      <c r="D1766" s="4">
        <f>(C1766-B1766)*24</f>
        <v/>
      </c>
      <c r="E1766" s="5">
        <f>IF(AND(HOUR(B1766)&gt;=6,HOUR(B1766)&lt;18),"Day Shift","Night Shift")</f>
        <v/>
      </c>
      <c r="F1766" s="6">
        <f>INT(B1766)</f>
        <v/>
      </c>
      <c r="G1766" s="6">
        <f>INT(C1766)</f>
        <v/>
      </c>
    </row>
    <row r="1767">
      <c r="A1767" s="2" t="inlineStr">
        <is>
          <t>Blast</t>
        </is>
      </c>
      <c r="B1767" s="3" t="n">
        <v>46069.46100694445</v>
      </c>
      <c r="C1767" s="3" t="n">
        <v>46069.46106481482</v>
      </c>
      <c r="D1767" s="4">
        <f>(C1767-B1767)*24</f>
        <v/>
      </c>
      <c r="E1767" s="5">
        <f>IF(AND(HOUR(B1767)&gt;=6,HOUR(B1767)&lt;18),"Day Shift","Night Shift")</f>
        <v/>
      </c>
      <c r="F1767" s="6">
        <f>INT(B1767)</f>
        <v/>
      </c>
      <c r="G1767" s="6">
        <f>INT(C1767)</f>
        <v/>
      </c>
    </row>
    <row r="1768">
      <c r="A1768" s="2" t="inlineStr">
        <is>
          <t>Blast</t>
        </is>
      </c>
      <c r="B1768" s="3" t="n">
        <v>46069.46106481482</v>
      </c>
      <c r="C1768" s="3" t="n">
        <v>46069.46107638889</v>
      </c>
      <c r="D1768" s="4">
        <f>(C1768-B1768)*24</f>
        <v/>
      </c>
      <c r="E1768" s="5">
        <f>IF(AND(HOUR(B1768)&gt;=6,HOUR(B1768)&lt;18),"Day Shift","Night Shift")</f>
        <v/>
      </c>
      <c r="F1768" s="6">
        <f>INT(B1768)</f>
        <v/>
      </c>
      <c r="G1768" s="6">
        <f>INT(C1768)</f>
        <v/>
      </c>
    </row>
    <row r="1769">
      <c r="A1769" s="2" t="inlineStr">
        <is>
          <t>Blast</t>
        </is>
      </c>
      <c r="B1769" s="3" t="n">
        <v>46069.46107638889</v>
      </c>
      <c r="C1769" s="3" t="n">
        <v>46069.46111111111</v>
      </c>
      <c r="D1769" s="4">
        <f>(C1769-B1769)*24</f>
        <v/>
      </c>
      <c r="E1769" s="5">
        <f>IF(AND(HOUR(B1769)&gt;=6,HOUR(B1769)&lt;18),"Day Shift","Night Shift")</f>
        <v/>
      </c>
      <c r="F1769" s="6">
        <f>INT(B1769)</f>
        <v/>
      </c>
      <c r="G1769" s="6">
        <f>INT(C1769)</f>
        <v/>
      </c>
    </row>
    <row r="1770">
      <c r="A1770" s="2" t="inlineStr">
        <is>
          <t>Blast</t>
        </is>
      </c>
      <c r="B1770" s="3" t="n">
        <v>46069.46111111111</v>
      </c>
      <c r="C1770" s="3" t="n">
        <v>46069.46116898148</v>
      </c>
      <c r="D1770" s="4">
        <f>(C1770-B1770)*24</f>
        <v/>
      </c>
      <c r="E1770" s="5">
        <f>IF(AND(HOUR(B1770)&gt;=6,HOUR(B1770)&lt;18),"Day Shift","Night Shift")</f>
        <v/>
      </c>
      <c r="F1770" s="6">
        <f>INT(B1770)</f>
        <v/>
      </c>
      <c r="G1770" s="6">
        <f>INT(C1770)</f>
        <v/>
      </c>
    </row>
    <row r="1771">
      <c r="A1771" s="2" t="inlineStr">
        <is>
          <t>Blast</t>
        </is>
      </c>
      <c r="B1771" s="3" t="n">
        <v>46069.46116898148</v>
      </c>
      <c r="C1771" s="3" t="n">
        <v>46069.46122685185</v>
      </c>
      <c r="D1771" s="4">
        <f>(C1771-B1771)*24</f>
        <v/>
      </c>
      <c r="E1771" s="5">
        <f>IF(AND(HOUR(B1771)&gt;=6,HOUR(B1771)&lt;18),"Day Shift","Night Shift")</f>
        <v/>
      </c>
      <c r="F1771" s="6">
        <f>INT(B1771)</f>
        <v/>
      </c>
      <c r="G1771" s="6">
        <f>INT(C1771)</f>
        <v/>
      </c>
    </row>
    <row r="1772">
      <c r="A1772" s="2" t="inlineStr">
        <is>
          <t>Blast</t>
        </is>
      </c>
      <c r="B1772" s="3" t="n">
        <v>46069.46122685185</v>
      </c>
      <c r="C1772" s="3" t="n">
        <v>46069.46130787037</v>
      </c>
      <c r="D1772" s="4">
        <f>(C1772-B1772)*24</f>
        <v/>
      </c>
      <c r="E1772" s="5">
        <f>IF(AND(HOUR(B1772)&gt;=6,HOUR(B1772)&lt;18),"Day Shift","Night Shift")</f>
        <v/>
      </c>
      <c r="F1772" s="6">
        <f>INT(B1772)</f>
        <v/>
      </c>
      <c r="G1772" s="6">
        <f>INT(C1772)</f>
        <v/>
      </c>
    </row>
    <row r="1773">
      <c r="A1773" s="2" t="inlineStr">
        <is>
          <t>Blast</t>
        </is>
      </c>
      <c r="B1773" s="3" t="n">
        <v>46069.46130787037</v>
      </c>
      <c r="C1773" s="3" t="n">
        <v>46069.46136574074</v>
      </c>
      <c r="D1773" s="4">
        <f>(C1773-B1773)*24</f>
        <v/>
      </c>
      <c r="E1773" s="5">
        <f>IF(AND(HOUR(B1773)&gt;=6,HOUR(B1773)&lt;18),"Day Shift","Night Shift")</f>
        <v/>
      </c>
      <c r="F1773" s="6">
        <f>INT(B1773)</f>
        <v/>
      </c>
      <c r="G1773" s="6">
        <f>INT(C1773)</f>
        <v/>
      </c>
    </row>
    <row r="1774">
      <c r="A1774" s="2" t="inlineStr">
        <is>
          <t>Blast</t>
        </is>
      </c>
      <c r="B1774" s="3" t="n">
        <v>46069.46136574074</v>
      </c>
      <c r="C1774" s="3" t="n">
        <v>46069.46143518519</v>
      </c>
      <c r="D1774" s="4">
        <f>(C1774-B1774)*24</f>
        <v/>
      </c>
      <c r="E1774" s="5">
        <f>IF(AND(HOUR(B1774)&gt;=6,HOUR(B1774)&lt;18),"Day Shift","Night Shift")</f>
        <v/>
      </c>
      <c r="F1774" s="6">
        <f>INT(B1774)</f>
        <v/>
      </c>
      <c r="G1774" s="6">
        <f>INT(C1774)</f>
        <v/>
      </c>
    </row>
    <row r="1775">
      <c r="A1775" s="2" t="inlineStr">
        <is>
          <t>Blast</t>
        </is>
      </c>
      <c r="B1775" s="3" t="n">
        <v>46069.46143518519</v>
      </c>
      <c r="C1775" s="3" t="n">
        <v>46069.46149305555</v>
      </c>
      <c r="D1775" s="4">
        <f>(C1775-B1775)*24</f>
        <v/>
      </c>
      <c r="E1775" s="5">
        <f>IF(AND(HOUR(B1775)&gt;=6,HOUR(B1775)&lt;18),"Day Shift","Night Shift")</f>
        <v/>
      </c>
      <c r="F1775" s="6">
        <f>INT(B1775)</f>
        <v/>
      </c>
      <c r="G1775" s="6">
        <f>INT(C1775)</f>
        <v/>
      </c>
    </row>
    <row r="1776">
      <c r="A1776" s="2" t="inlineStr">
        <is>
          <t>Blast</t>
        </is>
      </c>
      <c r="B1776" s="3" t="n">
        <v>46069.46149305555</v>
      </c>
      <c r="C1776" s="3" t="n">
        <v>46069.46150462963</v>
      </c>
      <c r="D1776" s="4">
        <f>(C1776-B1776)*24</f>
        <v/>
      </c>
      <c r="E1776" s="5">
        <f>IF(AND(HOUR(B1776)&gt;=6,HOUR(B1776)&lt;18),"Day Shift","Night Shift")</f>
        <v/>
      </c>
      <c r="F1776" s="6">
        <f>INT(B1776)</f>
        <v/>
      </c>
      <c r="G1776" s="6">
        <f>INT(C1776)</f>
        <v/>
      </c>
    </row>
    <row r="1777">
      <c r="A1777" s="2" t="inlineStr">
        <is>
          <t>Blast</t>
        </is>
      </c>
      <c r="B1777" s="3" t="n">
        <v>46069.46150462963</v>
      </c>
      <c r="C1777" s="3" t="n">
        <v>46069.4615162037</v>
      </c>
      <c r="D1777" s="4">
        <f>(C1777-B1777)*24</f>
        <v/>
      </c>
      <c r="E1777" s="5">
        <f>IF(AND(HOUR(B1777)&gt;=6,HOUR(B1777)&lt;18),"Day Shift","Night Shift")</f>
        <v/>
      </c>
      <c r="F1777" s="6">
        <f>INT(B1777)</f>
        <v/>
      </c>
      <c r="G1777" s="6">
        <f>INT(C1777)</f>
        <v/>
      </c>
    </row>
    <row r="1778">
      <c r="A1778" s="2" t="inlineStr">
        <is>
          <t>Blast</t>
        </is>
      </c>
      <c r="B1778" s="3" t="n">
        <v>46069.4615162037</v>
      </c>
      <c r="C1778" s="3" t="n">
        <v>46069.46152777778</v>
      </c>
      <c r="D1778" s="4">
        <f>(C1778-B1778)*24</f>
        <v/>
      </c>
      <c r="E1778" s="5">
        <f>IF(AND(HOUR(B1778)&gt;=6,HOUR(B1778)&lt;18),"Day Shift","Night Shift")</f>
        <v/>
      </c>
      <c r="F1778" s="6">
        <f>INT(B1778)</f>
        <v/>
      </c>
      <c r="G1778" s="6">
        <f>INT(C1778)</f>
        <v/>
      </c>
    </row>
    <row r="1779">
      <c r="A1779" s="2" t="inlineStr">
        <is>
          <t>Blast</t>
        </is>
      </c>
      <c r="B1779" s="3" t="n">
        <v>46069.46152777778</v>
      </c>
      <c r="C1779" s="3" t="n">
        <v>46069.46153935185</v>
      </c>
      <c r="D1779" s="4">
        <f>(C1779-B1779)*24</f>
        <v/>
      </c>
      <c r="E1779" s="5">
        <f>IF(AND(HOUR(B1779)&gt;=6,HOUR(B1779)&lt;18),"Day Shift","Night Shift")</f>
        <v/>
      </c>
      <c r="F1779" s="6">
        <f>INT(B1779)</f>
        <v/>
      </c>
      <c r="G1779" s="6">
        <f>INT(C1779)</f>
        <v/>
      </c>
    </row>
    <row r="1780">
      <c r="A1780" s="2" t="inlineStr">
        <is>
          <t>Blast</t>
        </is>
      </c>
      <c r="B1780" s="3" t="n">
        <v>46069.46153935185</v>
      </c>
      <c r="C1780" s="3" t="n">
        <v>46069.46155092592</v>
      </c>
      <c r="D1780" s="4">
        <f>(C1780-B1780)*24</f>
        <v/>
      </c>
      <c r="E1780" s="5">
        <f>IF(AND(HOUR(B1780)&gt;=6,HOUR(B1780)&lt;18),"Day Shift","Night Shift")</f>
        <v/>
      </c>
      <c r="F1780" s="6">
        <f>INT(B1780)</f>
        <v/>
      </c>
      <c r="G1780" s="6">
        <f>INT(C1780)</f>
        <v/>
      </c>
    </row>
    <row r="1781">
      <c r="A1781" s="2" t="inlineStr">
        <is>
          <t>EDD1932;EDD2541</t>
        </is>
      </c>
      <c r="B1781" s="3" t="n">
        <v>46069.51321759259</v>
      </c>
      <c r="C1781" s="3" t="n">
        <v>46069.75</v>
      </c>
      <c r="D1781" s="4">
        <f>(C1781-B1781)*24</f>
        <v/>
      </c>
      <c r="E1781" s="5">
        <f>IF(AND(HOUR(B1781)&gt;=6,HOUR(B1781)&lt;18),"Day Shift","Night Shift")</f>
        <v/>
      </c>
      <c r="F1781" s="6">
        <f>INT(B1781)</f>
        <v/>
      </c>
      <c r="G1781" s="6">
        <f>INT(C1781)</f>
        <v/>
      </c>
    </row>
    <row r="1782">
      <c r="A1782" s="7" t="inlineStr">
        <is>
          <t>EDD1932;EDD2541</t>
        </is>
      </c>
      <c r="B1782" s="8" t="n">
        <v>46069.75</v>
      </c>
      <c r="C1782" s="8" t="n">
        <v>46069.93853009259</v>
      </c>
      <c r="D1782" s="9">
        <f>(C1782-B1782)*24</f>
        <v/>
      </c>
      <c r="E1782" s="10">
        <f>IF(AND(HOUR(B1782)&gt;=6,HOUR(B1782)&lt;18),"Day Shift","Night Shift")</f>
        <v/>
      </c>
      <c r="F1782" s="11">
        <f>INT(B1782)</f>
        <v/>
      </c>
      <c r="G1782" s="11">
        <f>INT(C1782)</f>
        <v/>
      </c>
    </row>
    <row r="1783">
      <c r="A1783" s="2" t="inlineStr">
        <is>
          <t>EXD51</t>
        </is>
      </c>
      <c r="B1783" s="3" t="n">
        <v>46069.54577546296</v>
      </c>
      <c r="C1783" s="3" t="n">
        <v>46069.75</v>
      </c>
      <c r="D1783" s="4">
        <f>(C1783-B1783)*24</f>
        <v/>
      </c>
      <c r="E1783" s="5">
        <f>IF(AND(HOUR(B1783)&gt;=6,HOUR(B1783)&lt;18),"Day Shift","Night Shift")</f>
        <v/>
      </c>
      <c r="F1783" s="6">
        <f>INT(B1783)</f>
        <v/>
      </c>
      <c r="G1783" s="6">
        <f>INT(C1783)</f>
        <v/>
      </c>
    </row>
    <row r="1784">
      <c r="A1784" s="7" t="inlineStr">
        <is>
          <t>EXD51</t>
        </is>
      </c>
      <c r="B1784" s="8" t="n">
        <v>46069.75</v>
      </c>
      <c r="C1784" s="8" t="n">
        <v>46069.76895833333</v>
      </c>
      <c r="D1784" s="9">
        <f>(C1784-B1784)*24</f>
        <v/>
      </c>
      <c r="E1784" s="10">
        <f>IF(AND(HOUR(B1784)&gt;=6,HOUR(B1784)&lt;18),"Day Shift","Night Shift")</f>
        <v/>
      </c>
      <c r="F1784" s="11">
        <f>INT(B1784)</f>
        <v/>
      </c>
      <c r="G1784" s="11">
        <f>INT(C1784)</f>
        <v/>
      </c>
    </row>
    <row r="1785">
      <c r="A1785" s="2" t="inlineStr">
        <is>
          <t>EXD101</t>
        </is>
      </c>
      <c r="B1785" s="3" t="n">
        <v>46069.69043981482</v>
      </c>
      <c r="C1785" s="3" t="n">
        <v>46069.75</v>
      </c>
      <c r="D1785" s="4">
        <f>(C1785-B1785)*24</f>
        <v/>
      </c>
      <c r="E1785" s="5">
        <f>IF(AND(HOUR(B1785)&gt;=6,HOUR(B1785)&lt;18),"Day Shift","Night Shift")</f>
        <v/>
      </c>
      <c r="F1785" s="6">
        <f>INT(B1785)</f>
        <v/>
      </c>
      <c r="G1785" s="6">
        <f>INT(C1785)</f>
        <v/>
      </c>
    </row>
    <row r="1786">
      <c r="A1786" s="7" t="inlineStr">
        <is>
          <t>EXD101</t>
        </is>
      </c>
      <c r="B1786" s="8" t="n">
        <v>46069.75</v>
      </c>
      <c r="C1786" s="8" t="n">
        <v>46069.87375</v>
      </c>
      <c r="D1786" s="9">
        <f>(C1786-B1786)*24</f>
        <v/>
      </c>
      <c r="E1786" s="10">
        <f>IF(AND(HOUR(B1786)&gt;=6,HOUR(B1786)&lt;18),"Day Shift","Night Shift")</f>
        <v/>
      </c>
      <c r="F1786" s="11">
        <f>INT(B1786)</f>
        <v/>
      </c>
      <c r="G1786" s="11">
        <f>INT(C1786)</f>
        <v/>
      </c>
    </row>
    <row r="1787">
      <c r="A1787" s="2" t="inlineStr">
        <is>
          <t>DRE08</t>
        </is>
      </c>
      <c r="B1787" s="3" t="n">
        <v>46069.70081018518</v>
      </c>
      <c r="C1787" s="3" t="n">
        <v>46069.75</v>
      </c>
      <c r="D1787" s="4">
        <f>(C1787-B1787)*24</f>
        <v/>
      </c>
      <c r="E1787" s="5">
        <f>IF(AND(HOUR(B1787)&gt;=6,HOUR(B1787)&lt;18),"Day Shift","Night Shift")</f>
        <v/>
      </c>
      <c r="F1787" s="6">
        <f>INT(B1787)</f>
        <v/>
      </c>
      <c r="G1787" s="6">
        <f>INT(C1787)</f>
        <v/>
      </c>
    </row>
    <row r="1788">
      <c r="A1788" s="7" t="inlineStr">
        <is>
          <t>DRE08</t>
        </is>
      </c>
      <c r="B1788" s="8" t="n">
        <v>46069.75</v>
      </c>
      <c r="C1788" s="8" t="n">
        <v>46070.25</v>
      </c>
      <c r="D1788" s="9">
        <f>(C1788-B1788)*24</f>
        <v/>
      </c>
      <c r="E1788" s="10">
        <f>IF(AND(HOUR(B1788)&gt;=6,HOUR(B1788)&lt;18),"Day Shift","Night Shift")</f>
        <v/>
      </c>
      <c r="F1788" s="11">
        <f>INT(B1788)</f>
        <v/>
      </c>
      <c r="G1788" s="11">
        <f>INT(C1788)</f>
        <v/>
      </c>
    </row>
    <row r="1789">
      <c r="A1789" s="2" t="inlineStr">
        <is>
          <t>DRE08</t>
        </is>
      </c>
      <c r="B1789" s="3" t="n">
        <v>46070.25</v>
      </c>
      <c r="C1789" s="3" t="n">
        <v>46070.75</v>
      </c>
      <c r="D1789" s="4">
        <f>(C1789-B1789)*24</f>
        <v/>
      </c>
      <c r="E1789" s="5">
        <f>IF(AND(HOUR(B1789)&gt;=6,HOUR(B1789)&lt;18),"Day Shift","Night Shift")</f>
        <v/>
      </c>
      <c r="F1789" s="6">
        <f>INT(B1789)</f>
        <v/>
      </c>
      <c r="G1789" s="6">
        <f>INT(C1789)</f>
        <v/>
      </c>
    </row>
    <row r="1790">
      <c r="A1790" s="7" t="inlineStr">
        <is>
          <t>DRE08</t>
        </is>
      </c>
      <c r="B1790" s="8" t="n">
        <v>46070.75</v>
      </c>
      <c r="C1790" s="8" t="n">
        <v>46071.25</v>
      </c>
      <c r="D1790" s="9">
        <f>(C1790-B1790)*24</f>
        <v/>
      </c>
      <c r="E1790" s="10">
        <f>IF(AND(HOUR(B1790)&gt;=6,HOUR(B1790)&lt;18),"Day Shift","Night Shift")</f>
        <v/>
      </c>
      <c r="F1790" s="11">
        <f>INT(B1790)</f>
        <v/>
      </c>
      <c r="G1790" s="11">
        <f>INT(C1790)</f>
        <v/>
      </c>
    </row>
    <row r="1791">
      <c r="A1791" s="2" t="inlineStr">
        <is>
          <t>DRE08</t>
        </is>
      </c>
      <c r="B1791" s="3" t="n">
        <v>46071.25</v>
      </c>
      <c r="C1791" s="3" t="n">
        <v>46071.75</v>
      </c>
      <c r="D1791" s="4">
        <f>(C1791-B1791)*24</f>
        <v/>
      </c>
      <c r="E1791" s="5">
        <f>IF(AND(HOUR(B1791)&gt;=6,HOUR(B1791)&lt;18),"Day Shift","Night Shift")</f>
        <v/>
      </c>
      <c r="F1791" s="6">
        <f>INT(B1791)</f>
        <v/>
      </c>
      <c r="G1791" s="6">
        <f>INT(C1791)</f>
        <v/>
      </c>
    </row>
    <row r="1792">
      <c r="A1792" s="7" t="inlineStr">
        <is>
          <t>DRE08</t>
        </is>
      </c>
      <c r="B1792" s="8" t="n">
        <v>46071.75</v>
      </c>
      <c r="C1792" s="8" t="n">
        <v>46072.25</v>
      </c>
      <c r="D1792" s="9">
        <f>(C1792-B1792)*24</f>
        <v/>
      </c>
      <c r="E1792" s="10">
        <f>IF(AND(HOUR(B1792)&gt;=6,HOUR(B1792)&lt;18),"Day Shift","Night Shift")</f>
        <v/>
      </c>
      <c r="F1792" s="11">
        <f>INT(B1792)</f>
        <v/>
      </c>
      <c r="G1792" s="11">
        <f>INT(C1792)</f>
        <v/>
      </c>
    </row>
    <row r="1793">
      <c r="A1793" s="2" t="inlineStr">
        <is>
          <t>DRE08</t>
        </is>
      </c>
      <c r="B1793" s="3" t="n">
        <v>46072.25</v>
      </c>
      <c r="C1793" s="3" t="n">
        <v>46072.75</v>
      </c>
      <c r="D1793" s="4">
        <f>(C1793-B1793)*24</f>
        <v/>
      </c>
      <c r="E1793" s="5">
        <f>IF(AND(HOUR(B1793)&gt;=6,HOUR(B1793)&lt;18),"Day Shift","Night Shift")</f>
        <v/>
      </c>
      <c r="F1793" s="6">
        <f>INT(B1793)</f>
        <v/>
      </c>
      <c r="G1793" s="6">
        <f>INT(C1793)</f>
        <v/>
      </c>
    </row>
    <row r="1794">
      <c r="A1794" s="7" t="inlineStr">
        <is>
          <t>DRE08</t>
        </is>
      </c>
      <c r="B1794" s="8" t="n">
        <v>46072.75</v>
      </c>
      <c r="C1794" s="8" t="n">
        <v>46073.25</v>
      </c>
      <c r="D1794" s="9">
        <f>(C1794-B1794)*24</f>
        <v/>
      </c>
      <c r="E1794" s="10">
        <f>IF(AND(HOUR(B1794)&gt;=6,HOUR(B1794)&lt;18),"Day Shift","Night Shift")</f>
        <v/>
      </c>
      <c r="F1794" s="11">
        <f>INT(B1794)</f>
        <v/>
      </c>
      <c r="G1794" s="11">
        <f>INT(C1794)</f>
        <v/>
      </c>
    </row>
    <row r="1795">
      <c r="A1795" s="2" t="inlineStr">
        <is>
          <t>DRE08</t>
        </is>
      </c>
      <c r="B1795" s="3" t="n">
        <v>46073.25</v>
      </c>
      <c r="C1795" s="3" t="n">
        <v>46073.75</v>
      </c>
      <c r="D1795" s="4">
        <f>(C1795-B1795)*24</f>
        <v/>
      </c>
      <c r="E1795" s="5">
        <f>IF(AND(HOUR(B1795)&gt;=6,HOUR(B1795)&lt;18),"Day Shift","Night Shift")</f>
        <v/>
      </c>
      <c r="F1795" s="6">
        <f>INT(B1795)</f>
        <v/>
      </c>
      <c r="G1795" s="6">
        <f>INT(C1795)</f>
        <v/>
      </c>
    </row>
    <row r="1796">
      <c r="A1796" s="7" t="inlineStr">
        <is>
          <t>DRE08</t>
        </is>
      </c>
      <c r="B1796" s="8" t="n">
        <v>46073.75</v>
      </c>
      <c r="C1796" s="8" t="n">
        <v>46074.25</v>
      </c>
      <c r="D1796" s="9">
        <f>(C1796-B1796)*24</f>
        <v/>
      </c>
      <c r="E1796" s="10">
        <f>IF(AND(HOUR(B1796)&gt;=6,HOUR(B1796)&lt;18),"Day Shift","Night Shift")</f>
        <v/>
      </c>
      <c r="F1796" s="11">
        <f>INT(B1796)</f>
        <v/>
      </c>
      <c r="G1796" s="11">
        <f>INT(C1796)</f>
        <v/>
      </c>
    </row>
    <row r="1797">
      <c r="A1797" s="2" t="inlineStr">
        <is>
          <t>DRE08</t>
        </is>
      </c>
      <c r="B1797" s="3" t="n">
        <v>46074.25</v>
      </c>
      <c r="C1797" s="3" t="n">
        <v>46074.75</v>
      </c>
      <c r="D1797" s="4">
        <f>(C1797-B1797)*24</f>
        <v/>
      </c>
      <c r="E1797" s="5">
        <f>IF(AND(HOUR(B1797)&gt;=6,HOUR(B1797)&lt;18),"Day Shift","Night Shift")</f>
        <v/>
      </c>
      <c r="F1797" s="6">
        <f>INT(B1797)</f>
        <v/>
      </c>
      <c r="G1797" s="6">
        <f>INT(C1797)</f>
        <v/>
      </c>
    </row>
    <row r="1798">
      <c r="A1798" s="7" t="inlineStr">
        <is>
          <t>DRE08</t>
        </is>
      </c>
      <c r="B1798" s="8" t="n">
        <v>46074.75</v>
      </c>
      <c r="C1798" s="8" t="n">
        <v>46075.25</v>
      </c>
      <c r="D1798" s="9">
        <f>(C1798-B1798)*24</f>
        <v/>
      </c>
      <c r="E1798" s="10">
        <f>IF(AND(HOUR(B1798)&gt;=6,HOUR(B1798)&lt;18),"Day Shift","Night Shift")</f>
        <v/>
      </c>
      <c r="F1798" s="11">
        <f>INT(B1798)</f>
        <v/>
      </c>
      <c r="G1798" s="11">
        <f>INT(C1798)</f>
        <v/>
      </c>
    </row>
    <row r="1799">
      <c r="A1799" s="2" t="inlineStr">
        <is>
          <t>DRE08</t>
        </is>
      </c>
      <c r="B1799" s="3" t="n">
        <v>46075.25</v>
      </c>
      <c r="C1799" s="3" t="n">
        <v>46075.75</v>
      </c>
      <c r="D1799" s="4">
        <f>(C1799-B1799)*24</f>
        <v/>
      </c>
      <c r="E1799" s="5">
        <f>IF(AND(HOUR(B1799)&gt;=6,HOUR(B1799)&lt;18),"Day Shift","Night Shift")</f>
        <v/>
      </c>
      <c r="F1799" s="6">
        <f>INT(B1799)</f>
        <v/>
      </c>
      <c r="G1799" s="6">
        <f>INT(C1799)</f>
        <v/>
      </c>
    </row>
    <row r="1800">
      <c r="A1800" s="7" t="inlineStr">
        <is>
          <t>DRE08</t>
        </is>
      </c>
      <c r="B1800" s="8" t="n">
        <v>46075.75</v>
      </c>
      <c r="C1800" s="8" t="n">
        <v>46076.25</v>
      </c>
      <c r="D1800" s="9">
        <f>(C1800-B1800)*24</f>
        <v/>
      </c>
      <c r="E1800" s="10">
        <f>IF(AND(HOUR(B1800)&gt;=6,HOUR(B1800)&lt;18),"Day Shift","Night Shift")</f>
        <v/>
      </c>
      <c r="F1800" s="11">
        <f>INT(B1800)</f>
        <v/>
      </c>
      <c r="G1800" s="11">
        <f>INT(C1800)</f>
        <v/>
      </c>
    </row>
    <row r="1801">
      <c r="A1801" s="2" t="inlineStr">
        <is>
          <t>DRE08</t>
        </is>
      </c>
      <c r="B1801" s="3" t="n">
        <v>46076.25</v>
      </c>
      <c r="C1801" s="3" t="n">
        <v>46076.75</v>
      </c>
      <c r="D1801" s="4">
        <f>(C1801-B1801)*24</f>
        <v/>
      </c>
      <c r="E1801" s="5">
        <f>IF(AND(HOUR(B1801)&gt;=6,HOUR(B1801)&lt;18),"Day Shift","Night Shift")</f>
        <v/>
      </c>
      <c r="F1801" s="6">
        <f>INT(B1801)</f>
        <v/>
      </c>
      <c r="G1801" s="6">
        <f>INT(C1801)</f>
        <v/>
      </c>
    </row>
    <row r="1802">
      <c r="A1802" s="7" t="inlineStr">
        <is>
          <t>DRE08</t>
        </is>
      </c>
      <c r="B1802" s="8" t="n">
        <v>46076.75</v>
      </c>
      <c r="C1802" s="8" t="n">
        <v>46077.25</v>
      </c>
      <c r="D1802" s="9">
        <f>(C1802-B1802)*24</f>
        <v/>
      </c>
      <c r="E1802" s="10">
        <f>IF(AND(HOUR(B1802)&gt;=6,HOUR(B1802)&lt;18),"Day Shift","Night Shift")</f>
        <v/>
      </c>
      <c r="F1802" s="11">
        <f>INT(B1802)</f>
        <v/>
      </c>
      <c r="G1802" s="11">
        <f>INT(C1802)</f>
        <v/>
      </c>
    </row>
    <row r="1803">
      <c r="A1803" s="2" t="inlineStr">
        <is>
          <t>DRE08</t>
        </is>
      </c>
      <c r="B1803" s="3" t="n">
        <v>46077.25</v>
      </c>
      <c r="C1803" s="3" t="n">
        <v>46077.64045138889</v>
      </c>
      <c r="D1803" s="4">
        <f>(C1803-B1803)*24</f>
        <v/>
      </c>
      <c r="E1803" s="5">
        <f>IF(AND(HOUR(B1803)&gt;=6,HOUR(B1803)&lt;18),"Day Shift","Night Shift")</f>
        <v/>
      </c>
      <c r="F1803" s="6">
        <f>INT(B1803)</f>
        <v/>
      </c>
      <c r="G1803" s="6">
        <f>INT(C1803)</f>
        <v/>
      </c>
    </row>
    <row r="1804">
      <c r="A1804" s="2" t="inlineStr">
        <is>
          <t>LDW265</t>
        </is>
      </c>
      <c r="B1804" s="3" t="n">
        <v>46069.70840277777</v>
      </c>
      <c r="C1804" s="3" t="n">
        <v>46069.75</v>
      </c>
      <c r="D1804" s="4">
        <f>(C1804-B1804)*24</f>
        <v/>
      </c>
      <c r="E1804" s="5">
        <f>IF(AND(HOUR(B1804)&gt;=6,HOUR(B1804)&lt;18),"Day Shift","Night Shift")</f>
        <v/>
      </c>
      <c r="F1804" s="6">
        <f>INT(B1804)</f>
        <v/>
      </c>
      <c r="G1804" s="6">
        <f>INT(C1804)</f>
        <v/>
      </c>
    </row>
    <row r="1805">
      <c r="A1805" s="7" t="inlineStr">
        <is>
          <t>LDW265</t>
        </is>
      </c>
      <c r="B1805" s="8" t="n">
        <v>46069.75</v>
      </c>
      <c r="C1805" s="8" t="n">
        <v>46070.25</v>
      </c>
      <c r="D1805" s="9">
        <f>(C1805-B1805)*24</f>
        <v/>
      </c>
      <c r="E1805" s="10">
        <f>IF(AND(HOUR(B1805)&gt;=6,HOUR(B1805)&lt;18),"Day Shift","Night Shift")</f>
        <v/>
      </c>
      <c r="F1805" s="11">
        <f>INT(B1805)</f>
        <v/>
      </c>
      <c r="G1805" s="11">
        <f>INT(C1805)</f>
        <v/>
      </c>
    </row>
    <row r="1806">
      <c r="A1806" s="2" t="inlineStr">
        <is>
          <t>LDW265</t>
        </is>
      </c>
      <c r="B1806" s="3" t="n">
        <v>46070.25</v>
      </c>
      <c r="C1806" s="3" t="n">
        <v>46070.75</v>
      </c>
      <c r="D1806" s="4">
        <f>(C1806-B1806)*24</f>
        <v/>
      </c>
      <c r="E1806" s="5">
        <f>IF(AND(HOUR(B1806)&gt;=6,HOUR(B1806)&lt;18),"Day Shift","Night Shift")</f>
        <v/>
      </c>
      <c r="F1806" s="6">
        <f>INT(B1806)</f>
        <v/>
      </c>
      <c r="G1806" s="6">
        <f>INT(C1806)</f>
        <v/>
      </c>
    </row>
    <row r="1807">
      <c r="A1807" s="7" t="inlineStr">
        <is>
          <t>LDW265</t>
        </is>
      </c>
      <c r="B1807" s="8" t="n">
        <v>46070.75</v>
      </c>
      <c r="C1807" s="8" t="n">
        <v>46070.87020833333</v>
      </c>
      <c r="D1807" s="9">
        <f>(C1807-B1807)*24</f>
        <v/>
      </c>
      <c r="E1807" s="10">
        <f>IF(AND(HOUR(B1807)&gt;=6,HOUR(B1807)&lt;18),"Day Shift","Night Shift")</f>
        <v/>
      </c>
      <c r="F1807" s="11">
        <f>INT(B1807)</f>
        <v/>
      </c>
      <c r="G1807" s="11">
        <f>INT(C1807)</f>
        <v/>
      </c>
    </row>
    <row r="1808">
      <c r="A1808" s="7" t="inlineStr">
        <is>
          <t>EXD408</t>
        </is>
      </c>
      <c r="B1808" s="8" t="n">
        <v>46069.75225694444</v>
      </c>
      <c r="C1808" s="8" t="n">
        <v>46070.25</v>
      </c>
      <c r="D1808" s="9">
        <f>(C1808-B1808)*24</f>
        <v/>
      </c>
      <c r="E1808" s="10">
        <f>IF(AND(HOUR(B1808)&gt;=6,HOUR(B1808)&lt;18),"Day Shift","Night Shift")</f>
        <v/>
      </c>
      <c r="F1808" s="11">
        <f>INT(B1808)</f>
        <v/>
      </c>
      <c r="G1808" s="11">
        <f>INT(C1808)</f>
        <v/>
      </c>
    </row>
    <row r="1809">
      <c r="A1809" s="2" t="inlineStr">
        <is>
          <t>EXD408</t>
        </is>
      </c>
      <c r="B1809" s="3" t="n">
        <v>46070.25</v>
      </c>
      <c r="C1809" s="3" t="n">
        <v>46070.75</v>
      </c>
      <c r="D1809" s="4">
        <f>(C1809-B1809)*24</f>
        <v/>
      </c>
      <c r="E1809" s="5">
        <f>IF(AND(HOUR(B1809)&gt;=6,HOUR(B1809)&lt;18),"Day Shift","Night Shift")</f>
        <v/>
      </c>
      <c r="F1809" s="6">
        <f>INT(B1809)</f>
        <v/>
      </c>
      <c r="G1809" s="6">
        <f>INT(C1809)</f>
        <v/>
      </c>
    </row>
    <row r="1810">
      <c r="A1810" s="7" t="inlineStr">
        <is>
          <t>EXD408</t>
        </is>
      </c>
      <c r="B1810" s="8" t="n">
        <v>46070.75</v>
      </c>
      <c r="C1810" s="8" t="n">
        <v>46070.82072916667</v>
      </c>
      <c r="D1810" s="9">
        <f>(C1810-B1810)*24</f>
        <v/>
      </c>
      <c r="E1810" s="10">
        <f>IF(AND(HOUR(B1810)&gt;=6,HOUR(B1810)&lt;18),"Day Shift","Night Shift")</f>
        <v/>
      </c>
      <c r="F1810" s="11">
        <f>INT(B1810)</f>
        <v/>
      </c>
      <c r="G1810" s="11">
        <f>INT(C1810)</f>
        <v/>
      </c>
    </row>
    <row r="1811">
      <c r="A1811" s="7" t="inlineStr">
        <is>
          <t>EXD51</t>
        </is>
      </c>
      <c r="B1811" s="8" t="n">
        <v>46069.76895833333</v>
      </c>
      <c r="C1811" s="8" t="n">
        <v>46070.25</v>
      </c>
      <c r="D1811" s="9">
        <f>(C1811-B1811)*24</f>
        <v/>
      </c>
      <c r="E1811" s="10">
        <f>IF(AND(HOUR(B1811)&gt;=6,HOUR(B1811)&lt;18),"Day Shift","Night Shift")</f>
        <v/>
      </c>
      <c r="F1811" s="11">
        <f>INT(B1811)</f>
        <v/>
      </c>
      <c r="G1811" s="11">
        <f>INT(C1811)</f>
        <v/>
      </c>
    </row>
    <row r="1812">
      <c r="A1812" s="2" t="inlineStr">
        <is>
          <t>EXD51</t>
        </is>
      </c>
      <c r="B1812" s="3" t="n">
        <v>46070.25</v>
      </c>
      <c r="C1812" s="3" t="n">
        <v>46070.41927083334</v>
      </c>
      <c r="D1812" s="4">
        <f>(C1812-B1812)*24</f>
        <v/>
      </c>
      <c r="E1812" s="5">
        <f>IF(AND(HOUR(B1812)&gt;=6,HOUR(B1812)&lt;18),"Day Shift","Night Shift")</f>
        <v/>
      </c>
      <c r="F1812" s="6">
        <f>INT(B1812)</f>
        <v/>
      </c>
      <c r="G1812" s="6">
        <f>INT(C1812)</f>
        <v/>
      </c>
    </row>
    <row r="1813">
      <c r="A1813" s="7" t="inlineStr">
        <is>
          <t>EXD60</t>
        </is>
      </c>
      <c r="B1813" s="8" t="n">
        <v>46069.78049768518</v>
      </c>
      <c r="C1813" s="8" t="n">
        <v>46070.25</v>
      </c>
      <c r="D1813" s="9">
        <f>(C1813-B1813)*24</f>
        <v/>
      </c>
      <c r="E1813" s="10">
        <f>IF(AND(HOUR(B1813)&gt;=6,HOUR(B1813)&lt;18),"Day Shift","Night Shift")</f>
        <v/>
      </c>
      <c r="F1813" s="11">
        <f>INT(B1813)</f>
        <v/>
      </c>
      <c r="G1813" s="11">
        <f>INT(C1813)</f>
        <v/>
      </c>
    </row>
    <row r="1814">
      <c r="A1814" s="2" t="inlineStr">
        <is>
          <t>EXD60</t>
        </is>
      </c>
      <c r="B1814" s="3" t="n">
        <v>46070.25</v>
      </c>
      <c r="C1814" s="3" t="n">
        <v>46070.29655092592</v>
      </c>
      <c r="D1814" s="4">
        <f>(C1814-B1814)*24</f>
        <v/>
      </c>
      <c r="E1814" s="5">
        <f>IF(AND(HOUR(B1814)&gt;=6,HOUR(B1814)&lt;18),"Day Shift","Night Shift")</f>
        <v/>
      </c>
      <c r="F1814" s="6">
        <f>INT(B1814)</f>
        <v/>
      </c>
      <c r="G1814" s="6">
        <f>INT(C1814)</f>
        <v/>
      </c>
    </row>
    <row r="1815">
      <c r="A1815" s="7" t="inlineStr">
        <is>
          <t>EDD175</t>
        </is>
      </c>
      <c r="B1815" s="8" t="n">
        <v>46069.79310185185</v>
      </c>
      <c r="C1815" s="8" t="n">
        <v>46070.25</v>
      </c>
      <c r="D1815" s="9">
        <f>(C1815-B1815)*24</f>
        <v/>
      </c>
      <c r="E1815" s="10">
        <f>IF(AND(HOUR(B1815)&gt;=6,HOUR(B1815)&lt;18),"Day Shift","Night Shift")</f>
        <v/>
      </c>
      <c r="F1815" s="11">
        <f>INT(B1815)</f>
        <v/>
      </c>
      <c r="G1815" s="11">
        <f>INT(C1815)</f>
        <v/>
      </c>
    </row>
    <row r="1816">
      <c r="A1816" s="2" t="inlineStr">
        <is>
          <t>EDD175</t>
        </is>
      </c>
      <c r="B1816" s="3" t="n">
        <v>46070.25</v>
      </c>
      <c r="C1816" s="3" t="n">
        <v>46070.43596064814</v>
      </c>
      <c r="D1816" s="4">
        <f>(C1816-B1816)*24</f>
        <v/>
      </c>
      <c r="E1816" s="5">
        <f>IF(AND(HOUR(B1816)&gt;=6,HOUR(B1816)&lt;18),"Day Shift","Night Shift")</f>
        <v/>
      </c>
      <c r="F1816" s="6">
        <f>INT(B1816)</f>
        <v/>
      </c>
      <c r="G1816" s="6">
        <f>INT(C1816)</f>
        <v/>
      </c>
    </row>
    <row r="1817">
      <c r="A1817" s="7" t="inlineStr">
        <is>
          <t>EXD407</t>
        </is>
      </c>
      <c r="B1817" s="8" t="n">
        <v>46069.83420138889</v>
      </c>
      <c r="C1817" s="8" t="n">
        <v>46070.25</v>
      </c>
      <c r="D1817" s="9">
        <f>(C1817-B1817)*24</f>
        <v/>
      </c>
      <c r="E1817" s="10">
        <f>IF(AND(HOUR(B1817)&gt;=6,HOUR(B1817)&lt;18),"Day Shift","Night Shift")</f>
        <v/>
      </c>
      <c r="F1817" s="11">
        <f>INT(B1817)</f>
        <v/>
      </c>
      <c r="G1817" s="11">
        <f>INT(C1817)</f>
        <v/>
      </c>
    </row>
    <row r="1818">
      <c r="A1818" s="2" t="inlineStr">
        <is>
          <t>EXD407</t>
        </is>
      </c>
      <c r="B1818" s="3" t="n">
        <v>46070.25</v>
      </c>
      <c r="C1818" s="3" t="n">
        <v>46070.64436342593</v>
      </c>
      <c r="D1818" s="4">
        <f>(C1818-B1818)*24</f>
        <v/>
      </c>
      <c r="E1818" s="5">
        <f>IF(AND(HOUR(B1818)&gt;=6,HOUR(B1818)&lt;18),"Day Shift","Night Shift")</f>
        <v/>
      </c>
      <c r="F1818" s="6">
        <f>INT(B1818)</f>
        <v/>
      </c>
      <c r="G1818" s="6">
        <f>INT(C1818)</f>
        <v/>
      </c>
    </row>
    <row r="1819">
      <c r="A1819" s="7" t="inlineStr">
        <is>
          <t>EXD409</t>
        </is>
      </c>
      <c r="B1819" s="8" t="n">
        <v>46069.84034722222</v>
      </c>
      <c r="C1819" s="8" t="n">
        <v>46070.25</v>
      </c>
      <c r="D1819" s="9">
        <f>(C1819-B1819)*24</f>
        <v/>
      </c>
      <c r="E1819" s="10">
        <f>IF(AND(HOUR(B1819)&gt;=6,HOUR(B1819)&lt;18),"Day Shift","Night Shift")</f>
        <v/>
      </c>
      <c r="F1819" s="11">
        <f>INT(B1819)</f>
        <v/>
      </c>
      <c r="G1819" s="11">
        <f>INT(C1819)</f>
        <v/>
      </c>
    </row>
    <row r="1820">
      <c r="A1820" s="2" t="inlineStr">
        <is>
          <t>EXD409</t>
        </is>
      </c>
      <c r="B1820" s="3" t="n">
        <v>46070.25</v>
      </c>
      <c r="C1820" s="3" t="n">
        <v>46070.75</v>
      </c>
      <c r="D1820" s="4">
        <f>(C1820-B1820)*24</f>
        <v/>
      </c>
      <c r="E1820" s="5">
        <f>IF(AND(HOUR(B1820)&gt;=6,HOUR(B1820)&lt;18),"Day Shift","Night Shift")</f>
        <v/>
      </c>
      <c r="F1820" s="6">
        <f>INT(B1820)</f>
        <v/>
      </c>
      <c r="G1820" s="6">
        <f>INT(C1820)</f>
        <v/>
      </c>
    </row>
    <row r="1821">
      <c r="A1821" s="7" t="inlineStr">
        <is>
          <t>EXD409</t>
        </is>
      </c>
      <c r="B1821" s="8" t="n">
        <v>46070.75</v>
      </c>
      <c r="C1821" s="8" t="n">
        <v>46071.25</v>
      </c>
      <c r="D1821" s="9">
        <f>(C1821-B1821)*24</f>
        <v/>
      </c>
      <c r="E1821" s="10">
        <f>IF(AND(HOUR(B1821)&gt;=6,HOUR(B1821)&lt;18),"Day Shift","Night Shift")</f>
        <v/>
      </c>
      <c r="F1821" s="11">
        <f>INT(B1821)</f>
        <v/>
      </c>
      <c r="G1821" s="11">
        <f>INT(C1821)</f>
        <v/>
      </c>
    </row>
    <row r="1822">
      <c r="A1822" s="2" t="inlineStr">
        <is>
          <t>EXD409</t>
        </is>
      </c>
      <c r="B1822" s="3" t="n">
        <v>46071.25</v>
      </c>
      <c r="C1822" s="3" t="n">
        <v>46071.69486111111</v>
      </c>
      <c r="D1822" s="4">
        <f>(C1822-B1822)*24</f>
        <v/>
      </c>
      <c r="E1822" s="5">
        <f>IF(AND(HOUR(B1822)&gt;=6,HOUR(B1822)&lt;18),"Day Shift","Night Shift")</f>
        <v/>
      </c>
      <c r="F1822" s="6">
        <f>INT(B1822)</f>
        <v/>
      </c>
      <c r="G1822" s="6">
        <f>INT(C1822)</f>
        <v/>
      </c>
    </row>
    <row r="1823">
      <c r="A1823" s="7" t="inlineStr">
        <is>
          <t>EXD101</t>
        </is>
      </c>
      <c r="B1823" s="8" t="n">
        <v>46069.87375</v>
      </c>
      <c r="C1823" s="8" t="n">
        <v>46070.0820949074</v>
      </c>
      <c r="D1823" s="9">
        <f>(C1823-B1823)*24</f>
        <v/>
      </c>
      <c r="E1823" s="10">
        <f>IF(AND(HOUR(B1823)&gt;=6,HOUR(B1823)&lt;18),"Day Shift","Night Shift")</f>
        <v/>
      </c>
      <c r="F1823" s="11">
        <f>INT(B1823)</f>
        <v/>
      </c>
      <c r="G1823" s="11">
        <f>INT(C1823)</f>
        <v/>
      </c>
    </row>
    <row r="1824">
      <c r="A1824" s="7" t="inlineStr">
        <is>
          <t>EDD1932;EDD2541;EDD2134</t>
        </is>
      </c>
      <c r="B1824" s="8" t="n">
        <v>46069.93853009259</v>
      </c>
      <c r="C1824" s="8" t="n">
        <v>46070.22436342593</v>
      </c>
      <c r="D1824" s="9">
        <f>(C1824-B1824)*24</f>
        <v/>
      </c>
      <c r="E1824" s="10">
        <f>IF(AND(HOUR(B1824)&gt;=6,HOUR(B1824)&lt;18),"Day Shift","Night Shift")</f>
        <v/>
      </c>
      <c r="F1824" s="11">
        <f>INT(B1824)</f>
        <v/>
      </c>
      <c r="G1824" s="11">
        <f>INT(C1824)</f>
        <v/>
      </c>
    </row>
    <row r="1825">
      <c r="A1825" s="7" t="inlineStr">
        <is>
          <t>EDD812</t>
        </is>
      </c>
      <c r="B1825" s="8" t="n">
        <v>46069.95459490741</v>
      </c>
      <c r="C1825" s="8" t="n">
        <v>46070.25</v>
      </c>
      <c r="D1825" s="9">
        <f>(C1825-B1825)*24</f>
        <v/>
      </c>
      <c r="E1825" s="10">
        <f>IF(AND(HOUR(B1825)&gt;=6,HOUR(B1825)&lt;18),"Day Shift","Night Shift")</f>
        <v/>
      </c>
      <c r="F1825" s="11">
        <f>INT(B1825)</f>
        <v/>
      </c>
      <c r="G1825" s="11">
        <f>INT(C1825)</f>
        <v/>
      </c>
    </row>
    <row r="1826">
      <c r="A1826" s="2" t="inlineStr">
        <is>
          <t>EDD812</t>
        </is>
      </c>
      <c r="B1826" s="3" t="n">
        <v>46070.25</v>
      </c>
      <c r="C1826" s="3" t="n">
        <v>46070.75</v>
      </c>
      <c r="D1826" s="4">
        <f>(C1826-B1826)*24</f>
        <v/>
      </c>
      <c r="E1826" s="5">
        <f>IF(AND(HOUR(B1826)&gt;=6,HOUR(B1826)&lt;18),"Day Shift","Night Shift")</f>
        <v/>
      </c>
      <c r="F1826" s="6">
        <f>INT(B1826)</f>
        <v/>
      </c>
      <c r="G1826" s="6">
        <f>INT(C1826)</f>
        <v/>
      </c>
    </row>
    <row r="1827">
      <c r="A1827" s="7" t="inlineStr">
        <is>
          <t>EDD812</t>
        </is>
      </c>
      <c r="B1827" s="8" t="n">
        <v>46070.75</v>
      </c>
      <c r="C1827" s="8" t="n">
        <v>46070.78159722222</v>
      </c>
      <c r="D1827" s="9">
        <f>(C1827-B1827)*24</f>
        <v/>
      </c>
      <c r="E1827" s="10">
        <f>IF(AND(HOUR(B1827)&gt;=6,HOUR(B1827)&lt;18),"Day Shift","Night Shift")</f>
        <v/>
      </c>
      <c r="F1827" s="11">
        <f>INT(B1827)</f>
        <v/>
      </c>
      <c r="G1827" s="11">
        <f>INT(C1827)</f>
        <v/>
      </c>
    </row>
    <row r="1828">
      <c r="A1828" s="7" t="inlineStr">
        <is>
          <t>EXD98</t>
        </is>
      </c>
      <c r="B1828" s="8" t="n">
        <v>46070.01883101852</v>
      </c>
      <c r="C1828" s="8" t="n">
        <v>46070.25</v>
      </c>
      <c r="D1828" s="9">
        <f>(C1828-B1828)*24</f>
        <v/>
      </c>
      <c r="E1828" s="10">
        <f>IF(AND(HOUR(B1828)&gt;=6,HOUR(B1828)&lt;18),"Day Shift","Night Shift")</f>
        <v/>
      </c>
      <c r="F1828" s="11">
        <f>INT(B1828)</f>
        <v/>
      </c>
      <c r="G1828" s="11">
        <f>INT(C1828)</f>
        <v/>
      </c>
    </row>
    <row r="1829">
      <c r="A1829" s="2" t="inlineStr">
        <is>
          <t>EXD98</t>
        </is>
      </c>
      <c r="B1829" s="3" t="n">
        <v>46070.25</v>
      </c>
      <c r="C1829" s="3" t="n">
        <v>46070.75</v>
      </c>
      <c r="D1829" s="4">
        <f>(C1829-B1829)*24</f>
        <v/>
      </c>
      <c r="E1829" s="5">
        <f>IF(AND(HOUR(B1829)&gt;=6,HOUR(B1829)&lt;18),"Day Shift","Night Shift")</f>
        <v/>
      </c>
      <c r="F1829" s="6">
        <f>INT(B1829)</f>
        <v/>
      </c>
      <c r="G1829" s="6">
        <f>INT(C1829)</f>
        <v/>
      </c>
    </row>
    <row r="1830">
      <c r="A1830" s="7" t="inlineStr">
        <is>
          <t>EXD98</t>
        </is>
      </c>
      <c r="B1830" s="8" t="n">
        <v>46070.75</v>
      </c>
      <c r="C1830" s="8" t="n">
        <v>46070.81126157408</v>
      </c>
      <c r="D1830" s="9">
        <f>(C1830-B1830)*24</f>
        <v/>
      </c>
      <c r="E1830" s="10">
        <f>IF(AND(HOUR(B1830)&gt;=6,HOUR(B1830)&lt;18),"Day Shift","Night Shift")</f>
        <v/>
      </c>
      <c r="F1830" s="11">
        <f>INT(B1830)</f>
        <v/>
      </c>
      <c r="G1830" s="11">
        <f>INT(C1830)</f>
        <v/>
      </c>
    </row>
    <row r="1831">
      <c r="A1831" s="7" t="inlineStr">
        <is>
          <t>EXD73</t>
        </is>
      </c>
      <c r="B1831" s="8" t="n">
        <v>46070.055625</v>
      </c>
      <c r="C1831" s="8" t="n">
        <v>46070.25</v>
      </c>
      <c r="D1831" s="9">
        <f>(C1831-B1831)*24</f>
        <v/>
      </c>
      <c r="E1831" s="10">
        <f>IF(AND(HOUR(B1831)&gt;=6,HOUR(B1831)&lt;18),"Day Shift","Night Shift")</f>
        <v/>
      </c>
      <c r="F1831" s="11">
        <f>INT(B1831)</f>
        <v/>
      </c>
      <c r="G1831" s="11">
        <f>INT(C1831)</f>
        <v/>
      </c>
    </row>
    <row r="1832">
      <c r="A1832" s="2" t="inlineStr">
        <is>
          <t>EXD73</t>
        </is>
      </c>
      <c r="B1832" s="3" t="n">
        <v>46070.25</v>
      </c>
      <c r="C1832" s="3" t="n">
        <v>46070.75</v>
      </c>
      <c r="D1832" s="4">
        <f>(C1832-B1832)*24</f>
        <v/>
      </c>
      <c r="E1832" s="5">
        <f>IF(AND(HOUR(B1832)&gt;=6,HOUR(B1832)&lt;18),"Day Shift","Night Shift")</f>
        <v/>
      </c>
      <c r="F1832" s="6">
        <f>INT(B1832)</f>
        <v/>
      </c>
      <c r="G1832" s="6">
        <f>INT(C1832)</f>
        <v/>
      </c>
    </row>
    <row r="1833">
      <c r="A1833" s="7" t="inlineStr">
        <is>
          <t>EXD73</t>
        </is>
      </c>
      <c r="B1833" s="8" t="n">
        <v>46070.75</v>
      </c>
      <c r="C1833" s="8" t="n">
        <v>46071.25</v>
      </c>
      <c r="D1833" s="9">
        <f>(C1833-B1833)*24</f>
        <v/>
      </c>
      <c r="E1833" s="10">
        <f>IF(AND(HOUR(B1833)&gt;=6,HOUR(B1833)&lt;18),"Day Shift","Night Shift")</f>
        <v/>
      </c>
      <c r="F1833" s="11">
        <f>INT(B1833)</f>
        <v/>
      </c>
      <c r="G1833" s="11">
        <f>INT(C1833)</f>
        <v/>
      </c>
    </row>
    <row r="1834">
      <c r="A1834" s="2" t="inlineStr">
        <is>
          <t>EXD73</t>
        </is>
      </c>
      <c r="B1834" s="3" t="n">
        <v>46071.25</v>
      </c>
      <c r="C1834" s="3" t="n">
        <v>46071.42212962963</v>
      </c>
      <c r="D1834" s="4">
        <f>(C1834-B1834)*24</f>
        <v/>
      </c>
      <c r="E1834" s="5">
        <f>IF(AND(HOUR(B1834)&gt;=6,HOUR(B1834)&lt;18),"Day Shift","Night Shift")</f>
        <v/>
      </c>
      <c r="F1834" s="6">
        <f>INT(B1834)</f>
        <v/>
      </c>
      <c r="G1834" s="6">
        <f>INT(C1834)</f>
        <v/>
      </c>
    </row>
    <row r="1835">
      <c r="A1835" s="7" t="inlineStr">
        <is>
          <t>EXD101</t>
        </is>
      </c>
      <c r="B1835" s="8" t="n">
        <v>46070.08284722222</v>
      </c>
      <c r="C1835" s="8" t="n">
        <v>46070.25</v>
      </c>
      <c r="D1835" s="9">
        <f>(C1835-B1835)*24</f>
        <v/>
      </c>
      <c r="E1835" s="10">
        <f>IF(AND(HOUR(B1835)&gt;=6,HOUR(B1835)&lt;18),"Day Shift","Night Shift")</f>
        <v/>
      </c>
      <c r="F1835" s="11">
        <f>INT(B1835)</f>
        <v/>
      </c>
      <c r="G1835" s="11">
        <f>INT(C1835)</f>
        <v/>
      </c>
    </row>
    <row r="1836">
      <c r="A1836" s="2" t="inlineStr">
        <is>
          <t>EXD101</t>
        </is>
      </c>
      <c r="B1836" s="3" t="n">
        <v>46070.25</v>
      </c>
      <c r="C1836" s="3" t="n">
        <v>46070.75</v>
      </c>
      <c r="D1836" s="4">
        <f>(C1836-B1836)*24</f>
        <v/>
      </c>
      <c r="E1836" s="5">
        <f>IF(AND(HOUR(B1836)&gt;=6,HOUR(B1836)&lt;18),"Day Shift","Night Shift")</f>
        <v/>
      </c>
      <c r="F1836" s="6">
        <f>INT(B1836)</f>
        <v/>
      </c>
      <c r="G1836" s="6">
        <f>INT(C1836)</f>
        <v/>
      </c>
    </row>
    <row r="1837">
      <c r="A1837" s="7" t="inlineStr">
        <is>
          <t>EXD101</t>
        </is>
      </c>
      <c r="B1837" s="8" t="n">
        <v>46070.75</v>
      </c>
      <c r="C1837" s="8" t="n">
        <v>46071.25</v>
      </c>
      <c r="D1837" s="9">
        <f>(C1837-B1837)*24</f>
        <v/>
      </c>
      <c r="E1837" s="10">
        <f>IF(AND(HOUR(B1837)&gt;=6,HOUR(B1837)&lt;18),"Day Shift","Night Shift")</f>
        <v/>
      </c>
      <c r="F1837" s="11">
        <f>INT(B1837)</f>
        <v/>
      </c>
      <c r="G1837" s="11">
        <f>INT(C1837)</f>
        <v/>
      </c>
    </row>
    <row r="1838">
      <c r="A1838" s="2" t="inlineStr">
        <is>
          <t>EXD101</t>
        </is>
      </c>
      <c r="B1838" s="3" t="n">
        <v>46071.25</v>
      </c>
      <c r="C1838" s="3" t="n">
        <v>46071.75</v>
      </c>
      <c r="D1838" s="4">
        <f>(C1838-B1838)*24</f>
        <v/>
      </c>
      <c r="E1838" s="5">
        <f>IF(AND(HOUR(B1838)&gt;=6,HOUR(B1838)&lt;18),"Day Shift","Night Shift")</f>
        <v/>
      </c>
      <c r="F1838" s="6">
        <f>INT(B1838)</f>
        <v/>
      </c>
      <c r="G1838" s="6">
        <f>INT(C1838)</f>
        <v/>
      </c>
    </row>
    <row r="1839">
      <c r="A1839" s="7" t="inlineStr">
        <is>
          <t>EXD101</t>
        </is>
      </c>
      <c r="B1839" s="8" t="n">
        <v>46071.75</v>
      </c>
      <c r="C1839" s="8" t="n">
        <v>46072.25</v>
      </c>
      <c r="D1839" s="9">
        <f>(C1839-B1839)*24</f>
        <v/>
      </c>
      <c r="E1839" s="10">
        <f>IF(AND(HOUR(B1839)&gt;=6,HOUR(B1839)&lt;18),"Day Shift","Night Shift")</f>
        <v/>
      </c>
      <c r="F1839" s="11">
        <f>INT(B1839)</f>
        <v/>
      </c>
      <c r="G1839" s="11">
        <f>INT(C1839)</f>
        <v/>
      </c>
    </row>
    <row r="1840">
      <c r="A1840" s="2" t="inlineStr">
        <is>
          <t>EXD101</t>
        </is>
      </c>
      <c r="B1840" s="3" t="n">
        <v>46072.25</v>
      </c>
      <c r="C1840" s="3" t="n">
        <v>46072.75</v>
      </c>
      <c r="D1840" s="4">
        <f>(C1840-B1840)*24</f>
        <v/>
      </c>
      <c r="E1840" s="5">
        <f>IF(AND(HOUR(B1840)&gt;=6,HOUR(B1840)&lt;18),"Day Shift","Night Shift")</f>
        <v/>
      </c>
      <c r="F1840" s="6">
        <f>INT(B1840)</f>
        <v/>
      </c>
      <c r="G1840" s="6">
        <f>INT(C1840)</f>
        <v/>
      </c>
    </row>
    <row r="1841">
      <c r="A1841" s="7" t="inlineStr">
        <is>
          <t>EXD101</t>
        </is>
      </c>
      <c r="B1841" s="8" t="n">
        <v>46072.75</v>
      </c>
      <c r="C1841" s="8" t="n">
        <v>46073.25</v>
      </c>
      <c r="D1841" s="9">
        <f>(C1841-B1841)*24</f>
        <v/>
      </c>
      <c r="E1841" s="10">
        <f>IF(AND(HOUR(B1841)&gt;=6,HOUR(B1841)&lt;18),"Day Shift","Night Shift")</f>
        <v/>
      </c>
      <c r="F1841" s="11">
        <f>INT(B1841)</f>
        <v/>
      </c>
      <c r="G1841" s="11">
        <f>INT(C1841)</f>
        <v/>
      </c>
    </row>
    <row r="1842">
      <c r="A1842" s="2" t="inlineStr">
        <is>
          <t>EXD101</t>
        </is>
      </c>
      <c r="B1842" s="3" t="n">
        <v>46073.25</v>
      </c>
      <c r="C1842" s="3" t="n">
        <v>46073.75</v>
      </c>
      <c r="D1842" s="4">
        <f>(C1842-B1842)*24</f>
        <v/>
      </c>
      <c r="E1842" s="5">
        <f>IF(AND(HOUR(B1842)&gt;=6,HOUR(B1842)&lt;18),"Day Shift","Night Shift")</f>
        <v/>
      </c>
      <c r="F1842" s="6">
        <f>INT(B1842)</f>
        <v/>
      </c>
      <c r="G1842" s="6">
        <f>INT(C1842)</f>
        <v/>
      </c>
    </row>
    <row r="1843">
      <c r="A1843" s="7" t="inlineStr">
        <is>
          <t>EXD101</t>
        </is>
      </c>
      <c r="B1843" s="8" t="n">
        <v>46073.75</v>
      </c>
      <c r="C1843" s="8" t="n">
        <v>46073.76435185185</v>
      </c>
      <c r="D1843" s="9">
        <f>(C1843-B1843)*24</f>
        <v/>
      </c>
      <c r="E1843" s="10">
        <f>IF(AND(HOUR(B1843)&gt;=6,HOUR(B1843)&lt;18),"Day Shift","Night Shift")</f>
        <v/>
      </c>
      <c r="F1843" s="11">
        <f>INT(B1843)</f>
        <v/>
      </c>
      <c r="G1843" s="11">
        <f>INT(C1843)</f>
        <v/>
      </c>
    </row>
    <row r="1844">
      <c r="A1844" s="7" t="inlineStr">
        <is>
          <t>EXD100</t>
        </is>
      </c>
      <c r="B1844" s="8" t="n">
        <v>46070.10505787037</v>
      </c>
      <c r="C1844" s="8" t="n">
        <v>46070.25</v>
      </c>
      <c r="D1844" s="9">
        <f>(C1844-B1844)*24</f>
        <v/>
      </c>
      <c r="E1844" s="10">
        <f>IF(AND(HOUR(B1844)&gt;=6,HOUR(B1844)&lt;18),"Day Shift","Night Shift")</f>
        <v/>
      </c>
      <c r="F1844" s="11">
        <f>INT(B1844)</f>
        <v/>
      </c>
      <c r="G1844" s="11">
        <f>INT(C1844)</f>
        <v/>
      </c>
    </row>
    <row r="1845">
      <c r="A1845" s="2" t="inlineStr">
        <is>
          <t>EXD100</t>
        </is>
      </c>
      <c r="B1845" s="3" t="n">
        <v>46070.25</v>
      </c>
      <c r="C1845" s="3" t="n">
        <v>46070.75</v>
      </c>
      <c r="D1845" s="4">
        <f>(C1845-B1845)*24</f>
        <v/>
      </c>
      <c r="E1845" s="5">
        <f>IF(AND(HOUR(B1845)&gt;=6,HOUR(B1845)&lt;18),"Day Shift","Night Shift")</f>
        <v/>
      </c>
      <c r="F1845" s="6">
        <f>INT(B1845)</f>
        <v/>
      </c>
      <c r="G1845" s="6">
        <f>INT(C1845)</f>
        <v/>
      </c>
    </row>
    <row r="1846">
      <c r="A1846" s="7" t="inlineStr">
        <is>
          <t>EXD100</t>
        </is>
      </c>
      <c r="B1846" s="8" t="n">
        <v>46070.75</v>
      </c>
      <c r="C1846" s="8" t="n">
        <v>46070.92265046296</v>
      </c>
      <c r="D1846" s="9">
        <f>(C1846-B1846)*24</f>
        <v/>
      </c>
      <c r="E1846" s="10">
        <f>IF(AND(HOUR(B1846)&gt;=6,HOUR(B1846)&lt;18),"Day Shift","Night Shift")</f>
        <v/>
      </c>
      <c r="F1846" s="11">
        <f>INT(B1846)</f>
        <v/>
      </c>
      <c r="G1846" s="11">
        <f>INT(C1846)</f>
        <v/>
      </c>
    </row>
    <row r="1847">
      <c r="A1847" s="7" t="inlineStr">
        <is>
          <t>DRE12</t>
        </is>
      </c>
      <c r="B1847" s="8" t="n">
        <v>46070.12318287037</v>
      </c>
      <c r="C1847" s="8" t="n">
        <v>46070.25</v>
      </c>
      <c r="D1847" s="9">
        <f>(C1847-B1847)*24</f>
        <v/>
      </c>
      <c r="E1847" s="10">
        <f>IF(AND(HOUR(B1847)&gt;=6,HOUR(B1847)&lt;18),"Day Shift","Night Shift")</f>
        <v/>
      </c>
      <c r="F1847" s="11">
        <f>INT(B1847)</f>
        <v/>
      </c>
      <c r="G1847" s="11">
        <f>INT(C1847)</f>
        <v/>
      </c>
    </row>
    <row r="1848">
      <c r="A1848" s="2" t="inlineStr">
        <is>
          <t>DRE12</t>
        </is>
      </c>
      <c r="B1848" s="3" t="n">
        <v>46070.25</v>
      </c>
      <c r="C1848" s="3" t="n">
        <v>46070.75</v>
      </c>
      <c r="D1848" s="4">
        <f>(C1848-B1848)*24</f>
        <v/>
      </c>
      <c r="E1848" s="5">
        <f>IF(AND(HOUR(B1848)&gt;=6,HOUR(B1848)&lt;18),"Day Shift","Night Shift")</f>
        <v/>
      </c>
      <c r="F1848" s="6">
        <f>INT(B1848)</f>
        <v/>
      </c>
      <c r="G1848" s="6">
        <f>INT(C1848)</f>
        <v/>
      </c>
    </row>
    <row r="1849">
      <c r="A1849" s="7" t="inlineStr">
        <is>
          <t>DRE12</t>
        </is>
      </c>
      <c r="B1849" s="8" t="n">
        <v>46070.75</v>
      </c>
      <c r="C1849" s="8" t="n">
        <v>46071.25</v>
      </c>
      <c r="D1849" s="9">
        <f>(C1849-B1849)*24</f>
        <v/>
      </c>
      <c r="E1849" s="10">
        <f>IF(AND(HOUR(B1849)&gt;=6,HOUR(B1849)&lt;18),"Day Shift","Night Shift")</f>
        <v/>
      </c>
      <c r="F1849" s="11">
        <f>INT(B1849)</f>
        <v/>
      </c>
      <c r="G1849" s="11">
        <f>INT(C1849)</f>
        <v/>
      </c>
    </row>
    <row r="1850">
      <c r="A1850" s="2" t="inlineStr">
        <is>
          <t>DRE12</t>
        </is>
      </c>
      <c r="B1850" s="3" t="n">
        <v>46071.25</v>
      </c>
      <c r="C1850" s="3" t="n">
        <v>46071.75</v>
      </c>
      <c r="D1850" s="4">
        <f>(C1850-B1850)*24</f>
        <v/>
      </c>
      <c r="E1850" s="5">
        <f>IF(AND(HOUR(B1850)&gt;=6,HOUR(B1850)&lt;18),"Day Shift","Night Shift")</f>
        <v/>
      </c>
      <c r="F1850" s="6">
        <f>INT(B1850)</f>
        <v/>
      </c>
      <c r="G1850" s="6">
        <f>INT(C1850)</f>
        <v/>
      </c>
    </row>
    <row r="1851">
      <c r="A1851" s="7" t="inlineStr">
        <is>
          <t>DRE12</t>
        </is>
      </c>
      <c r="B1851" s="8" t="n">
        <v>46071.75</v>
      </c>
      <c r="C1851" s="8" t="n">
        <v>46072.18869212963</v>
      </c>
      <c r="D1851" s="9">
        <f>(C1851-B1851)*24</f>
        <v/>
      </c>
      <c r="E1851" s="10">
        <f>IF(AND(HOUR(B1851)&gt;=6,HOUR(B1851)&lt;18),"Day Shift","Night Shift")</f>
        <v/>
      </c>
      <c r="F1851" s="11">
        <f>INT(B1851)</f>
        <v/>
      </c>
      <c r="G1851" s="11">
        <f>INT(C1851)</f>
        <v/>
      </c>
    </row>
    <row r="1852">
      <c r="A1852" s="7" t="inlineStr">
        <is>
          <t>EDD1932;EDD2134;EDD2541</t>
        </is>
      </c>
      <c r="B1852" s="8" t="n">
        <v>46070.22436342593</v>
      </c>
      <c r="C1852" s="8" t="n">
        <v>46070.25</v>
      </c>
      <c r="D1852" s="9">
        <f>(C1852-B1852)*24</f>
        <v/>
      </c>
      <c r="E1852" s="10">
        <f>IF(AND(HOUR(B1852)&gt;=6,HOUR(B1852)&lt;18),"Day Shift","Night Shift")</f>
        <v/>
      </c>
      <c r="F1852" s="11">
        <f>INT(B1852)</f>
        <v/>
      </c>
      <c r="G1852" s="11">
        <f>INT(C1852)</f>
        <v/>
      </c>
    </row>
    <row r="1853">
      <c r="A1853" s="2" t="inlineStr">
        <is>
          <t>EDD1932;EDD2134;EDD2541</t>
        </is>
      </c>
      <c r="B1853" s="3" t="n">
        <v>46070.25</v>
      </c>
      <c r="C1853" s="3" t="n">
        <v>46070.50796296296</v>
      </c>
      <c r="D1853" s="4">
        <f>(C1853-B1853)*24</f>
        <v/>
      </c>
      <c r="E1853" s="5">
        <f>IF(AND(HOUR(B1853)&gt;=6,HOUR(B1853)&lt;18),"Day Shift","Night Shift")</f>
        <v/>
      </c>
      <c r="F1853" s="6">
        <f>INT(B1853)</f>
        <v/>
      </c>
      <c r="G1853" s="6">
        <f>INT(C1853)</f>
        <v/>
      </c>
    </row>
    <row r="1854">
      <c r="A1854" s="2" t="inlineStr">
        <is>
          <t>EXD60</t>
        </is>
      </c>
      <c r="B1854" s="3" t="n">
        <v>46070.29655092592</v>
      </c>
      <c r="C1854" s="3" t="n">
        <v>46070.62171296297</v>
      </c>
      <c r="D1854" s="4">
        <f>(C1854-B1854)*24</f>
        <v/>
      </c>
      <c r="E1854" s="5">
        <f>IF(AND(HOUR(B1854)&gt;=6,HOUR(B1854)&lt;18),"Day Shift","Night Shift")</f>
        <v/>
      </c>
      <c r="F1854" s="6">
        <f>INT(B1854)</f>
        <v/>
      </c>
      <c r="G1854" s="6">
        <f>INT(C1854)</f>
        <v/>
      </c>
    </row>
    <row r="1855">
      <c r="A1855" s="2" t="inlineStr">
        <is>
          <t>EXD56</t>
        </is>
      </c>
      <c r="B1855" s="3" t="n">
        <v>46070.3244675926</v>
      </c>
      <c r="C1855" s="3" t="n">
        <v>46070.75</v>
      </c>
      <c r="D1855" s="4">
        <f>(C1855-B1855)*24</f>
        <v/>
      </c>
      <c r="E1855" s="5">
        <f>IF(AND(HOUR(B1855)&gt;=6,HOUR(B1855)&lt;18),"Day Shift","Night Shift")</f>
        <v/>
      </c>
      <c r="F1855" s="6">
        <f>INT(B1855)</f>
        <v/>
      </c>
      <c r="G1855" s="6">
        <f>INT(C1855)</f>
        <v/>
      </c>
    </row>
    <row r="1856">
      <c r="A1856" s="7" t="inlineStr">
        <is>
          <t>EXD56</t>
        </is>
      </c>
      <c r="B1856" s="8" t="n">
        <v>46070.75</v>
      </c>
      <c r="C1856" s="8" t="n">
        <v>46071.25</v>
      </c>
      <c r="D1856" s="9">
        <f>(C1856-B1856)*24</f>
        <v/>
      </c>
      <c r="E1856" s="10">
        <f>IF(AND(HOUR(B1856)&gt;=6,HOUR(B1856)&lt;18),"Day Shift","Night Shift")</f>
        <v/>
      </c>
      <c r="F1856" s="11">
        <f>INT(B1856)</f>
        <v/>
      </c>
      <c r="G1856" s="11">
        <f>INT(C1856)</f>
        <v/>
      </c>
    </row>
    <row r="1857">
      <c r="A1857" s="2" t="inlineStr">
        <is>
          <t>EXD56</t>
        </is>
      </c>
      <c r="B1857" s="3" t="n">
        <v>46071.25</v>
      </c>
      <c r="C1857" s="3" t="n">
        <v>46071.75</v>
      </c>
      <c r="D1857" s="4">
        <f>(C1857-B1857)*24</f>
        <v/>
      </c>
      <c r="E1857" s="5">
        <f>IF(AND(HOUR(B1857)&gt;=6,HOUR(B1857)&lt;18),"Day Shift","Night Shift")</f>
        <v/>
      </c>
      <c r="F1857" s="6">
        <f>INT(B1857)</f>
        <v/>
      </c>
      <c r="G1857" s="6">
        <f>INT(C1857)</f>
        <v/>
      </c>
    </row>
    <row r="1858">
      <c r="A1858" s="7" t="inlineStr">
        <is>
          <t>EXD56</t>
        </is>
      </c>
      <c r="B1858" s="8" t="n">
        <v>46071.75</v>
      </c>
      <c r="C1858" s="8" t="n">
        <v>46072.25</v>
      </c>
      <c r="D1858" s="9">
        <f>(C1858-B1858)*24</f>
        <v/>
      </c>
      <c r="E1858" s="10">
        <f>IF(AND(HOUR(B1858)&gt;=6,HOUR(B1858)&lt;18),"Day Shift","Night Shift")</f>
        <v/>
      </c>
      <c r="F1858" s="11">
        <f>INT(B1858)</f>
        <v/>
      </c>
      <c r="G1858" s="11">
        <f>INT(C1858)</f>
        <v/>
      </c>
    </row>
    <row r="1859">
      <c r="A1859" s="2" t="inlineStr">
        <is>
          <t>EXD56</t>
        </is>
      </c>
      <c r="B1859" s="3" t="n">
        <v>46072.25</v>
      </c>
      <c r="C1859" s="3" t="n">
        <v>46072.75</v>
      </c>
      <c r="D1859" s="4">
        <f>(C1859-B1859)*24</f>
        <v/>
      </c>
      <c r="E1859" s="5">
        <f>IF(AND(HOUR(B1859)&gt;=6,HOUR(B1859)&lt;18),"Day Shift","Night Shift")</f>
        <v/>
      </c>
      <c r="F1859" s="6">
        <f>INT(B1859)</f>
        <v/>
      </c>
      <c r="G1859" s="6">
        <f>INT(C1859)</f>
        <v/>
      </c>
    </row>
    <row r="1860">
      <c r="A1860" s="7" t="inlineStr">
        <is>
          <t>EXD56</t>
        </is>
      </c>
      <c r="B1860" s="8" t="n">
        <v>46072.75</v>
      </c>
      <c r="C1860" s="8" t="n">
        <v>46073.25</v>
      </c>
      <c r="D1860" s="9">
        <f>(C1860-B1860)*24</f>
        <v/>
      </c>
      <c r="E1860" s="10">
        <f>IF(AND(HOUR(B1860)&gt;=6,HOUR(B1860)&lt;18),"Day Shift","Night Shift")</f>
        <v/>
      </c>
      <c r="F1860" s="11">
        <f>INT(B1860)</f>
        <v/>
      </c>
      <c r="G1860" s="11">
        <f>INT(C1860)</f>
        <v/>
      </c>
    </row>
    <row r="1861">
      <c r="A1861" s="2" t="inlineStr">
        <is>
          <t>EXD56</t>
        </is>
      </c>
      <c r="B1861" s="3" t="n">
        <v>46073.25</v>
      </c>
      <c r="C1861" s="3" t="n">
        <v>46073.75</v>
      </c>
      <c r="D1861" s="4">
        <f>(C1861-B1861)*24</f>
        <v/>
      </c>
      <c r="E1861" s="5">
        <f>IF(AND(HOUR(B1861)&gt;=6,HOUR(B1861)&lt;18),"Day Shift","Night Shift")</f>
        <v/>
      </c>
      <c r="F1861" s="6">
        <f>INT(B1861)</f>
        <v/>
      </c>
      <c r="G1861" s="6">
        <f>INT(C1861)</f>
        <v/>
      </c>
    </row>
    <row r="1862">
      <c r="A1862" s="7" t="inlineStr">
        <is>
          <t>EXD56</t>
        </is>
      </c>
      <c r="B1862" s="8" t="n">
        <v>46073.75</v>
      </c>
      <c r="C1862" s="8" t="n">
        <v>46074.15842592593</v>
      </c>
      <c r="D1862" s="9">
        <f>(C1862-B1862)*24</f>
        <v/>
      </c>
      <c r="E1862" s="10">
        <f>IF(AND(HOUR(B1862)&gt;=6,HOUR(B1862)&lt;18),"Day Shift","Night Shift")</f>
        <v/>
      </c>
      <c r="F1862" s="11">
        <f>INT(B1862)</f>
        <v/>
      </c>
      <c r="G1862" s="11">
        <f>INT(C1862)</f>
        <v/>
      </c>
    </row>
    <row r="1863">
      <c r="A1863" s="2" t="inlineStr">
        <is>
          <t>EXD52</t>
        </is>
      </c>
      <c r="B1863" s="3" t="n">
        <v>46070.39861111111</v>
      </c>
      <c r="C1863" s="3" t="n">
        <v>46070.75</v>
      </c>
      <c r="D1863" s="4">
        <f>(C1863-B1863)*24</f>
        <v/>
      </c>
      <c r="E1863" s="5">
        <f>IF(AND(HOUR(B1863)&gt;=6,HOUR(B1863)&lt;18),"Day Shift","Night Shift")</f>
        <v/>
      </c>
      <c r="F1863" s="6">
        <f>INT(B1863)</f>
        <v/>
      </c>
      <c r="G1863" s="6">
        <f>INT(C1863)</f>
        <v/>
      </c>
    </row>
    <row r="1864">
      <c r="A1864" s="7" t="inlineStr">
        <is>
          <t>EXD52</t>
        </is>
      </c>
      <c r="B1864" s="8" t="n">
        <v>46070.75</v>
      </c>
      <c r="C1864" s="8" t="n">
        <v>46071.25</v>
      </c>
      <c r="D1864" s="9">
        <f>(C1864-B1864)*24</f>
        <v/>
      </c>
      <c r="E1864" s="10">
        <f>IF(AND(HOUR(B1864)&gt;=6,HOUR(B1864)&lt;18),"Day Shift","Night Shift")</f>
        <v/>
      </c>
      <c r="F1864" s="11">
        <f>INT(B1864)</f>
        <v/>
      </c>
      <c r="G1864" s="11">
        <f>INT(C1864)</f>
        <v/>
      </c>
    </row>
    <row r="1865">
      <c r="A1865" s="2" t="inlineStr">
        <is>
          <t>EXD52</t>
        </is>
      </c>
      <c r="B1865" s="3" t="n">
        <v>46071.25</v>
      </c>
      <c r="C1865" s="3" t="n">
        <v>46071.75</v>
      </c>
      <c r="D1865" s="4">
        <f>(C1865-B1865)*24</f>
        <v/>
      </c>
      <c r="E1865" s="5">
        <f>IF(AND(HOUR(B1865)&gt;=6,HOUR(B1865)&lt;18),"Day Shift","Night Shift")</f>
        <v/>
      </c>
      <c r="F1865" s="6">
        <f>INT(B1865)</f>
        <v/>
      </c>
      <c r="G1865" s="6">
        <f>INT(C1865)</f>
        <v/>
      </c>
    </row>
    <row r="1866">
      <c r="A1866" s="7" t="inlineStr">
        <is>
          <t>EXD52</t>
        </is>
      </c>
      <c r="B1866" s="8" t="n">
        <v>46071.75</v>
      </c>
      <c r="C1866" s="8" t="n">
        <v>46071.75208333333</v>
      </c>
      <c r="D1866" s="9">
        <f>(C1866-B1866)*24</f>
        <v/>
      </c>
      <c r="E1866" s="10">
        <f>IF(AND(HOUR(B1866)&gt;=6,HOUR(B1866)&lt;18),"Day Shift","Night Shift")</f>
        <v/>
      </c>
      <c r="F1866" s="11">
        <f>INT(B1866)</f>
        <v/>
      </c>
      <c r="G1866" s="11">
        <f>INT(C1866)</f>
        <v/>
      </c>
    </row>
    <row r="1867">
      <c r="A1867" s="2" t="inlineStr">
        <is>
          <t>EXD51</t>
        </is>
      </c>
      <c r="B1867" s="3" t="n">
        <v>46070.41927083334</v>
      </c>
      <c r="C1867" s="3" t="n">
        <v>46070.60697916667</v>
      </c>
      <c r="D1867" s="4">
        <f>(C1867-B1867)*24</f>
        <v/>
      </c>
      <c r="E1867" s="5">
        <f>IF(AND(HOUR(B1867)&gt;=6,HOUR(B1867)&lt;18),"Day Shift","Night Shift")</f>
        <v/>
      </c>
      <c r="F1867" s="6">
        <f>INT(B1867)</f>
        <v/>
      </c>
      <c r="G1867" s="6">
        <f>INT(C1867)</f>
        <v/>
      </c>
    </row>
    <row r="1868">
      <c r="A1868" s="2" t="inlineStr">
        <is>
          <t>EDD175</t>
        </is>
      </c>
      <c r="B1868" s="3" t="n">
        <v>46070.43596064814</v>
      </c>
      <c r="C1868" s="3" t="n">
        <v>46070.75</v>
      </c>
      <c r="D1868" s="4">
        <f>(C1868-B1868)*24</f>
        <v/>
      </c>
      <c r="E1868" s="5">
        <f>IF(AND(HOUR(B1868)&gt;=6,HOUR(B1868)&lt;18),"Day Shift","Night Shift")</f>
        <v/>
      </c>
      <c r="F1868" s="6">
        <f>INT(B1868)</f>
        <v/>
      </c>
      <c r="G1868" s="6">
        <f>INT(C1868)</f>
        <v/>
      </c>
    </row>
    <row r="1869">
      <c r="A1869" s="7" t="inlineStr">
        <is>
          <t>EDD175</t>
        </is>
      </c>
      <c r="B1869" s="8" t="n">
        <v>46070.75</v>
      </c>
      <c r="C1869" s="8" t="n">
        <v>46071.04846064815</v>
      </c>
      <c r="D1869" s="9">
        <f>(C1869-B1869)*24</f>
        <v/>
      </c>
      <c r="E1869" s="10">
        <f>IF(AND(HOUR(B1869)&gt;=6,HOUR(B1869)&lt;18),"Day Shift","Night Shift")</f>
        <v/>
      </c>
      <c r="F1869" s="11">
        <f>INT(B1869)</f>
        <v/>
      </c>
      <c r="G1869" s="11">
        <f>INT(C1869)</f>
        <v/>
      </c>
    </row>
    <row r="1870">
      <c r="A1870" s="2" t="inlineStr">
        <is>
          <t>Blast</t>
        </is>
      </c>
      <c r="B1870" s="3" t="n">
        <v>46070.45833333334</v>
      </c>
      <c r="C1870" s="3" t="n">
        <v>46070.45849537037</v>
      </c>
      <c r="D1870" s="4">
        <f>(C1870-B1870)*24</f>
        <v/>
      </c>
      <c r="E1870" s="5">
        <f>IF(AND(HOUR(B1870)&gt;=6,HOUR(B1870)&lt;18),"Day Shift","Night Shift")</f>
        <v/>
      </c>
      <c r="F1870" s="6">
        <f>INT(B1870)</f>
        <v/>
      </c>
      <c r="G1870" s="6">
        <f>INT(C1870)</f>
        <v/>
      </c>
    </row>
    <row r="1871">
      <c r="A1871" s="2" t="inlineStr">
        <is>
          <t>Blast</t>
        </is>
      </c>
      <c r="B1871" s="3" t="n">
        <v>46070.45849537037</v>
      </c>
      <c r="C1871" s="3" t="n">
        <v>46070.45865740741</v>
      </c>
      <c r="D1871" s="4">
        <f>(C1871-B1871)*24</f>
        <v/>
      </c>
      <c r="E1871" s="5">
        <f>IF(AND(HOUR(B1871)&gt;=6,HOUR(B1871)&lt;18),"Day Shift","Night Shift")</f>
        <v/>
      </c>
      <c r="F1871" s="6">
        <f>INT(B1871)</f>
        <v/>
      </c>
      <c r="G1871" s="6">
        <f>INT(C1871)</f>
        <v/>
      </c>
    </row>
    <row r="1872">
      <c r="A1872" s="2" t="inlineStr">
        <is>
          <t>Blast</t>
        </is>
      </c>
      <c r="B1872" s="3" t="n">
        <v>46070.45865740741</v>
      </c>
      <c r="C1872" s="3" t="n">
        <v>46070.45880787037</v>
      </c>
      <c r="D1872" s="4">
        <f>(C1872-B1872)*24</f>
        <v/>
      </c>
      <c r="E1872" s="5">
        <f>IF(AND(HOUR(B1872)&gt;=6,HOUR(B1872)&lt;18),"Day Shift","Night Shift")</f>
        <v/>
      </c>
      <c r="F1872" s="6">
        <f>INT(B1872)</f>
        <v/>
      </c>
      <c r="G1872" s="6">
        <f>INT(C1872)</f>
        <v/>
      </c>
    </row>
    <row r="1873">
      <c r="A1873" s="2" t="inlineStr">
        <is>
          <t>Blast</t>
        </is>
      </c>
      <c r="B1873" s="3" t="n">
        <v>46070.45880787037</v>
      </c>
      <c r="C1873" s="3" t="n">
        <v>46070.45884259259</v>
      </c>
      <c r="D1873" s="4">
        <f>(C1873-B1873)*24</f>
        <v/>
      </c>
      <c r="E1873" s="5">
        <f>IF(AND(HOUR(B1873)&gt;=6,HOUR(B1873)&lt;18),"Day Shift","Night Shift")</f>
        <v/>
      </c>
      <c r="F1873" s="6">
        <f>INT(B1873)</f>
        <v/>
      </c>
      <c r="G1873" s="6">
        <f>INT(C1873)</f>
        <v/>
      </c>
    </row>
    <row r="1874">
      <c r="A1874" s="2" t="inlineStr">
        <is>
          <t>Blast</t>
        </is>
      </c>
      <c r="B1874" s="3" t="n">
        <v>46070.45884259259</v>
      </c>
      <c r="C1874" s="3" t="n">
        <v>46070.45901620371</v>
      </c>
      <c r="D1874" s="4">
        <f>(C1874-B1874)*24</f>
        <v/>
      </c>
      <c r="E1874" s="5">
        <f>IF(AND(HOUR(B1874)&gt;=6,HOUR(B1874)&lt;18),"Day Shift","Night Shift")</f>
        <v/>
      </c>
      <c r="F1874" s="6">
        <f>INT(B1874)</f>
        <v/>
      </c>
      <c r="G1874" s="6">
        <f>INT(C1874)</f>
        <v/>
      </c>
    </row>
    <row r="1875">
      <c r="A1875" s="2" t="inlineStr">
        <is>
          <t>Blast</t>
        </is>
      </c>
      <c r="B1875" s="3" t="n">
        <v>46070.45901620371</v>
      </c>
      <c r="C1875" s="3" t="n">
        <v>46070.45918981481</v>
      </c>
      <c r="D1875" s="4">
        <f>(C1875-B1875)*24</f>
        <v/>
      </c>
      <c r="E1875" s="5">
        <f>IF(AND(HOUR(B1875)&gt;=6,HOUR(B1875)&lt;18),"Day Shift","Night Shift")</f>
        <v/>
      </c>
      <c r="F1875" s="6">
        <f>INT(B1875)</f>
        <v/>
      </c>
      <c r="G1875" s="6">
        <f>INT(C1875)</f>
        <v/>
      </c>
    </row>
    <row r="1876">
      <c r="A1876" s="2" t="inlineStr">
        <is>
          <t>Blast</t>
        </is>
      </c>
      <c r="B1876" s="3" t="n">
        <v>46070.45918981481</v>
      </c>
      <c r="C1876" s="3" t="n">
        <v>46070.459375</v>
      </c>
      <c r="D1876" s="4">
        <f>(C1876-B1876)*24</f>
        <v/>
      </c>
      <c r="E1876" s="5">
        <f>IF(AND(HOUR(B1876)&gt;=6,HOUR(B1876)&lt;18),"Day Shift","Night Shift")</f>
        <v/>
      </c>
      <c r="F1876" s="6">
        <f>INT(B1876)</f>
        <v/>
      </c>
      <c r="G1876" s="6">
        <f>INT(C1876)</f>
        <v/>
      </c>
    </row>
    <row r="1877">
      <c r="A1877" s="2" t="inlineStr">
        <is>
          <t>Blast</t>
        </is>
      </c>
      <c r="B1877" s="3" t="n">
        <v>46070.459375</v>
      </c>
      <c r="C1877" s="3" t="n">
        <v>46070.45956018518</v>
      </c>
      <c r="D1877" s="4">
        <f>(C1877-B1877)*24</f>
        <v/>
      </c>
      <c r="E1877" s="5">
        <f>IF(AND(HOUR(B1877)&gt;=6,HOUR(B1877)&lt;18),"Day Shift","Night Shift")</f>
        <v/>
      </c>
      <c r="F1877" s="6">
        <f>INT(B1877)</f>
        <v/>
      </c>
      <c r="G1877" s="6">
        <f>INT(C1877)</f>
        <v/>
      </c>
    </row>
    <row r="1878">
      <c r="A1878" s="2" t="inlineStr">
        <is>
          <t>Blast</t>
        </is>
      </c>
      <c r="B1878" s="3" t="n">
        <v>46070.45956018518</v>
      </c>
      <c r="C1878" s="3" t="n">
        <v>46070.45959490741</v>
      </c>
      <c r="D1878" s="4">
        <f>(C1878-B1878)*24</f>
        <v/>
      </c>
      <c r="E1878" s="5">
        <f>IF(AND(HOUR(B1878)&gt;=6,HOUR(B1878)&lt;18),"Day Shift","Night Shift")</f>
        <v/>
      </c>
      <c r="F1878" s="6">
        <f>INT(B1878)</f>
        <v/>
      </c>
      <c r="G1878" s="6">
        <f>INT(C1878)</f>
        <v/>
      </c>
    </row>
    <row r="1879">
      <c r="A1879" s="2" t="inlineStr">
        <is>
          <t>Blast</t>
        </is>
      </c>
      <c r="B1879" s="3" t="n">
        <v>46070.45959490741</v>
      </c>
      <c r="C1879" s="3" t="n">
        <v>46070.45960648148</v>
      </c>
      <c r="D1879" s="4">
        <f>(C1879-B1879)*24</f>
        <v/>
      </c>
      <c r="E1879" s="5">
        <f>IF(AND(HOUR(B1879)&gt;=6,HOUR(B1879)&lt;18),"Day Shift","Night Shift")</f>
        <v/>
      </c>
      <c r="F1879" s="6">
        <f>INT(B1879)</f>
        <v/>
      </c>
      <c r="G1879" s="6">
        <f>INT(C1879)</f>
        <v/>
      </c>
    </row>
    <row r="1880">
      <c r="A1880" s="2" t="inlineStr">
        <is>
          <t>Blast</t>
        </is>
      </c>
      <c r="B1880" s="3" t="n">
        <v>46070.45960648148</v>
      </c>
      <c r="C1880" s="3" t="n">
        <v>46070.45976851852</v>
      </c>
      <c r="D1880" s="4">
        <f>(C1880-B1880)*24</f>
        <v/>
      </c>
      <c r="E1880" s="5">
        <f>IF(AND(HOUR(B1880)&gt;=6,HOUR(B1880)&lt;18),"Day Shift","Night Shift")</f>
        <v/>
      </c>
      <c r="F1880" s="6">
        <f>INT(B1880)</f>
        <v/>
      </c>
      <c r="G1880" s="6">
        <f>INT(C1880)</f>
        <v/>
      </c>
    </row>
    <row r="1881">
      <c r="A1881" s="2" t="inlineStr">
        <is>
          <t>Blast</t>
        </is>
      </c>
      <c r="B1881" s="3" t="n">
        <v>46070.45976851852</v>
      </c>
      <c r="C1881" s="3" t="n">
        <v>46070.45994212963</v>
      </c>
      <c r="D1881" s="4">
        <f>(C1881-B1881)*24</f>
        <v/>
      </c>
      <c r="E1881" s="5">
        <f>IF(AND(HOUR(B1881)&gt;=6,HOUR(B1881)&lt;18),"Day Shift","Night Shift")</f>
        <v/>
      </c>
      <c r="F1881" s="6">
        <f>INT(B1881)</f>
        <v/>
      </c>
      <c r="G1881" s="6">
        <f>INT(C1881)</f>
        <v/>
      </c>
    </row>
    <row r="1882">
      <c r="A1882" s="2" t="inlineStr">
        <is>
          <t>Blast</t>
        </is>
      </c>
      <c r="B1882" s="3" t="n">
        <v>46070.45994212963</v>
      </c>
      <c r="C1882" s="3" t="n">
        <v>46070.46012731481</v>
      </c>
      <c r="D1882" s="4">
        <f>(C1882-B1882)*24</f>
        <v/>
      </c>
      <c r="E1882" s="5">
        <f>IF(AND(HOUR(B1882)&gt;=6,HOUR(B1882)&lt;18),"Day Shift","Night Shift")</f>
        <v/>
      </c>
      <c r="F1882" s="6">
        <f>INT(B1882)</f>
        <v/>
      </c>
      <c r="G1882" s="6">
        <f>INT(C1882)</f>
        <v/>
      </c>
    </row>
    <row r="1883">
      <c r="A1883" s="2" t="inlineStr">
        <is>
          <t>Blast</t>
        </is>
      </c>
      <c r="B1883" s="3" t="n">
        <v>46070.46012731481</v>
      </c>
      <c r="C1883" s="3" t="n">
        <v>46070.4603125</v>
      </c>
      <c r="D1883" s="4">
        <f>(C1883-B1883)*24</f>
        <v/>
      </c>
      <c r="E1883" s="5">
        <f>IF(AND(HOUR(B1883)&gt;=6,HOUR(B1883)&lt;18),"Day Shift","Night Shift")</f>
        <v/>
      </c>
      <c r="F1883" s="6">
        <f>INT(B1883)</f>
        <v/>
      </c>
      <c r="G1883" s="6">
        <f>INT(C1883)</f>
        <v/>
      </c>
    </row>
    <row r="1884">
      <c r="A1884" s="2" t="inlineStr">
        <is>
          <t>Blast</t>
        </is>
      </c>
      <c r="B1884" s="3" t="n">
        <v>46070.4603125</v>
      </c>
      <c r="C1884" s="3" t="n">
        <v>46070.46046296296</v>
      </c>
      <c r="D1884" s="4">
        <f>(C1884-B1884)*24</f>
        <v/>
      </c>
      <c r="E1884" s="5">
        <f>IF(AND(HOUR(B1884)&gt;=6,HOUR(B1884)&lt;18),"Day Shift","Night Shift")</f>
        <v/>
      </c>
      <c r="F1884" s="6">
        <f>INT(B1884)</f>
        <v/>
      </c>
      <c r="G1884" s="6">
        <f>INT(C1884)</f>
        <v/>
      </c>
    </row>
    <row r="1885">
      <c r="A1885" s="2" t="inlineStr">
        <is>
          <t>Blast</t>
        </is>
      </c>
      <c r="B1885" s="3" t="n">
        <v>46070.46046296296</v>
      </c>
      <c r="C1885" s="3" t="n">
        <v>46070.46048611111</v>
      </c>
      <c r="D1885" s="4">
        <f>(C1885-B1885)*24</f>
        <v/>
      </c>
      <c r="E1885" s="5">
        <f>IF(AND(HOUR(B1885)&gt;=6,HOUR(B1885)&lt;18),"Day Shift","Night Shift")</f>
        <v/>
      </c>
      <c r="F1885" s="6">
        <f>INT(B1885)</f>
        <v/>
      </c>
      <c r="G1885" s="6">
        <f>INT(C1885)</f>
        <v/>
      </c>
    </row>
    <row r="1886">
      <c r="A1886" s="2" t="inlineStr">
        <is>
          <t>Blast</t>
        </is>
      </c>
      <c r="B1886" s="3" t="n">
        <v>46070.46048611111</v>
      </c>
      <c r="C1886" s="3" t="n">
        <v>46070.46064814815</v>
      </c>
      <c r="D1886" s="4">
        <f>(C1886-B1886)*24</f>
        <v/>
      </c>
      <c r="E1886" s="5">
        <f>IF(AND(HOUR(B1886)&gt;=6,HOUR(B1886)&lt;18),"Day Shift","Night Shift")</f>
        <v/>
      </c>
      <c r="F1886" s="6">
        <f>INT(B1886)</f>
        <v/>
      </c>
      <c r="G1886" s="6">
        <f>INT(C1886)</f>
        <v/>
      </c>
    </row>
    <row r="1887">
      <c r="A1887" s="2" t="inlineStr">
        <is>
          <t>Blast</t>
        </is>
      </c>
      <c r="B1887" s="3" t="n">
        <v>46070.46064814815</v>
      </c>
      <c r="C1887" s="3" t="n">
        <v>46070.46082175926</v>
      </c>
      <c r="D1887" s="4">
        <f>(C1887-B1887)*24</f>
        <v/>
      </c>
      <c r="E1887" s="5">
        <f>IF(AND(HOUR(B1887)&gt;=6,HOUR(B1887)&lt;18),"Day Shift","Night Shift")</f>
        <v/>
      </c>
      <c r="F1887" s="6">
        <f>INT(B1887)</f>
        <v/>
      </c>
      <c r="G1887" s="6">
        <f>INT(C1887)</f>
        <v/>
      </c>
    </row>
    <row r="1888">
      <c r="A1888" s="2" t="inlineStr">
        <is>
          <t>Blast</t>
        </is>
      </c>
      <c r="B1888" s="3" t="n">
        <v>46070.46082175926</v>
      </c>
      <c r="C1888" s="3" t="n">
        <v>46070.4609837963</v>
      </c>
      <c r="D1888" s="4">
        <f>(C1888-B1888)*24</f>
        <v/>
      </c>
      <c r="E1888" s="5">
        <f>IF(AND(HOUR(B1888)&gt;=6,HOUR(B1888)&lt;18),"Day Shift","Night Shift")</f>
        <v/>
      </c>
      <c r="F1888" s="6">
        <f>INT(B1888)</f>
        <v/>
      </c>
      <c r="G1888" s="6">
        <f>INT(C1888)</f>
        <v/>
      </c>
    </row>
    <row r="1889">
      <c r="A1889" s="2" t="inlineStr">
        <is>
          <t>Blast</t>
        </is>
      </c>
      <c r="B1889" s="3" t="n">
        <v>46070.4609837963</v>
      </c>
      <c r="C1889" s="3" t="n">
        <v>46070.46115740741</v>
      </c>
      <c r="D1889" s="4">
        <f>(C1889-B1889)*24</f>
        <v/>
      </c>
      <c r="E1889" s="5">
        <f>IF(AND(HOUR(B1889)&gt;=6,HOUR(B1889)&lt;18),"Day Shift","Night Shift")</f>
        <v/>
      </c>
      <c r="F1889" s="6">
        <f>INT(B1889)</f>
        <v/>
      </c>
      <c r="G1889" s="6">
        <f>INT(C1889)</f>
        <v/>
      </c>
    </row>
    <row r="1890">
      <c r="A1890" s="2" t="inlineStr">
        <is>
          <t>Blast</t>
        </is>
      </c>
      <c r="B1890" s="3" t="n">
        <v>46070.46115740741</v>
      </c>
      <c r="C1890" s="3" t="n">
        <v>46070.46131944445</v>
      </c>
      <c r="D1890" s="4">
        <f>(C1890-B1890)*24</f>
        <v/>
      </c>
      <c r="E1890" s="5">
        <f>IF(AND(HOUR(B1890)&gt;=6,HOUR(B1890)&lt;18),"Day Shift","Night Shift")</f>
        <v/>
      </c>
      <c r="F1890" s="6">
        <f>INT(B1890)</f>
        <v/>
      </c>
      <c r="G1890" s="6">
        <f>INT(C1890)</f>
        <v/>
      </c>
    </row>
    <row r="1891">
      <c r="A1891" s="2" t="inlineStr">
        <is>
          <t>Blast</t>
        </is>
      </c>
      <c r="B1891" s="3" t="n">
        <v>46070.46131944445</v>
      </c>
      <c r="C1891" s="3" t="n">
        <v>46070.46144675926</v>
      </c>
      <c r="D1891" s="4">
        <f>(C1891-B1891)*24</f>
        <v/>
      </c>
      <c r="E1891" s="5">
        <f>IF(AND(HOUR(B1891)&gt;=6,HOUR(B1891)&lt;18),"Day Shift","Night Shift")</f>
        <v/>
      </c>
      <c r="F1891" s="6">
        <f>INT(B1891)</f>
        <v/>
      </c>
      <c r="G1891" s="6">
        <f>INT(C1891)</f>
        <v/>
      </c>
    </row>
    <row r="1892">
      <c r="A1892" s="2" t="inlineStr">
        <is>
          <t>Blast</t>
        </is>
      </c>
      <c r="B1892" s="3" t="n">
        <v>46070.46144675926</v>
      </c>
      <c r="C1892" s="3" t="n">
        <v>46070.46145833333</v>
      </c>
      <c r="D1892" s="4">
        <f>(C1892-B1892)*24</f>
        <v/>
      </c>
      <c r="E1892" s="5">
        <f>IF(AND(HOUR(B1892)&gt;=6,HOUR(B1892)&lt;18),"Day Shift","Night Shift")</f>
        <v/>
      </c>
      <c r="F1892" s="6">
        <f>INT(B1892)</f>
        <v/>
      </c>
      <c r="G1892" s="6">
        <f>INT(C1892)</f>
        <v/>
      </c>
    </row>
    <row r="1893">
      <c r="A1893" s="2" t="inlineStr">
        <is>
          <t>EDD1932;EDD2134;EDD2541</t>
        </is>
      </c>
      <c r="B1893" s="3" t="n">
        <v>46070.50796296296</v>
      </c>
      <c r="C1893" s="3" t="n">
        <v>46070.75</v>
      </c>
      <c r="D1893" s="4">
        <f>(C1893-B1893)*24</f>
        <v/>
      </c>
      <c r="E1893" s="5">
        <f>IF(AND(HOUR(B1893)&gt;=6,HOUR(B1893)&lt;18),"Day Shift","Night Shift")</f>
        <v/>
      </c>
      <c r="F1893" s="6">
        <f>INT(B1893)</f>
        <v/>
      </c>
      <c r="G1893" s="6">
        <f>INT(C1893)</f>
        <v/>
      </c>
    </row>
    <row r="1894">
      <c r="A1894" s="7" t="inlineStr">
        <is>
          <t>EDD1932;EDD2134;EDD2541</t>
        </is>
      </c>
      <c r="B1894" s="8" t="n">
        <v>46070.75</v>
      </c>
      <c r="C1894" s="8" t="n">
        <v>46070.81675925926</v>
      </c>
      <c r="D1894" s="9">
        <f>(C1894-B1894)*24</f>
        <v/>
      </c>
      <c r="E1894" s="10">
        <f>IF(AND(HOUR(B1894)&gt;=6,HOUR(B1894)&lt;18),"Day Shift","Night Shift")</f>
        <v/>
      </c>
      <c r="F1894" s="11">
        <f>INT(B1894)</f>
        <v/>
      </c>
      <c r="G1894" s="11">
        <f>INT(C1894)</f>
        <v/>
      </c>
    </row>
    <row r="1895">
      <c r="A1895" s="2" t="inlineStr">
        <is>
          <t>DRE09</t>
        </is>
      </c>
      <c r="B1895" s="3" t="n">
        <v>46070.59326388889</v>
      </c>
      <c r="C1895" s="3" t="n">
        <v>46070.75</v>
      </c>
      <c r="D1895" s="4">
        <f>(C1895-B1895)*24</f>
        <v/>
      </c>
      <c r="E1895" s="5">
        <f>IF(AND(HOUR(B1895)&gt;=6,HOUR(B1895)&lt;18),"Day Shift","Night Shift")</f>
        <v/>
      </c>
      <c r="F1895" s="6">
        <f>INT(B1895)</f>
        <v/>
      </c>
      <c r="G1895" s="6">
        <f>INT(C1895)</f>
        <v/>
      </c>
    </row>
    <row r="1896">
      <c r="A1896" s="7" t="inlineStr">
        <is>
          <t>DRE09</t>
        </is>
      </c>
      <c r="B1896" s="8" t="n">
        <v>46070.75</v>
      </c>
      <c r="C1896" s="8" t="n">
        <v>46071.25</v>
      </c>
      <c r="D1896" s="9">
        <f>(C1896-B1896)*24</f>
        <v/>
      </c>
      <c r="E1896" s="10">
        <f>IF(AND(HOUR(B1896)&gt;=6,HOUR(B1896)&lt;18),"Day Shift","Night Shift")</f>
        <v/>
      </c>
      <c r="F1896" s="11">
        <f>INT(B1896)</f>
        <v/>
      </c>
      <c r="G1896" s="11">
        <f>INT(C1896)</f>
        <v/>
      </c>
    </row>
    <row r="1897">
      <c r="A1897" s="2" t="inlineStr">
        <is>
          <t>DRE09</t>
        </is>
      </c>
      <c r="B1897" s="3" t="n">
        <v>46071.25</v>
      </c>
      <c r="C1897" s="3" t="n">
        <v>46071.4259375</v>
      </c>
      <c r="D1897" s="4">
        <f>(C1897-B1897)*24</f>
        <v/>
      </c>
      <c r="E1897" s="5">
        <f>IF(AND(HOUR(B1897)&gt;=6,HOUR(B1897)&lt;18),"Day Shift","Night Shift")</f>
        <v/>
      </c>
      <c r="F1897" s="6">
        <f>INT(B1897)</f>
        <v/>
      </c>
      <c r="G1897" s="6">
        <f>INT(C1897)</f>
        <v/>
      </c>
    </row>
    <row r="1898">
      <c r="A1898" s="2" t="inlineStr">
        <is>
          <t>EXD51</t>
        </is>
      </c>
      <c r="B1898" s="3" t="n">
        <v>46070.60697916667</v>
      </c>
      <c r="C1898" s="3" t="n">
        <v>46070.75</v>
      </c>
      <c r="D1898" s="4">
        <f>(C1898-B1898)*24</f>
        <v/>
      </c>
      <c r="E1898" s="5">
        <f>IF(AND(HOUR(B1898)&gt;=6,HOUR(B1898)&lt;18),"Day Shift","Night Shift")</f>
        <v/>
      </c>
      <c r="F1898" s="6">
        <f>INT(B1898)</f>
        <v/>
      </c>
      <c r="G1898" s="6">
        <f>INT(C1898)</f>
        <v/>
      </c>
    </row>
    <row r="1899">
      <c r="A1899" s="7" t="inlineStr">
        <is>
          <t>EXD51</t>
        </is>
      </c>
      <c r="B1899" s="8" t="n">
        <v>46070.75</v>
      </c>
      <c r="C1899" s="8" t="n">
        <v>46071.22700231482</v>
      </c>
      <c r="D1899" s="9">
        <f>(C1899-B1899)*24</f>
        <v/>
      </c>
      <c r="E1899" s="10">
        <f>IF(AND(HOUR(B1899)&gt;=6,HOUR(B1899)&lt;18),"Day Shift","Night Shift")</f>
        <v/>
      </c>
      <c r="F1899" s="11">
        <f>INT(B1899)</f>
        <v/>
      </c>
      <c r="G1899" s="11">
        <f>INT(C1899)</f>
        <v/>
      </c>
    </row>
    <row r="1900">
      <c r="A1900" s="2" t="inlineStr">
        <is>
          <t>EXD60</t>
        </is>
      </c>
      <c r="B1900" s="3" t="n">
        <v>46070.6221412037</v>
      </c>
      <c r="C1900" s="3" t="n">
        <v>46070.75</v>
      </c>
      <c r="D1900" s="4">
        <f>(C1900-B1900)*24</f>
        <v/>
      </c>
      <c r="E1900" s="5">
        <f>IF(AND(HOUR(B1900)&gt;=6,HOUR(B1900)&lt;18),"Day Shift","Night Shift")</f>
        <v/>
      </c>
      <c r="F1900" s="6">
        <f>INT(B1900)</f>
        <v/>
      </c>
      <c r="G1900" s="6">
        <f>INT(C1900)</f>
        <v/>
      </c>
    </row>
    <row r="1901">
      <c r="A1901" s="7" t="inlineStr">
        <is>
          <t>EXD60</t>
        </is>
      </c>
      <c r="B1901" s="8" t="n">
        <v>46070.75</v>
      </c>
      <c r="C1901" s="8" t="n">
        <v>46071.25</v>
      </c>
      <c r="D1901" s="9">
        <f>(C1901-B1901)*24</f>
        <v/>
      </c>
      <c r="E1901" s="10">
        <f>IF(AND(HOUR(B1901)&gt;=6,HOUR(B1901)&lt;18),"Day Shift","Night Shift")</f>
        <v/>
      </c>
      <c r="F1901" s="11">
        <f>INT(B1901)</f>
        <v/>
      </c>
      <c r="G1901" s="11">
        <f>INT(C1901)</f>
        <v/>
      </c>
    </row>
    <row r="1902">
      <c r="A1902" s="2" t="inlineStr">
        <is>
          <t>EXD60</t>
        </is>
      </c>
      <c r="B1902" s="3" t="n">
        <v>46071.25</v>
      </c>
      <c r="C1902" s="3" t="n">
        <v>46071.75</v>
      </c>
      <c r="D1902" s="4">
        <f>(C1902-B1902)*24</f>
        <v/>
      </c>
      <c r="E1902" s="5">
        <f>IF(AND(HOUR(B1902)&gt;=6,HOUR(B1902)&lt;18),"Day Shift","Night Shift")</f>
        <v/>
      </c>
      <c r="F1902" s="6">
        <f>INT(B1902)</f>
        <v/>
      </c>
      <c r="G1902" s="6">
        <f>INT(C1902)</f>
        <v/>
      </c>
    </row>
    <row r="1903">
      <c r="A1903" s="7" t="inlineStr">
        <is>
          <t>EXD60</t>
        </is>
      </c>
      <c r="B1903" s="8" t="n">
        <v>46071.75</v>
      </c>
      <c r="C1903" s="8" t="n">
        <v>46072.25</v>
      </c>
      <c r="D1903" s="9">
        <f>(C1903-B1903)*24</f>
        <v/>
      </c>
      <c r="E1903" s="10">
        <f>IF(AND(HOUR(B1903)&gt;=6,HOUR(B1903)&lt;18),"Day Shift","Night Shift")</f>
        <v/>
      </c>
      <c r="F1903" s="11">
        <f>INT(B1903)</f>
        <v/>
      </c>
      <c r="G1903" s="11">
        <f>INT(C1903)</f>
        <v/>
      </c>
    </row>
    <row r="1904">
      <c r="A1904" s="2" t="inlineStr">
        <is>
          <t>EXD60</t>
        </is>
      </c>
      <c r="B1904" s="3" t="n">
        <v>46072.25</v>
      </c>
      <c r="C1904" s="3" t="n">
        <v>46072.40318287037</v>
      </c>
      <c r="D1904" s="4">
        <f>(C1904-B1904)*24</f>
        <v/>
      </c>
      <c r="E1904" s="5">
        <f>IF(AND(HOUR(B1904)&gt;=6,HOUR(B1904)&lt;18),"Day Shift","Night Shift")</f>
        <v/>
      </c>
      <c r="F1904" s="6">
        <f>INT(B1904)</f>
        <v/>
      </c>
      <c r="G1904" s="6">
        <f>INT(C1904)</f>
        <v/>
      </c>
    </row>
    <row r="1905">
      <c r="A1905" s="2" t="inlineStr">
        <is>
          <t>EXD55</t>
        </is>
      </c>
      <c r="B1905" s="3" t="n">
        <v>46070.73662037037</v>
      </c>
      <c r="C1905" s="3" t="n">
        <v>46070.75</v>
      </c>
      <c r="D1905" s="4">
        <f>(C1905-B1905)*24</f>
        <v/>
      </c>
      <c r="E1905" s="5">
        <f>IF(AND(HOUR(B1905)&gt;=6,HOUR(B1905)&lt;18),"Day Shift","Night Shift")</f>
        <v/>
      </c>
      <c r="F1905" s="6">
        <f>INT(B1905)</f>
        <v/>
      </c>
      <c r="G1905" s="6">
        <f>INT(C1905)</f>
        <v/>
      </c>
    </row>
    <row r="1906">
      <c r="A1906" s="7" t="inlineStr">
        <is>
          <t>EXD55</t>
        </is>
      </c>
      <c r="B1906" s="8" t="n">
        <v>46070.75</v>
      </c>
      <c r="C1906" s="8" t="n">
        <v>46070.92152777778</v>
      </c>
      <c r="D1906" s="9">
        <f>(C1906-B1906)*24</f>
        <v/>
      </c>
      <c r="E1906" s="10">
        <f>IF(AND(HOUR(B1906)&gt;=6,HOUR(B1906)&lt;18),"Day Shift","Night Shift")</f>
        <v/>
      </c>
      <c r="F1906" s="11">
        <f>INT(B1906)</f>
        <v/>
      </c>
      <c r="G1906" s="11">
        <f>INT(C1906)</f>
        <v/>
      </c>
    </row>
    <row r="1907">
      <c r="A1907" s="7" t="inlineStr">
        <is>
          <t>SHE36</t>
        </is>
      </c>
      <c r="B1907" s="8" t="n">
        <v>46070.7621875</v>
      </c>
      <c r="C1907" s="8" t="n">
        <v>46071.11856481482</v>
      </c>
      <c r="D1907" s="9">
        <f>(C1907-B1907)*24</f>
        <v/>
      </c>
      <c r="E1907" s="10">
        <f>IF(AND(HOUR(B1907)&gt;=6,HOUR(B1907)&lt;18),"Day Shift","Night Shift")</f>
        <v/>
      </c>
      <c r="F1907" s="11">
        <f>INT(B1907)</f>
        <v/>
      </c>
      <c r="G1907" s="11">
        <f>INT(C1907)</f>
        <v/>
      </c>
    </row>
    <row r="1908">
      <c r="A1908" s="7" t="inlineStr">
        <is>
          <t>EDD812</t>
        </is>
      </c>
      <c r="B1908" s="8" t="n">
        <v>46070.78159722222</v>
      </c>
      <c r="C1908" s="8" t="n">
        <v>46071.25</v>
      </c>
      <c r="D1908" s="9">
        <f>(C1908-B1908)*24</f>
        <v/>
      </c>
      <c r="E1908" s="10">
        <f>IF(AND(HOUR(B1908)&gt;=6,HOUR(B1908)&lt;18),"Day Shift","Night Shift")</f>
        <v/>
      </c>
      <c r="F1908" s="11">
        <f>INT(B1908)</f>
        <v/>
      </c>
      <c r="G1908" s="11">
        <f>INT(C1908)</f>
        <v/>
      </c>
    </row>
    <row r="1909">
      <c r="A1909" s="2" t="inlineStr">
        <is>
          <t>EDD812</t>
        </is>
      </c>
      <c r="B1909" s="3" t="n">
        <v>46071.25</v>
      </c>
      <c r="C1909" s="3" t="n">
        <v>46071.58729166666</v>
      </c>
      <c r="D1909" s="4">
        <f>(C1909-B1909)*24</f>
        <v/>
      </c>
      <c r="E1909" s="5">
        <f>IF(AND(HOUR(B1909)&gt;=6,HOUR(B1909)&lt;18),"Day Shift","Night Shift")</f>
        <v/>
      </c>
      <c r="F1909" s="6">
        <f>INT(B1909)</f>
        <v/>
      </c>
      <c r="G1909" s="6">
        <f>INT(C1909)</f>
        <v/>
      </c>
    </row>
    <row r="1910">
      <c r="A1910" s="7" t="inlineStr">
        <is>
          <t>EXD98</t>
        </is>
      </c>
      <c r="B1910" s="8" t="n">
        <v>46070.81126157408</v>
      </c>
      <c r="C1910" s="8" t="n">
        <v>46071.25</v>
      </c>
      <c r="D1910" s="9">
        <f>(C1910-B1910)*24</f>
        <v/>
      </c>
      <c r="E1910" s="10">
        <f>IF(AND(HOUR(B1910)&gt;=6,HOUR(B1910)&lt;18),"Day Shift","Night Shift")</f>
        <v/>
      </c>
      <c r="F1910" s="11">
        <f>INT(B1910)</f>
        <v/>
      </c>
      <c r="G1910" s="11">
        <f>INT(C1910)</f>
        <v/>
      </c>
    </row>
    <row r="1911">
      <c r="A1911" s="2" t="inlineStr">
        <is>
          <t>EXD98</t>
        </is>
      </c>
      <c r="B1911" s="3" t="n">
        <v>46071.25</v>
      </c>
      <c r="C1911" s="3" t="n">
        <v>46071.63355324074</v>
      </c>
      <c r="D1911" s="4">
        <f>(C1911-B1911)*24</f>
        <v/>
      </c>
      <c r="E1911" s="5">
        <f>IF(AND(HOUR(B1911)&gt;=6,HOUR(B1911)&lt;18),"Day Shift","Night Shift")</f>
        <v/>
      </c>
      <c r="F1911" s="6">
        <f>INT(B1911)</f>
        <v/>
      </c>
      <c r="G1911" s="6">
        <f>INT(C1911)</f>
        <v/>
      </c>
    </row>
    <row r="1912">
      <c r="A1912" s="7" t="inlineStr">
        <is>
          <t>EDD1932;EDD2134;EDD2541</t>
        </is>
      </c>
      <c r="B1912" s="8" t="n">
        <v>46070.81675925926</v>
      </c>
      <c r="C1912" s="8" t="n">
        <v>46071.12686342592</v>
      </c>
      <c r="D1912" s="9">
        <f>(C1912-B1912)*24</f>
        <v/>
      </c>
      <c r="E1912" s="10">
        <f>IF(AND(HOUR(B1912)&gt;=6,HOUR(B1912)&lt;18),"Day Shift","Night Shift")</f>
        <v/>
      </c>
      <c r="F1912" s="11">
        <f>INT(B1912)</f>
        <v/>
      </c>
      <c r="G1912" s="11">
        <f>INT(C1912)</f>
        <v/>
      </c>
    </row>
    <row r="1913">
      <c r="A1913" s="7" t="inlineStr">
        <is>
          <t>EXD408</t>
        </is>
      </c>
      <c r="B1913" s="8" t="n">
        <v>46070.82072916667</v>
      </c>
      <c r="C1913" s="8" t="n">
        <v>46071.25</v>
      </c>
      <c r="D1913" s="9">
        <f>(C1913-B1913)*24</f>
        <v/>
      </c>
      <c r="E1913" s="10">
        <f>IF(AND(HOUR(B1913)&gt;=6,HOUR(B1913)&lt;18),"Day Shift","Night Shift")</f>
        <v/>
      </c>
      <c r="F1913" s="11">
        <f>INT(B1913)</f>
        <v/>
      </c>
      <c r="G1913" s="11">
        <f>INT(C1913)</f>
        <v/>
      </c>
    </row>
    <row r="1914">
      <c r="A1914" s="2" t="inlineStr">
        <is>
          <t>EXD408</t>
        </is>
      </c>
      <c r="B1914" s="3" t="n">
        <v>46071.25</v>
      </c>
      <c r="C1914" s="3" t="n">
        <v>46071.75</v>
      </c>
      <c r="D1914" s="4">
        <f>(C1914-B1914)*24</f>
        <v/>
      </c>
      <c r="E1914" s="5">
        <f>IF(AND(HOUR(B1914)&gt;=6,HOUR(B1914)&lt;18),"Day Shift","Night Shift")</f>
        <v/>
      </c>
      <c r="F1914" s="6">
        <f>INT(B1914)</f>
        <v/>
      </c>
      <c r="G1914" s="6">
        <f>INT(C1914)</f>
        <v/>
      </c>
    </row>
    <row r="1915">
      <c r="A1915" s="7" t="inlineStr">
        <is>
          <t>EXD408</t>
        </is>
      </c>
      <c r="B1915" s="8" t="n">
        <v>46071.75</v>
      </c>
      <c r="C1915" s="8" t="n">
        <v>46072.0657175926</v>
      </c>
      <c r="D1915" s="9">
        <f>(C1915-B1915)*24</f>
        <v/>
      </c>
      <c r="E1915" s="10">
        <f>IF(AND(HOUR(B1915)&gt;=6,HOUR(B1915)&lt;18),"Day Shift","Night Shift")</f>
        <v/>
      </c>
      <c r="F1915" s="11">
        <f>INT(B1915)</f>
        <v/>
      </c>
      <c r="G1915" s="11">
        <f>INT(C1915)</f>
        <v/>
      </c>
    </row>
    <row r="1916">
      <c r="A1916" s="7" t="inlineStr">
        <is>
          <t>Blast Crew</t>
        </is>
      </c>
      <c r="B1916" s="8" t="n">
        <v>46070.83446759259</v>
      </c>
      <c r="C1916" s="8" t="n">
        <v>46071.01643518519</v>
      </c>
      <c r="D1916" s="9">
        <f>(C1916-B1916)*24</f>
        <v/>
      </c>
      <c r="E1916" s="10">
        <f>IF(AND(HOUR(B1916)&gt;=6,HOUR(B1916)&lt;18),"Day Shift","Night Shift")</f>
        <v/>
      </c>
      <c r="F1916" s="11">
        <f>INT(B1916)</f>
        <v/>
      </c>
      <c r="G1916" s="11">
        <f>INT(C1916)</f>
        <v/>
      </c>
    </row>
    <row r="1917">
      <c r="A1917" s="7" t="inlineStr">
        <is>
          <t>LDW265</t>
        </is>
      </c>
      <c r="B1917" s="8" t="n">
        <v>46070.87020833333</v>
      </c>
      <c r="C1917" s="8" t="n">
        <v>46071.18547453704</v>
      </c>
      <c r="D1917" s="9">
        <f>(C1917-B1917)*24</f>
        <v/>
      </c>
      <c r="E1917" s="10">
        <f>IF(AND(HOUR(B1917)&gt;=6,HOUR(B1917)&lt;18),"Day Shift","Night Shift")</f>
        <v/>
      </c>
      <c r="F1917" s="11">
        <f>INT(B1917)</f>
        <v/>
      </c>
      <c r="G1917" s="11">
        <f>INT(C1917)</f>
        <v/>
      </c>
    </row>
    <row r="1918">
      <c r="A1918" s="7" t="inlineStr">
        <is>
          <t>EXD55</t>
        </is>
      </c>
      <c r="B1918" s="8" t="n">
        <v>46070.92152777778</v>
      </c>
      <c r="C1918" s="8" t="n">
        <v>46071.18221064815</v>
      </c>
      <c r="D1918" s="9">
        <f>(C1918-B1918)*24</f>
        <v/>
      </c>
      <c r="E1918" s="10">
        <f>IF(AND(HOUR(B1918)&gt;=6,HOUR(B1918)&lt;18),"Day Shift","Night Shift")</f>
        <v/>
      </c>
      <c r="F1918" s="11">
        <f>INT(B1918)</f>
        <v/>
      </c>
      <c r="G1918" s="11">
        <f>INT(C1918)</f>
        <v/>
      </c>
    </row>
    <row r="1919">
      <c r="A1919" s="7" t="inlineStr">
        <is>
          <t>EXD100</t>
        </is>
      </c>
      <c r="B1919" s="8" t="n">
        <v>46070.93055555555</v>
      </c>
      <c r="C1919" s="8" t="n">
        <v>46071.25</v>
      </c>
      <c r="D1919" s="9">
        <f>(C1919-B1919)*24</f>
        <v/>
      </c>
      <c r="E1919" s="10">
        <f>IF(AND(HOUR(B1919)&gt;=6,HOUR(B1919)&lt;18),"Day Shift","Night Shift")</f>
        <v/>
      </c>
      <c r="F1919" s="11">
        <f>INT(B1919)</f>
        <v/>
      </c>
      <c r="G1919" s="11">
        <f>INT(C1919)</f>
        <v/>
      </c>
    </row>
    <row r="1920">
      <c r="A1920" s="2" t="inlineStr">
        <is>
          <t>EXD100</t>
        </is>
      </c>
      <c r="B1920" s="3" t="n">
        <v>46071.25</v>
      </c>
      <c r="C1920" s="3" t="n">
        <v>46071.75</v>
      </c>
      <c r="D1920" s="4">
        <f>(C1920-B1920)*24</f>
        <v/>
      </c>
      <c r="E1920" s="5">
        <f>IF(AND(HOUR(B1920)&gt;=6,HOUR(B1920)&lt;18),"Day Shift","Night Shift")</f>
        <v/>
      </c>
      <c r="F1920" s="6">
        <f>INT(B1920)</f>
        <v/>
      </c>
      <c r="G1920" s="6">
        <f>INT(C1920)</f>
        <v/>
      </c>
    </row>
    <row r="1921">
      <c r="A1921" s="7" t="inlineStr">
        <is>
          <t>EXD100</t>
        </is>
      </c>
      <c r="B1921" s="8" t="n">
        <v>46071.75</v>
      </c>
      <c r="C1921" s="8" t="n">
        <v>46071.85631944444</v>
      </c>
      <c r="D1921" s="9">
        <f>(C1921-B1921)*24</f>
        <v/>
      </c>
      <c r="E1921" s="10">
        <f>IF(AND(HOUR(B1921)&gt;=6,HOUR(B1921)&lt;18),"Day Shift","Night Shift")</f>
        <v/>
      </c>
      <c r="F1921" s="11">
        <f>INT(B1921)</f>
        <v/>
      </c>
      <c r="G1921" s="11">
        <f>INT(C1921)</f>
        <v/>
      </c>
    </row>
    <row r="1922">
      <c r="A1922" s="7" t="inlineStr">
        <is>
          <t>DRE42</t>
        </is>
      </c>
      <c r="B1922" s="8" t="n">
        <v>46070.94150462963</v>
      </c>
      <c r="C1922" s="8" t="n">
        <v>46071.25</v>
      </c>
      <c r="D1922" s="9">
        <f>(C1922-B1922)*24</f>
        <v/>
      </c>
      <c r="E1922" s="10">
        <f>IF(AND(HOUR(B1922)&gt;=6,HOUR(B1922)&lt;18),"Day Shift","Night Shift")</f>
        <v/>
      </c>
      <c r="F1922" s="11">
        <f>INT(B1922)</f>
        <v/>
      </c>
      <c r="G1922" s="11">
        <f>INT(C1922)</f>
        <v/>
      </c>
    </row>
    <row r="1923">
      <c r="A1923" s="2" t="inlineStr">
        <is>
          <t>DRE42</t>
        </is>
      </c>
      <c r="B1923" s="3" t="n">
        <v>46071.25</v>
      </c>
      <c r="C1923" s="3" t="n">
        <v>46071.75</v>
      </c>
      <c r="D1923" s="4">
        <f>(C1923-B1923)*24</f>
        <v/>
      </c>
      <c r="E1923" s="5">
        <f>IF(AND(HOUR(B1923)&gt;=6,HOUR(B1923)&lt;18),"Day Shift","Night Shift")</f>
        <v/>
      </c>
      <c r="F1923" s="6">
        <f>INT(B1923)</f>
        <v/>
      </c>
      <c r="G1923" s="6">
        <f>INT(C1923)</f>
        <v/>
      </c>
    </row>
    <row r="1924">
      <c r="A1924" s="7" t="inlineStr">
        <is>
          <t>DRE42</t>
        </is>
      </c>
      <c r="B1924" s="8" t="n">
        <v>46071.75</v>
      </c>
      <c r="C1924" s="8" t="n">
        <v>46072.25</v>
      </c>
      <c r="D1924" s="9">
        <f>(C1924-B1924)*24</f>
        <v/>
      </c>
      <c r="E1924" s="10">
        <f>IF(AND(HOUR(B1924)&gt;=6,HOUR(B1924)&lt;18),"Day Shift","Night Shift")</f>
        <v/>
      </c>
      <c r="F1924" s="11">
        <f>INT(B1924)</f>
        <v/>
      </c>
      <c r="G1924" s="11">
        <f>INT(C1924)</f>
        <v/>
      </c>
    </row>
    <row r="1925">
      <c r="A1925" s="2" t="inlineStr">
        <is>
          <t>DRE42</t>
        </is>
      </c>
      <c r="B1925" s="3" t="n">
        <v>46072.25</v>
      </c>
      <c r="C1925" s="3" t="n">
        <v>46072.75</v>
      </c>
      <c r="D1925" s="4">
        <f>(C1925-B1925)*24</f>
        <v/>
      </c>
      <c r="E1925" s="5">
        <f>IF(AND(HOUR(B1925)&gt;=6,HOUR(B1925)&lt;18),"Day Shift","Night Shift")</f>
        <v/>
      </c>
      <c r="F1925" s="6">
        <f>INT(B1925)</f>
        <v/>
      </c>
      <c r="G1925" s="6">
        <f>INT(C1925)</f>
        <v/>
      </c>
    </row>
    <row r="1926">
      <c r="A1926" s="7" t="inlineStr">
        <is>
          <t>DRE42</t>
        </is>
      </c>
      <c r="B1926" s="8" t="n">
        <v>46072.75</v>
      </c>
      <c r="C1926" s="8" t="n">
        <v>46073.25</v>
      </c>
      <c r="D1926" s="9">
        <f>(C1926-B1926)*24</f>
        <v/>
      </c>
      <c r="E1926" s="10">
        <f>IF(AND(HOUR(B1926)&gt;=6,HOUR(B1926)&lt;18),"Day Shift","Night Shift")</f>
        <v/>
      </c>
      <c r="F1926" s="11">
        <f>INT(B1926)</f>
        <v/>
      </c>
      <c r="G1926" s="11">
        <f>INT(C1926)</f>
        <v/>
      </c>
    </row>
    <row r="1927">
      <c r="A1927" s="2" t="inlineStr">
        <is>
          <t>DRE42</t>
        </is>
      </c>
      <c r="B1927" s="3" t="n">
        <v>46073.25</v>
      </c>
      <c r="C1927" s="3" t="n">
        <v>46073.75</v>
      </c>
      <c r="D1927" s="4">
        <f>(C1927-B1927)*24</f>
        <v/>
      </c>
      <c r="E1927" s="5">
        <f>IF(AND(HOUR(B1927)&gt;=6,HOUR(B1927)&lt;18),"Day Shift","Night Shift")</f>
        <v/>
      </c>
      <c r="F1927" s="6">
        <f>INT(B1927)</f>
        <v/>
      </c>
      <c r="G1927" s="6">
        <f>INT(C1927)</f>
        <v/>
      </c>
    </row>
    <row r="1928">
      <c r="A1928" s="7" t="inlineStr">
        <is>
          <t>DRE42</t>
        </is>
      </c>
      <c r="B1928" s="8" t="n">
        <v>46073.75</v>
      </c>
      <c r="C1928" s="8" t="n">
        <v>46073.79900462963</v>
      </c>
      <c r="D1928" s="9">
        <f>(C1928-B1928)*24</f>
        <v/>
      </c>
      <c r="E1928" s="10">
        <f>IF(AND(HOUR(B1928)&gt;=6,HOUR(B1928)&lt;18),"Day Shift","Night Shift")</f>
        <v/>
      </c>
      <c r="F1928" s="11">
        <f>INT(B1928)</f>
        <v/>
      </c>
      <c r="G1928" s="11">
        <f>INT(C1928)</f>
        <v/>
      </c>
    </row>
    <row r="1929">
      <c r="A1929" s="7" t="inlineStr">
        <is>
          <t>Blast Crew</t>
        </is>
      </c>
      <c r="B1929" s="8" t="n">
        <v>46071.01643518519</v>
      </c>
      <c r="C1929" s="8" t="n">
        <v>46071.24101851852</v>
      </c>
      <c r="D1929" s="9">
        <f>(C1929-B1929)*24</f>
        <v/>
      </c>
      <c r="E1929" s="10">
        <f>IF(AND(HOUR(B1929)&gt;=6,HOUR(B1929)&lt;18),"Day Shift","Night Shift")</f>
        <v/>
      </c>
      <c r="F1929" s="11">
        <f>INT(B1929)</f>
        <v/>
      </c>
      <c r="G1929" s="11">
        <f>INT(C1929)</f>
        <v/>
      </c>
    </row>
    <row r="1930">
      <c r="A1930" s="7" t="inlineStr">
        <is>
          <t>EDD175</t>
        </is>
      </c>
      <c r="B1930" s="8" t="n">
        <v>46071.04846064815</v>
      </c>
      <c r="C1930" s="8" t="n">
        <v>46071.25</v>
      </c>
      <c r="D1930" s="9">
        <f>(C1930-B1930)*24</f>
        <v/>
      </c>
      <c r="E1930" s="10">
        <f>IF(AND(HOUR(B1930)&gt;=6,HOUR(B1930)&lt;18),"Day Shift","Night Shift")</f>
        <v/>
      </c>
      <c r="F1930" s="11">
        <f>INT(B1930)</f>
        <v/>
      </c>
      <c r="G1930" s="11">
        <f>INT(C1930)</f>
        <v/>
      </c>
    </row>
    <row r="1931">
      <c r="A1931" s="2" t="inlineStr">
        <is>
          <t>EDD175</t>
        </is>
      </c>
      <c r="B1931" s="3" t="n">
        <v>46071.25</v>
      </c>
      <c r="C1931" s="3" t="n">
        <v>46071.56269675926</v>
      </c>
      <c r="D1931" s="4">
        <f>(C1931-B1931)*24</f>
        <v/>
      </c>
      <c r="E1931" s="5">
        <f>IF(AND(HOUR(B1931)&gt;=6,HOUR(B1931)&lt;18),"Day Shift","Night Shift")</f>
        <v/>
      </c>
      <c r="F1931" s="6">
        <f>INT(B1931)</f>
        <v/>
      </c>
      <c r="G1931" s="6">
        <f>INT(C1931)</f>
        <v/>
      </c>
    </row>
    <row r="1932">
      <c r="A1932" s="7" t="inlineStr">
        <is>
          <t>SHE36</t>
        </is>
      </c>
      <c r="B1932" s="8" t="n">
        <v>46071.11856481482</v>
      </c>
      <c r="C1932" s="8" t="n">
        <v>46071.25</v>
      </c>
      <c r="D1932" s="9">
        <f>(C1932-B1932)*24</f>
        <v/>
      </c>
      <c r="E1932" s="10">
        <f>IF(AND(HOUR(B1932)&gt;=6,HOUR(B1932)&lt;18),"Day Shift","Night Shift")</f>
        <v/>
      </c>
      <c r="F1932" s="11">
        <f>INT(B1932)</f>
        <v/>
      </c>
      <c r="G1932" s="11">
        <f>INT(C1932)</f>
        <v/>
      </c>
    </row>
    <row r="1933">
      <c r="A1933" s="2" t="inlineStr">
        <is>
          <t>SHE36</t>
        </is>
      </c>
      <c r="B1933" s="3" t="n">
        <v>46071.25</v>
      </c>
      <c r="C1933" s="3" t="n">
        <v>46071.75</v>
      </c>
      <c r="D1933" s="4">
        <f>(C1933-B1933)*24</f>
        <v/>
      </c>
      <c r="E1933" s="5">
        <f>IF(AND(HOUR(B1933)&gt;=6,HOUR(B1933)&lt;18),"Day Shift","Night Shift")</f>
        <v/>
      </c>
      <c r="F1933" s="6">
        <f>INT(B1933)</f>
        <v/>
      </c>
      <c r="G1933" s="6">
        <f>INT(C1933)</f>
        <v/>
      </c>
    </row>
    <row r="1934">
      <c r="A1934" s="7" t="inlineStr">
        <is>
          <t>SHE36</t>
        </is>
      </c>
      <c r="B1934" s="8" t="n">
        <v>46071.75</v>
      </c>
      <c r="C1934" s="8" t="n">
        <v>46072.03150462963</v>
      </c>
      <c r="D1934" s="9">
        <f>(C1934-B1934)*24</f>
        <v/>
      </c>
      <c r="E1934" s="10">
        <f>IF(AND(HOUR(B1934)&gt;=6,HOUR(B1934)&lt;18),"Day Shift","Night Shift")</f>
        <v/>
      </c>
      <c r="F1934" s="11">
        <f>INT(B1934)</f>
        <v/>
      </c>
      <c r="G1934" s="11">
        <f>INT(C1934)</f>
        <v/>
      </c>
    </row>
    <row r="1935">
      <c r="A1935" s="7" t="inlineStr">
        <is>
          <t>EDD1932;EDD2134;EDD2541</t>
        </is>
      </c>
      <c r="B1935" s="8" t="n">
        <v>46071.12686342592</v>
      </c>
      <c r="C1935" s="8" t="n">
        <v>46071.25</v>
      </c>
      <c r="D1935" s="9">
        <f>(C1935-B1935)*24</f>
        <v/>
      </c>
      <c r="E1935" s="10">
        <f>IF(AND(HOUR(B1935)&gt;=6,HOUR(B1935)&lt;18),"Day Shift","Night Shift")</f>
        <v/>
      </c>
      <c r="F1935" s="11">
        <f>INT(B1935)</f>
        <v/>
      </c>
      <c r="G1935" s="11">
        <f>INT(C1935)</f>
        <v/>
      </c>
    </row>
    <row r="1936">
      <c r="A1936" s="2" t="inlineStr">
        <is>
          <t>EDD1932;EDD2134;EDD2541</t>
        </is>
      </c>
      <c r="B1936" s="3" t="n">
        <v>46071.25</v>
      </c>
      <c r="C1936" s="3" t="n">
        <v>46071.43912037037</v>
      </c>
      <c r="D1936" s="4">
        <f>(C1936-B1936)*24</f>
        <v/>
      </c>
      <c r="E1936" s="5">
        <f>IF(AND(HOUR(B1936)&gt;=6,HOUR(B1936)&lt;18),"Day Shift","Night Shift")</f>
        <v/>
      </c>
      <c r="F1936" s="6">
        <f>INT(B1936)</f>
        <v/>
      </c>
      <c r="G1936" s="6">
        <f>INT(C1936)</f>
        <v/>
      </c>
    </row>
    <row r="1937">
      <c r="A1937" s="7" t="inlineStr">
        <is>
          <t>EXD55</t>
        </is>
      </c>
      <c r="B1937" s="8" t="n">
        <v>46071.18221064815</v>
      </c>
      <c r="C1937" s="8" t="n">
        <v>46071.25</v>
      </c>
      <c r="D1937" s="9">
        <f>(C1937-B1937)*24</f>
        <v/>
      </c>
      <c r="E1937" s="10">
        <f>IF(AND(HOUR(B1937)&gt;=6,HOUR(B1937)&lt;18),"Day Shift","Night Shift")</f>
        <v/>
      </c>
      <c r="F1937" s="11">
        <f>INT(B1937)</f>
        <v/>
      </c>
      <c r="G1937" s="11">
        <f>INT(C1937)</f>
        <v/>
      </c>
    </row>
    <row r="1938">
      <c r="A1938" s="2" t="inlineStr">
        <is>
          <t>EXD55</t>
        </is>
      </c>
      <c r="B1938" s="3" t="n">
        <v>46071.25</v>
      </c>
      <c r="C1938" s="3" t="n">
        <v>46071.56366898148</v>
      </c>
      <c r="D1938" s="4">
        <f>(C1938-B1938)*24</f>
        <v/>
      </c>
      <c r="E1938" s="5">
        <f>IF(AND(HOUR(B1938)&gt;=6,HOUR(B1938)&lt;18),"Day Shift","Night Shift")</f>
        <v/>
      </c>
      <c r="F1938" s="6">
        <f>INT(B1938)</f>
        <v/>
      </c>
      <c r="G1938" s="6">
        <f>INT(C1938)</f>
        <v/>
      </c>
    </row>
    <row r="1939">
      <c r="A1939" s="7" t="inlineStr">
        <is>
          <t>LDW265</t>
        </is>
      </c>
      <c r="B1939" s="8" t="n">
        <v>46071.18547453704</v>
      </c>
      <c r="C1939" s="8" t="n">
        <v>46071.25</v>
      </c>
      <c r="D1939" s="9">
        <f>(C1939-B1939)*24</f>
        <v/>
      </c>
      <c r="E1939" s="10">
        <f>IF(AND(HOUR(B1939)&gt;=6,HOUR(B1939)&lt;18),"Day Shift","Night Shift")</f>
        <v/>
      </c>
      <c r="F1939" s="11">
        <f>INT(B1939)</f>
        <v/>
      </c>
      <c r="G1939" s="11">
        <f>INT(C1939)</f>
        <v/>
      </c>
    </row>
    <row r="1940">
      <c r="A1940" s="2" t="inlineStr">
        <is>
          <t>LDW265</t>
        </is>
      </c>
      <c r="B1940" s="3" t="n">
        <v>46071.25</v>
      </c>
      <c r="C1940" s="3" t="n">
        <v>46071.75</v>
      </c>
      <c r="D1940" s="4">
        <f>(C1940-B1940)*24</f>
        <v/>
      </c>
      <c r="E1940" s="5">
        <f>IF(AND(HOUR(B1940)&gt;=6,HOUR(B1940)&lt;18),"Day Shift","Night Shift")</f>
        <v/>
      </c>
      <c r="F1940" s="6">
        <f>INT(B1940)</f>
        <v/>
      </c>
      <c r="G1940" s="6">
        <f>INT(C1940)</f>
        <v/>
      </c>
    </row>
    <row r="1941">
      <c r="A1941" s="7" t="inlineStr">
        <is>
          <t>LDW265</t>
        </is>
      </c>
      <c r="B1941" s="8" t="n">
        <v>46071.75</v>
      </c>
      <c r="C1941" s="8" t="n">
        <v>46072.25</v>
      </c>
      <c r="D1941" s="9">
        <f>(C1941-B1941)*24</f>
        <v/>
      </c>
      <c r="E1941" s="10">
        <f>IF(AND(HOUR(B1941)&gt;=6,HOUR(B1941)&lt;18),"Day Shift","Night Shift")</f>
        <v/>
      </c>
      <c r="F1941" s="11">
        <f>INT(B1941)</f>
        <v/>
      </c>
      <c r="G1941" s="11">
        <f>INT(C1941)</f>
        <v/>
      </c>
    </row>
    <row r="1942">
      <c r="A1942" s="2" t="inlineStr">
        <is>
          <t>LDW265</t>
        </is>
      </c>
      <c r="B1942" s="3" t="n">
        <v>46072.25</v>
      </c>
      <c r="C1942" s="3" t="n">
        <v>46072.32192129629</v>
      </c>
      <c r="D1942" s="4">
        <f>(C1942-B1942)*24</f>
        <v/>
      </c>
      <c r="E1942" s="5">
        <f>IF(AND(HOUR(B1942)&gt;=6,HOUR(B1942)&lt;18),"Day Shift","Night Shift")</f>
        <v/>
      </c>
      <c r="F1942" s="6">
        <f>INT(B1942)</f>
        <v/>
      </c>
      <c r="G1942" s="6">
        <f>INT(C1942)</f>
        <v/>
      </c>
    </row>
    <row r="1943">
      <c r="A1943" s="7" t="inlineStr">
        <is>
          <t>EXD51</t>
        </is>
      </c>
      <c r="B1943" s="8" t="n">
        <v>46071.22700231482</v>
      </c>
      <c r="C1943" s="8" t="n">
        <v>46071.25</v>
      </c>
      <c r="D1943" s="9">
        <f>(C1943-B1943)*24</f>
        <v/>
      </c>
      <c r="E1943" s="10">
        <f>IF(AND(HOUR(B1943)&gt;=6,HOUR(B1943)&lt;18),"Day Shift","Night Shift")</f>
        <v/>
      </c>
      <c r="F1943" s="11">
        <f>INT(B1943)</f>
        <v/>
      </c>
      <c r="G1943" s="11">
        <f>INT(C1943)</f>
        <v/>
      </c>
    </row>
    <row r="1944">
      <c r="A1944" s="2" t="inlineStr">
        <is>
          <t>EXD51</t>
        </is>
      </c>
      <c r="B1944" s="3" t="n">
        <v>46071.25</v>
      </c>
      <c r="C1944" s="3" t="n">
        <v>46071.57081018519</v>
      </c>
      <c r="D1944" s="4">
        <f>(C1944-B1944)*24</f>
        <v/>
      </c>
      <c r="E1944" s="5">
        <f>IF(AND(HOUR(B1944)&gt;=6,HOUR(B1944)&lt;18),"Day Shift","Night Shift")</f>
        <v/>
      </c>
      <c r="F1944" s="6">
        <f>INT(B1944)</f>
        <v/>
      </c>
      <c r="G1944" s="6">
        <f>INT(C1944)</f>
        <v/>
      </c>
    </row>
    <row r="1945">
      <c r="A1945" s="7" t="inlineStr">
        <is>
          <t>Blast Crew</t>
        </is>
      </c>
      <c r="B1945" s="8" t="n">
        <v>46071.24101851852</v>
      </c>
      <c r="C1945" s="8" t="n">
        <v>46071.25</v>
      </c>
      <c r="D1945" s="9">
        <f>(C1945-B1945)*24</f>
        <v/>
      </c>
      <c r="E1945" s="10">
        <f>IF(AND(HOUR(B1945)&gt;=6,HOUR(B1945)&lt;18),"Day Shift","Night Shift")</f>
        <v/>
      </c>
      <c r="F1945" s="11">
        <f>INT(B1945)</f>
        <v/>
      </c>
      <c r="G1945" s="11">
        <f>INT(C1945)</f>
        <v/>
      </c>
    </row>
    <row r="1946">
      <c r="A1946" s="2" t="inlineStr">
        <is>
          <t>Blast Crew</t>
        </is>
      </c>
      <c r="B1946" s="3" t="n">
        <v>46071.25</v>
      </c>
      <c r="C1946" s="3" t="n">
        <v>46071.48100694444</v>
      </c>
      <c r="D1946" s="4">
        <f>(C1946-B1946)*24</f>
        <v/>
      </c>
      <c r="E1946" s="5">
        <f>IF(AND(HOUR(B1946)&gt;=6,HOUR(B1946)&lt;18),"Day Shift","Night Shift")</f>
        <v/>
      </c>
      <c r="F1946" s="6">
        <f>INT(B1946)</f>
        <v/>
      </c>
      <c r="G1946" s="6">
        <f>INT(C1946)</f>
        <v/>
      </c>
    </row>
    <row r="1947">
      <c r="A1947" s="2" t="inlineStr">
        <is>
          <t>EXD73;EXD61</t>
        </is>
      </c>
      <c r="B1947" s="3" t="n">
        <v>46071.42212962963</v>
      </c>
      <c r="C1947" s="3" t="n">
        <v>46071.75</v>
      </c>
      <c r="D1947" s="4">
        <f>(C1947-B1947)*24</f>
        <v/>
      </c>
      <c r="E1947" s="5">
        <f>IF(AND(HOUR(B1947)&gt;=6,HOUR(B1947)&lt;18),"Day Shift","Night Shift")</f>
        <v/>
      </c>
      <c r="F1947" s="6">
        <f>INT(B1947)</f>
        <v/>
      </c>
      <c r="G1947" s="6">
        <f>INT(C1947)</f>
        <v/>
      </c>
    </row>
    <row r="1948">
      <c r="A1948" s="7" t="inlineStr">
        <is>
          <t>EXD73;EXD61</t>
        </is>
      </c>
      <c r="B1948" s="8" t="n">
        <v>46071.75</v>
      </c>
      <c r="C1948" s="8" t="n">
        <v>46072.25</v>
      </c>
      <c r="D1948" s="9">
        <f>(C1948-B1948)*24</f>
        <v/>
      </c>
      <c r="E1948" s="10">
        <f>IF(AND(HOUR(B1948)&gt;=6,HOUR(B1948)&lt;18),"Day Shift","Night Shift")</f>
        <v/>
      </c>
      <c r="F1948" s="11">
        <f>INT(B1948)</f>
        <v/>
      </c>
      <c r="G1948" s="11">
        <f>INT(C1948)</f>
        <v/>
      </c>
    </row>
    <row r="1949">
      <c r="A1949" s="2" t="inlineStr">
        <is>
          <t>EXD73;EXD61</t>
        </is>
      </c>
      <c r="B1949" s="3" t="n">
        <v>46072.25</v>
      </c>
      <c r="C1949" s="3" t="n">
        <v>46072.75</v>
      </c>
      <c r="D1949" s="4">
        <f>(C1949-B1949)*24</f>
        <v/>
      </c>
      <c r="E1949" s="5">
        <f>IF(AND(HOUR(B1949)&gt;=6,HOUR(B1949)&lt;18),"Day Shift","Night Shift")</f>
        <v/>
      </c>
      <c r="F1949" s="6">
        <f>INT(B1949)</f>
        <v/>
      </c>
      <c r="G1949" s="6">
        <f>INT(C1949)</f>
        <v/>
      </c>
    </row>
    <row r="1950">
      <c r="A1950" s="7" t="inlineStr">
        <is>
          <t>EXD73;EXD61</t>
        </is>
      </c>
      <c r="B1950" s="8" t="n">
        <v>46072.75</v>
      </c>
      <c r="C1950" s="8" t="n">
        <v>46073.25</v>
      </c>
      <c r="D1950" s="9">
        <f>(C1950-B1950)*24</f>
        <v/>
      </c>
      <c r="E1950" s="10">
        <f>IF(AND(HOUR(B1950)&gt;=6,HOUR(B1950)&lt;18),"Day Shift","Night Shift")</f>
        <v/>
      </c>
      <c r="F1950" s="11">
        <f>INT(B1950)</f>
        <v/>
      </c>
      <c r="G1950" s="11">
        <f>INT(C1950)</f>
        <v/>
      </c>
    </row>
    <row r="1951">
      <c r="A1951" s="2" t="inlineStr">
        <is>
          <t>EXD73;EXD61</t>
        </is>
      </c>
      <c r="B1951" s="3" t="n">
        <v>46073.25</v>
      </c>
      <c r="C1951" s="3" t="n">
        <v>46073.75</v>
      </c>
      <c r="D1951" s="4">
        <f>(C1951-B1951)*24</f>
        <v/>
      </c>
      <c r="E1951" s="5">
        <f>IF(AND(HOUR(B1951)&gt;=6,HOUR(B1951)&lt;18),"Day Shift","Night Shift")</f>
        <v/>
      </c>
      <c r="F1951" s="6">
        <f>INT(B1951)</f>
        <v/>
      </c>
      <c r="G1951" s="6">
        <f>INT(C1951)</f>
        <v/>
      </c>
    </row>
    <row r="1952">
      <c r="A1952" s="7" t="inlineStr">
        <is>
          <t>EXD73;EXD61</t>
        </is>
      </c>
      <c r="B1952" s="8" t="n">
        <v>46073.75</v>
      </c>
      <c r="C1952" s="8" t="n">
        <v>46074.25</v>
      </c>
      <c r="D1952" s="9">
        <f>(C1952-B1952)*24</f>
        <v/>
      </c>
      <c r="E1952" s="10">
        <f>IF(AND(HOUR(B1952)&gt;=6,HOUR(B1952)&lt;18),"Day Shift","Night Shift")</f>
        <v/>
      </c>
      <c r="F1952" s="11">
        <f>INT(B1952)</f>
        <v/>
      </c>
      <c r="G1952" s="11">
        <f>INT(C1952)</f>
        <v/>
      </c>
    </row>
    <row r="1953">
      <c r="A1953" s="2" t="inlineStr">
        <is>
          <t>EXD73;EXD61</t>
        </is>
      </c>
      <c r="B1953" s="3" t="n">
        <v>46074.25</v>
      </c>
      <c r="C1953" s="3" t="n">
        <v>46074.75</v>
      </c>
      <c r="D1953" s="4">
        <f>(C1953-B1953)*24</f>
        <v/>
      </c>
      <c r="E1953" s="5">
        <f>IF(AND(HOUR(B1953)&gt;=6,HOUR(B1953)&lt;18),"Day Shift","Night Shift")</f>
        <v/>
      </c>
      <c r="F1953" s="6">
        <f>INT(B1953)</f>
        <v/>
      </c>
      <c r="G1953" s="6">
        <f>INT(C1953)</f>
        <v/>
      </c>
    </row>
    <row r="1954">
      <c r="A1954" s="7" t="inlineStr">
        <is>
          <t>EXD73;EXD61</t>
        </is>
      </c>
      <c r="B1954" s="8" t="n">
        <v>46074.75</v>
      </c>
      <c r="C1954" s="8" t="n">
        <v>46075.25</v>
      </c>
      <c r="D1954" s="9">
        <f>(C1954-B1954)*24</f>
        <v/>
      </c>
      <c r="E1954" s="10">
        <f>IF(AND(HOUR(B1954)&gt;=6,HOUR(B1954)&lt;18),"Day Shift","Night Shift")</f>
        <v/>
      </c>
      <c r="F1954" s="11">
        <f>INT(B1954)</f>
        <v/>
      </c>
      <c r="G1954" s="11">
        <f>INT(C1954)</f>
        <v/>
      </c>
    </row>
    <row r="1955">
      <c r="A1955" s="2" t="inlineStr">
        <is>
          <t>EXD73;EXD61</t>
        </is>
      </c>
      <c r="B1955" s="3" t="n">
        <v>46075.25</v>
      </c>
      <c r="C1955" s="3" t="n">
        <v>46075.75</v>
      </c>
      <c r="D1955" s="4">
        <f>(C1955-B1955)*24</f>
        <v/>
      </c>
      <c r="E1955" s="5">
        <f>IF(AND(HOUR(B1955)&gt;=6,HOUR(B1955)&lt;18),"Day Shift","Night Shift")</f>
        <v/>
      </c>
      <c r="F1955" s="6">
        <f>INT(B1955)</f>
        <v/>
      </c>
      <c r="G1955" s="6">
        <f>INT(C1955)</f>
        <v/>
      </c>
    </row>
    <row r="1956">
      <c r="A1956" s="7" t="inlineStr">
        <is>
          <t>EXD73;EXD61</t>
        </is>
      </c>
      <c r="B1956" s="8" t="n">
        <v>46075.75</v>
      </c>
      <c r="C1956" s="8" t="n">
        <v>46076.25</v>
      </c>
      <c r="D1956" s="9">
        <f>(C1956-B1956)*24</f>
        <v/>
      </c>
      <c r="E1956" s="10">
        <f>IF(AND(HOUR(B1956)&gt;=6,HOUR(B1956)&lt;18),"Day Shift","Night Shift")</f>
        <v/>
      </c>
      <c r="F1956" s="11">
        <f>INT(B1956)</f>
        <v/>
      </c>
      <c r="G1956" s="11">
        <f>INT(C1956)</f>
        <v/>
      </c>
    </row>
    <row r="1957">
      <c r="A1957" s="2" t="inlineStr">
        <is>
          <t>EXD73;EXD61</t>
        </is>
      </c>
      <c r="B1957" s="3" t="n">
        <v>46076.25</v>
      </c>
      <c r="C1957" s="3" t="n">
        <v>46076.75</v>
      </c>
      <c r="D1957" s="4">
        <f>(C1957-B1957)*24</f>
        <v/>
      </c>
      <c r="E1957" s="5">
        <f>IF(AND(HOUR(B1957)&gt;=6,HOUR(B1957)&lt;18),"Day Shift","Night Shift")</f>
        <v/>
      </c>
      <c r="F1957" s="6">
        <f>INT(B1957)</f>
        <v/>
      </c>
      <c r="G1957" s="6">
        <f>INT(C1957)</f>
        <v/>
      </c>
    </row>
    <row r="1958">
      <c r="A1958" s="7" t="inlineStr">
        <is>
          <t>EXD73;EXD61</t>
        </is>
      </c>
      <c r="B1958" s="8" t="n">
        <v>46076.75</v>
      </c>
      <c r="C1958" s="8" t="n">
        <v>46077.25</v>
      </c>
      <c r="D1958" s="9">
        <f>(C1958-B1958)*24</f>
        <v/>
      </c>
      <c r="E1958" s="10">
        <f>IF(AND(HOUR(B1958)&gt;=6,HOUR(B1958)&lt;18),"Day Shift","Night Shift")</f>
        <v/>
      </c>
      <c r="F1958" s="11">
        <f>INT(B1958)</f>
        <v/>
      </c>
      <c r="G1958" s="11">
        <f>INT(C1958)</f>
        <v/>
      </c>
    </row>
    <row r="1959">
      <c r="A1959" s="2" t="inlineStr">
        <is>
          <t>EXD73;EXD61</t>
        </is>
      </c>
      <c r="B1959" s="3" t="n">
        <v>46077.25</v>
      </c>
      <c r="C1959" s="3" t="n">
        <v>46077.75</v>
      </c>
      <c r="D1959" s="4">
        <f>(C1959-B1959)*24</f>
        <v/>
      </c>
      <c r="E1959" s="5">
        <f>IF(AND(HOUR(B1959)&gt;=6,HOUR(B1959)&lt;18),"Day Shift","Night Shift")</f>
        <v/>
      </c>
      <c r="F1959" s="6">
        <f>INT(B1959)</f>
        <v/>
      </c>
      <c r="G1959" s="6">
        <f>INT(C1959)</f>
        <v/>
      </c>
    </row>
    <row r="1960">
      <c r="A1960" s="7" t="inlineStr">
        <is>
          <t>EXD73;EXD61</t>
        </is>
      </c>
      <c r="B1960" s="8" t="n">
        <v>46077.75</v>
      </c>
      <c r="C1960" s="8" t="n">
        <v>46078.25</v>
      </c>
      <c r="D1960" s="9">
        <f>(C1960-B1960)*24</f>
        <v/>
      </c>
      <c r="E1960" s="10">
        <f>IF(AND(HOUR(B1960)&gt;=6,HOUR(B1960)&lt;18),"Day Shift","Night Shift")</f>
        <v/>
      </c>
      <c r="F1960" s="11">
        <f>INT(B1960)</f>
        <v/>
      </c>
      <c r="G1960" s="11">
        <f>INT(C1960)</f>
        <v/>
      </c>
    </row>
    <row r="1961">
      <c r="A1961" s="2" t="inlineStr">
        <is>
          <t>EXD73;EXD61</t>
        </is>
      </c>
      <c r="B1961" s="3" t="n">
        <v>46078.25</v>
      </c>
      <c r="C1961" s="3" t="n">
        <v>46078.75</v>
      </c>
      <c r="D1961" s="4">
        <f>(C1961-B1961)*24</f>
        <v/>
      </c>
      <c r="E1961" s="5">
        <f>IF(AND(HOUR(B1961)&gt;=6,HOUR(B1961)&lt;18),"Day Shift","Night Shift")</f>
        <v/>
      </c>
      <c r="F1961" s="6">
        <f>INT(B1961)</f>
        <v/>
      </c>
      <c r="G1961" s="6">
        <f>INT(C1961)</f>
        <v/>
      </c>
    </row>
    <row r="1962">
      <c r="A1962" s="7" t="inlineStr">
        <is>
          <t>EXD73;EXD61</t>
        </is>
      </c>
      <c r="B1962" s="8" t="n">
        <v>46078.75</v>
      </c>
      <c r="C1962" s="8" t="n">
        <v>46079.25</v>
      </c>
      <c r="D1962" s="9">
        <f>(C1962-B1962)*24</f>
        <v/>
      </c>
      <c r="E1962" s="10">
        <f>IF(AND(HOUR(B1962)&gt;=6,HOUR(B1962)&lt;18),"Day Shift","Night Shift")</f>
        <v/>
      </c>
      <c r="F1962" s="11">
        <f>INT(B1962)</f>
        <v/>
      </c>
      <c r="G1962" s="11">
        <f>INT(C1962)</f>
        <v/>
      </c>
    </row>
    <row r="1963">
      <c r="A1963" s="2" t="inlineStr">
        <is>
          <t>EXD73;EXD61</t>
        </is>
      </c>
      <c r="B1963" s="3" t="n">
        <v>46079.25</v>
      </c>
      <c r="C1963" s="3" t="n">
        <v>46079.75</v>
      </c>
      <c r="D1963" s="4">
        <f>(C1963-B1963)*24</f>
        <v/>
      </c>
      <c r="E1963" s="5">
        <f>IF(AND(HOUR(B1963)&gt;=6,HOUR(B1963)&lt;18),"Day Shift","Night Shift")</f>
        <v/>
      </c>
      <c r="F1963" s="6">
        <f>INT(B1963)</f>
        <v/>
      </c>
      <c r="G1963" s="6">
        <f>INT(C1963)</f>
        <v/>
      </c>
    </row>
    <row r="1964">
      <c r="A1964" s="7" t="inlineStr">
        <is>
          <t>EXD73;EXD61</t>
        </is>
      </c>
      <c r="B1964" s="8" t="n">
        <v>46079.75</v>
      </c>
      <c r="C1964" s="8" t="n">
        <v>46080.25</v>
      </c>
      <c r="D1964" s="9">
        <f>(C1964-B1964)*24</f>
        <v/>
      </c>
      <c r="E1964" s="10">
        <f>IF(AND(HOUR(B1964)&gt;=6,HOUR(B1964)&lt;18),"Day Shift","Night Shift")</f>
        <v/>
      </c>
      <c r="F1964" s="11">
        <f>INT(B1964)</f>
        <v/>
      </c>
      <c r="G1964" s="11">
        <f>INT(C1964)</f>
        <v/>
      </c>
    </row>
    <row r="1965">
      <c r="A1965" s="2" t="inlineStr">
        <is>
          <t>EXD73;EXD61</t>
        </is>
      </c>
      <c r="B1965" s="3" t="n">
        <v>46080.25</v>
      </c>
      <c r="C1965" s="3" t="n">
        <v>46080.75</v>
      </c>
      <c r="D1965" s="4">
        <f>(C1965-B1965)*24</f>
        <v/>
      </c>
      <c r="E1965" s="5">
        <f>IF(AND(HOUR(B1965)&gt;=6,HOUR(B1965)&lt;18),"Day Shift","Night Shift")</f>
        <v/>
      </c>
      <c r="F1965" s="6">
        <f>INT(B1965)</f>
        <v/>
      </c>
      <c r="G1965" s="6">
        <f>INT(C1965)</f>
        <v/>
      </c>
    </row>
    <row r="1966">
      <c r="A1966" s="7" t="inlineStr">
        <is>
          <t>EXD73;EXD61</t>
        </is>
      </c>
      <c r="B1966" s="8" t="n">
        <v>46080.75</v>
      </c>
      <c r="C1966" s="8" t="n">
        <v>46081.25</v>
      </c>
      <c r="D1966" s="9">
        <f>(C1966-B1966)*24</f>
        <v/>
      </c>
      <c r="E1966" s="10">
        <f>IF(AND(HOUR(B1966)&gt;=6,HOUR(B1966)&lt;18),"Day Shift","Night Shift")</f>
        <v/>
      </c>
      <c r="F1966" s="11">
        <f>INT(B1966)</f>
        <v/>
      </c>
      <c r="G1966" s="11">
        <f>INT(C1966)</f>
        <v/>
      </c>
    </row>
    <row r="1967">
      <c r="A1967" s="2" t="inlineStr">
        <is>
          <t>EXD73;EXD61</t>
        </is>
      </c>
      <c r="B1967" s="3" t="n">
        <v>46081.25</v>
      </c>
      <c r="C1967" s="3" t="n">
        <v>46081.75</v>
      </c>
      <c r="D1967" s="4">
        <f>(C1967-B1967)*24</f>
        <v/>
      </c>
      <c r="E1967" s="5">
        <f>IF(AND(HOUR(B1967)&gt;=6,HOUR(B1967)&lt;18),"Day Shift","Night Shift")</f>
        <v/>
      </c>
      <c r="F1967" s="6">
        <f>INT(B1967)</f>
        <v/>
      </c>
      <c r="G1967" s="6">
        <f>INT(C1967)</f>
        <v/>
      </c>
    </row>
    <row r="1968">
      <c r="A1968" s="7" t="inlineStr">
        <is>
          <t>EXD73;EXD61</t>
        </is>
      </c>
      <c r="B1968" s="8" t="n">
        <v>46081.75</v>
      </c>
      <c r="C1968" s="8" t="n">
        <v>46082.07016203704</v>
      </c>
      <c r="D1968" s="9">
        <f>(C1968-B1968)*24</f>
        <v/>
      </c>
      <c r="E1968" s="10">
        <f>IF(AND(HOUR(B1968)&gt;=6,HOUR(B1968)&lt;18),"Day Shift","Night Shift")</f>
        <v/>
      </c>
      <c r="F1968" s="11">
        <f>INT(B1968)</f>
        <v/>
      </c>
      <c r="G1968" s="11">
        <f>INT(C1968)</f>
        <v/>
      </c>
    </row>
    <row r="1969">
      <c r="A1969" s="2" t="inlineStr">
        <is>
          <t>EDD1932;EDD2134;EDD2541</t>
        </is>
      </c>
      <c r="B1969" s="3" t="n">
        <v>46071.43912037037</v>
      </c>
      <c r="C1969" s="3" t="n">
        <v>46071.74888888889</v>
      </c>
      <c r="D1969" s="4">
        <f>(C1969-B1969)*24</f>
        <v/>
      </c>
      <c r="E1969" s="5">
        <f>IF(AND(HOUR(B1969)&gt;=6,HOUR(B1969)&lt;18),"Day Shift","Night Shift")</f>
        <v/>
      </c>
      <c r="F1969" s="6">
        <f>INT(B1969)</f>
        <v/>
      </c>
      <c r="G1969" s="6">
        <f>INT(C1969)</f>
        <v/>
      </c>
    </row>
    <row r="1970">
      <c r="A1970" s="2" t="inlineStr">
        <is>
          <t>EXD61</t>
        </is>
      </c>
      <c r="B1970" s="3" t="n">
        <v>46071.46940972222</v>
      </c>
      <c r="C1970" s="3" t="n">
        <v>46071.75</v>
      </c>
      <c r="D1970" s="4">
        <f>(C1970-B1970)*24</f>
        <v/>
      </c>
      <c r="E1970" s="5">
        <f>IF(AND(HOUR(B1970)&gt;=6,HOUR(B1970)&lt;18),"Day Shift","Night Shift")</f>
        <v/>
      </c>
      <c r="F1970" s="6">
        <f>INT(B1970)</f>
        <v/>
      </c>
      <c r="G1970" s="6">
        <f>INT(C1970)</f>
        <v/>
      </c>
    </row>
    <row r="1971">
      <c r="A1971" s="7" t="inlineStr">
        <is>
          <t>EXD61</t>
        </is>
      </c>
      <c r="B1971" s="8" t="n">
        <v>46071.75</v>
      </c>
      <c r="C1971" s="8" t="n">
        <v>46072.25</v>
      </c>
      <c r="D1971" s="9">
        <f>(C1971-B1971)*24</f>
        <v/>
      </c>
      <c r="E1971" s="10">
        <f>IF(AND(HOUR(B1971)&gt;=6,HOUR(B1971)&lt;18),"Day Shift","Night Shift")</f>
        <v/>
      </c>
      <c r="F1971" s="11">
        <f>INT(B1971)</f>
        <v/>
      </c>
      <c r="G1971" s="11">
        <f>INT(C1971)</f>
        <v/>
      </c>
    </row>
    <row r="1972">
      <c r="A1972" s="2" t="inlineStr">
        <is>
          <t>EXD61</t>
        </is>
      </c>
      <c r="B1972" s="3" t="n">
        <v>46072.25</v>
      </c>
      <c r="C1972" s="3" t="n">
        <v>46072.75</v>
      </c>
      <c r="D1972" s="4">
        <f>(C1972-B1972)*24</f>
        <v/>
      </c>
      <c r="E1972" s="5">
        <f>IF(AND(HOUR(B1972)&gt;=6,HOUR(B1972)&lt;18),"Day Shift","Night Shift")</f>
        <v/>
      </c>
      <c r="F1972" s="6">
        <f>INT(B1972)</f>
        <v/>
      </c>
      <c r="G1972" s="6">
        <f>INT(C1972)</f>
        <v/>
      </c>
    </row>
    <row r="1973">
      <c r="A1973" s="7" t="inlineStr">
        <is>
          <t>EXD61</t>
        </is>
      </c>
      <c r="B1973" s="8" t="n">
        <v>46072.75</v>
      </c>
      <c r="C1973" s="8" t="n">
        <v>46073.25</v>
      </c>
      <c r="D1973" s="9">
        <f>(C1973-B1973)*24</f>
        <v/>
      </c>
      <c r="E1973" s="10">
        <f>IF(AND(HOUR(B1973)&gt;=6,HOUR(B1973)&lt;18),"Day Shift","Night Shift")</f>
        <v/>
      </c>
      <c r="F1973" s="11">
        <f>INT(B1973)</f>
        <v/>
      </c>
      <c r="G1973" s="11">
        <f>INT(C1973)</f>
        <v/>
      </c>
    </row>
    <row r="1974">
      <c r="A1974" s="2" t="inlineStr">
        <is>
          <t>EXD61</t>
        </is>
      </c>
      <c r="B1974" s="3" t="n">
        <v>46073.25</v>
      </c>
      <c r="C1974" s="3" t="n">
        <v>46073.60162037037</v>
      </c>
      <c r="D1974" s="4">
        <f>(C1974-B1974)*24</f>
        <v/>
      </c>
      <c r="E1974" s="5">
        <f>IF(AND(HOUR(B1974)&gt;=6,HOUR(B1974)&lt;18),"Day Shift","Night Shift")</f>
        <v/>
      </c>
      <c r="F1974" s="6">
        <f>INT(B1974)</f>
        <v/>
      </c>
      <c r="G1974" s="6">
        <f>INT(C1974)</f>
        <v/>
      </c>
    </row>
    <row r="1975">
      <c r="A1975" s="2" t="inlineStr">
        <is>
          <t>Blast Crew</t>
        </is>
      </c>
      <c r="B1975" s="3" t="n">
        <v>46071.48100694444</v>
      </c>
      <c r="C1975" s="3" t="n">
        <v>46071.70923611111</v>
      </c>
      <c r="D1975" s="4">
        <f>(C1975-B1975)*24</f>
        <v/>
      </c>
      <c r="E1975" s="5">
        <f>IF(AND(HOUR(B1975)&gt;=6,HOUR(B1975)&lt;18),"Day Shift","Night Shift")</f>
        <v/>
      </c>
      <c r="F1975" s="6">
        <f>INT(B1975)</f>
        <v/>
      </c>
      <c r="G1975" s="6">
        <f>INT(C1975)</f>
        <v/>
      </c>
    </row>
    <row r="1976">
      <c r="A1976" s="2" t="inlineStr">
        <is>
          <t>EDD175</t>
        </is>
      </c>
      <c r="B1976" s="3" t="n">
        <v>46071.56269675926</v>
      </c>
      <c r="C1976" s="3" t="n">
        <v>46071.75</v>
      </c>
      <c r="D1976" s="4">
        <f>(C1976-B1976)*24</f>
        <v/>
      </c>
      <c r="E1976" s="5">
        <f>IF(AND(HOUR(B1976)&gt;=6,HOUR(B1976)&lt;18),"Day Shift","Night Shift")</f>
        <v/>
      </c>
      <c r="F1976" s="6">
        <f>INT(B1976)</f>
        <v/>
      </c>
      <c r="G1976" s="6">
        <f>INT(C1976)</f>
        <v/>
      </c>
    </row>
    <row r="1977">
      <c r="A1977" s="7" t="inlineStr">
        <is>
          <t>EDD175</t>
        </is>
      </c>
      <c r="B1977" s="8" t="n">
        <v>46071.75</v>
      </c>
      <c r="C1977" s="8" t="n">
        <v>46072.05193287037</v>
      </c>
      <c r="D1977" s="9">
        <f>(C1977-B1977)*24</f>
        <v/>
      </c>
      <c r="E1977" s="10">
        <f>IF(AND(HOUR(B1977)&gt;=6,HOUR(B1977)&lt;18),"Day Shift","Night Shift")</f>
        <v/>
      </c>
      <c r="F1977" s="11">
        <f>INT(B1977)</f>
        <v/>
      </c>
      <c r="G1977" s="11">
        <f>INT(C1977)</f>
        <v/>
      </c>
    </row>
    <row r="1978">
      <c r="A1978" s="2" t="inlineStr">
        <is>
          <t>EXD55</t>
        </is>
      </c>
      <c r="B1978" s="3" t="n">
        <v>46071.56366898148</v>
      </c>
      <c r="C1978" s="3" t="n">
        <v>46071.75</v>
      </c>
      <c r="D1978" s="4">
        <f>(C1978-B1978)*24</f>
        <v/>
      </c>
      <c r="E1978" s="5">
        <f>IF(AND(HOUR(B1978)&gt;=6,HOUR(B1978)&lt;18),"Day Shift","Night Shift")</f>
        <v/>
      </c>
      <c r="F1978" s="6">
        <f>INT(B1978)</f>
        <v/>
      </c>
      <c r="G1978" s="6">
        <f>INT(C1978)</f>
        <v/>
      </c>
    </row>
    <row r="1979">
      <c r="A1979" s="7" t="inlineStr">
        <is>
          <t>EXD55</t>
        </is>
      </c>
      <c r="B1979" s="8" t="n">
        <v>46071.75</v>
      </c>
      <c r="C1979" s="8" t="n">
        <v>46072.25</v>
      </c>
      <c r="D1979" s="9">
        <f>(C1979-B1979)*24</f>
        <v/>
      </c>
      <c r="E1979" s="10">
        <f>IF(AND(HOUR(B1979)&gt;=6,HOUR(B1979)&lt;18),"Day Shift","Night Shift")</f>
        <v/>
      </c>
      <c r="F1979" s="11">
        <f>INT(B1979)</f>
        <v/>
      </c>
      <c r="G1979" s="11">
        <f>INT(C1979)</f>
        <v/>
      </c>
    </row>
    <row r="1980">
      <c r="A1980" s="2" t="inlineStr">
        <is>
          <t>EXD55</t>
        </is>
      </c>
      <c r="B1980" s="3" t="n">
        <v>46072.25</v>
      </c>
      <c r="C1980" s="3" t="n">
        <v>46072.25010416667</v>
      </c>
      <c r="D1980" s="4">
        <f>(C1980-B1980)*24</f>
        <v/>
      </c>
      <c r="E1980" s="5">
        <f>IF(AND(HOUR(B1980)&gt;=6,HOUR(B1980)&lt;18),"Day Shift","Night Shift")</f>
        <v/>
      </c>
      <c r="F1980" s="6">
        <f>INT(B1980)</f>
        <v/>
      </c>
      <c r="G1980" s="6">
        <f>INT(C1980)</f>
        <v/>
      </c>
    </row>
    <row r="1981">
      <c r="A1981" s="2" t="inlineStr">
        <is>
          <t>EXD51</t>
        </is>
      </c>
      <c r="B1981" s="3" t="n">
        <v>46071.57081018519</v>
      </c>
      <c r="C1981" s="3" t="n">
        <v>46071.75</v>
      </c>
      <c r="D1981" s="4">
        <f>(C1981-B1981)*24</f>
        <v/>
      </c>
      <c r="E1981" s="5">
        <f>IF(AND(HOUR(B1981)&gt;=6,HOUR(B1981)&lt;18),"Day Shift","Night Shift")</f>
        <v/>
      </c>
      <c r="F1981" s="6">
        <f>INT(B1981)</f>
        <v/>
      </c>
      <c r="G1981" s="6">
        <f>INT(C1981)</f>
        <v/>
      </c>
    </row>
    <row r="1982">
      <c r="A1982" s="7" t="inlineStr">
        <is>
          <t>EXD51</t>
        </is>
      </c>
      <c r="B1982" s="8" t="n">
        <v>46071.75</v>
      </c>
      <c r="C1982" s="8" t="n">
        <v>46072.10429398148</v>
      </c>
      <c r="D1982" s="9">
        <f>(C1982-B1982)*24</f>
        <v/>
      </c>
      <c r="E1982" s="10">
        <f>IF(AND(HOUR(B1982)&gt;=6,HOUR(B1982)&lt;18),"Day Shift","Night Shift")</f>
        <v/>
      </c>
      <c r="F1982" s="11">
        <f>INT(B1982)</f>
        <v/>
      </c>
      <c r="G1982" s="11">
        <f>INT(C1982)</f>
        <v/>
      </c>
    </row>
    <row r="1983">
      <c r="A1983" s="2" t="inlineStr">
        <is>
          <t>EDD812</t>
        </is>
      </c>
      <c r="B1983" s="3" t="n">
        <v>46071.58729166666</v>
      </c>
      <c r="C1983" s="3" t="n">
        <v>46071.75</v>
      </c>
      <c r="D1983" s="4">
        <f>(C1983-B1983)*24</f>
        <v/>
      </c>
      <c r="E1983" s="5">
        <f>IF(AND(HOUR(B1983)&gt;=6,HOUR(B1983)&lt;18),"Day Shift","Night Shift")</f>
        <v/>
      </c>
      <c r="F1983" s="6">
        <f>INT(B1983)</f>
        <v/>
      </c>
      <c r="G1983" s="6">
        <f>INT(C1983)</f>
        <v/>
      </c>
    </row>
    <row r="1984">
      <c r="A1984" s="7" t="inlineStr">
        <is>
          <t>EDD812</t>
        </is>
      </c>
      <c r="B1984" s="8" t="n">
        <v>46071.75</v>
      </c>
      <c r="C1984" s="8" t="n">
        <v>46072.25</v>
      </c>
      <c r="D1984" s="9">
        <f>(C1984-B1984)*24</f>
        <v/>
      </c>
      <c r="E1984" s="10">
        <f>IF(AND(HOUR(B1984)&gt;=6,HOUR(B1984)&lt;18),"Day Shift","Night Shift")</f>
        <v/>
      </c>
      <c r="F1984" s="11">
        <f>INT(B1984)</f>
        <v/>
      </c>
      <c r="G1984" s="11">
        <f>INT(C1984)</f>
        <v/>
      </c>
    </row>
    <row r="1985">
      <c r="A1985" s="2" t="inlineStr">
        <is>
          <t>EDD812</t>
        </is>
      </c>
      <c r="B1985" s="3" t="n">
        <v>46072.25</v>
      </c>
      <c r="C1985" s="3" t="n">
        <v>46072.75</v>
      </c>
      <c r="D1985" s="4">
        <f>(C1985-B1985)*24</f>
        <v/>
      </c>
      <c r="E1985" s="5">
        <f>IF(AND(HOUR(B1985)&gt;=6,HOUR(B1985)&lt;18),"Day Shift","Night Shift")</f>
        <v/>
      </c>
      <c r="F1985" s="6">
        <f>INT(B1985)</f>
        <v/>
      </c>
      <c r="G1985" s="6">
        <f>INT(C1985)</f>
        <v/>
      </c>
    </row>
    <row r="1986">
      <c r="A1986" s="7" t="inlineStr">
        <is>
          <t>EDD812</t>
        </is>
      </c>
      <c r="B1986" s="8" t="n">
        <v>46072.75</v>
      </c>
      <c r="C1986" s="8" t="n">
        <v>46072.96563657407</v>
      </c>
      <c r="D1986" s="9">
        <f>(C1986-B1986)*24</f>
        <v/>
      </c>
      <c r="E1986" s="10">
        <f>IF(AND(HOUR(B1986)&gt;=6,HOUR(B1986)&lt;18),"Day Shift","Night Shift")</f>
        <v/>
      </c>
      <c r="F1986" s="11">
        <f>INT(B1986)</f>
        <v/>
      </c>
      <c r="G1986" s="11">
        <f>INT(C1986)</f>
        <v/>
      </c>
    </row>
    <row r="1987">
      <c r="A1987" s="2" t="inlineStr">
        <is>
          <t>EXD98</t>
        </is>
      </c>
      <c r="B1987" s="3" t="n">
        <v>46071.63355324074</v>
      </c>
      <c r="C1987" s="3" t="n">
        <v>46071.75</v>
      </c>
      <c r="D1987" s="4">
        <f>(C1987-B1987)*24</f>
        <v/>
      </c>
      <c r="E1987" s="5">
        <f>IF(AND(HOUR(B1987)&gt;=6,HOUR(B1987)&lt;18),"Day Shift","Night Shift")</f>
        <v/>
      </c>
      <c r="F1987" s="6">
        <f>INT(B1987)</f>
        <v/>
      </c>
      <c r="G1987" s="6">
        <f>INT(C1987)</f>
        <v/>
      </c>
    </row>
    <row r="1988">
      <c r="A1988" s="7" t="inlineStr">
        <is>
          <t>EXD98</t>
        </is>
      </c>
      <c r="B1988" s="8" t="n">
        <v>46071.75</v>
      </c>
      <c r="C1988" s="8" t="n">
        <v>46072.25</v>
      </c>
      <c r="D1988" s="9">
        <f>(C1988-B1988)*24</f>
        <v/>
      </c>
      <c r="E1988" s="10">
        <f>IF(AND(HOUR(B1988)&gt;=6,HOUR(B1988)&lt;18),"Day Shift","Night Shift")</f>
        <v/>
      </c>
      <c r="F1988" s="11">
        <f>INT(B1988)</f>
        <v/>
      </c>
      <c r="G1988" s="11">
        <f>INT(C1988)</f>
        <v/>
      </c>
    </row>
    <row r="1989">
      <c r="A1989" s="2" t="inlineStr">
        <is>
          <t>EXD98</t>
        </is>
      </c>
      <c r="B1989" s="3" t="n">
        <v>46072.25</v>
      </c>
      <c r="C1989" s="3" t="n">
        <v>46072.75</v>
      </c>
      <c r="D1989" s="4">
        <f>(C1989-B1989)*24</f>
        <v/>
      </c>
      <c r="E1989" s="5">
        <f>IF(AND(HOUR(B1989)&gt;=6,HOUR(B1989)&lt;18),"Day Shift","Night Shift")</f>
        <v/>
      </c>
      <c r="F1989" s="6">
        <f>INT(B1989)</f>
        <v/>
      </c>
      <c r="G1989" s="6">
        <f>INT(C1989)</f>
        <v/>
      </c>
    </row>
    <row r="1990">
      <c r="A1990" s="7" t="inlineStr">
        <is>
          <t>EXD98</t>
        </is>
      </c>
      <c r="B1990" s="8" t="n">
        <v>46072.75</v>
      </c>
      <c r="C1990" s="8" t="n">
        <v>46072.87100694444</v>
      </c>
      <c r="D1990" s="9">
        <f>(C1990-B1990)*24</f>
        <v/>
      </c>
      <c r="E1990" s="10">
        <f>IF(AND(HOUR(B1990)&gt;=6,HOUR(B1990)&lt;18),"Day Shift","Night Shift")</f>
        <v/>
      </c>
      <c r="F1990" s="11">
        <f>INT(B1990)</f>
        <v/>
      </c>
      <c r="G1990" s="11">
        <f>INT(C1990)</f>
        <v/>
      </c>
    </row>
    <row r="1991">
      <c r="A1991" s="2" t="inlineStr">
        <is>
          <t>EXD409</t>
        </is>
      </c>
      <c r="B1991" s="3" t="n">
        <v>46071.69486111111</v>
      </c>
      <c r="C1991" s="3" t="n">
        <v>46071.75</v>
      </c>
      <c r="D1991" s="4">
        <f>(C1991-B1991)*24</f>
        <v/>
      </c>
      <c r="E1991" s="5">
        <f>IF(AND(HOUR(B1991)&gt;=6,HOUR(B1991)&lt;18),"Day Shift","Night Shift")</f>
        <v/>
      </c>
      <c r="F1991" s="6">
        <f>INT(B1991)</f>
        <v/>
      </c>
      <c r="G1991" s="6">
        <f>INT(C1991)</f>
        <v/>
      </c>
    </row>
    <row r="1992">
      <c r="A1992" s="7" t="inlineStr">
        <is>
          <t>EXD409</t>
        </is>
      </c>
      <c r="B1992" s="8" t="n">
        <v>46071.75</v>
      </c>
      <c r="C1992" s="8" t="n">
        <v>46072.25</v>
      </c>
      <c r="D1992" s="9">
        <f>(C1992-B1992)*24</f>
        <v/>
      </c>
      <c r="E1992" s="10">
        <f>IF(AND(HOUR(B1992)&gt;=6,HOUR(B1992)&lt;18),"Day Shift","Night Shift")</f>
        <v/>
      </c>
      <c r="F1992" s="11">
        <f>INT(B1992)</f>
        <v/>
      </c>
      <c r="G1992" s="11">
        <f>INT(C1992)</f>
        <v/>
      </c>
    </row>
    <row r="1993">
      <c r="A1993" s="2" t="inlineStr">
        <is>
          <t>EXD409</t>
        </is>
      </c>
      <c r="B1993" s="3" t="n">
        <v>46072.25</v>
      </c>
      <c r="C1993" s="3" t="n">
        <v>46072.49597222222</v>
      </c>
      <c r="D1993" s="4">
        <f>(C1993-B1993)*24</f>
        <v/>
      </c>
      <c r="E1993" s="5">
        <f>IF(AND(HOUR(B1993)&gt;=6,HOUR(B1993)&lt;18),"Day Shift","Night Shift")</f>
        <v/>
      </c>
      <c r="F1993" s="6">
        <f>INT(B1993)</f>
        <v/>
      </c>
      <c r="G1993" s="6">
        <f>INT(C1993)</f>
        <v/>
      </c>
    </row>
    <row r="1994">
      <c r="A1994" s="2" t="inlineStr">
        <is>
          <t>Blast Crew</t>
        </is>
      </c>
      <c r="B1994" s="3" t="n">
        <v>46071.70923611111</v>
      </c>
      <c r="C1994" s="3" t="n">
        <v>46071.75</v>
      </c>
      <c r="D1994" s="4">
        <f>(C1994-B1994)*24</f>
        <v/>
      </c>
      <c r="E1994" s="5">
        <f>IF(AND(HOUR(B1994)&gt;=6,HOUR(B1994)&lt;18),"Day Shift","Night Shift")</f>
        <v/>
      </c>
      <c r="F1994" s="6">
        <f>INT(B1994)</f>
        <v/>
      </c>
      <c r="G1994" s="6">
        <f>INT(C1994)</f>
        <v/>
      </c>
    </row>
    <row r="1995">
      <c r="A1995" s="7" t="inlineStr">
        <is>
          <t>Blast Crew</t>
        </is>
      </c>
      <c r="B1995" s="8" t="n">
        <v>46071.75</v>
      </c>
      <c r="C1995" s="8" t="n">
        <v>46071.94525462963</v>
      </c>
      <c r="D1995" s="9">
        <f>(C1995-B1995)*24</f>
        <v/>
      </c>
      <c r="E1995" s="10">
        <f>IF(AND(HOUR(B1995)&gt;=6,HOUR(B1995)&lt;18),"Day Shift","Night Shift")</f>
        <v/>
      </c>
      <c r="F1995" s="11">
        <f>INT(B1995)</f>
        <v/>
      </c>
      <c r="G1995" s="11">
        <f>INT(C1995)</f>
        <v/>
      </c>
    </row>
    <row r="1996">
      <c r="A1996" s="2" t="inlineStr">
        <is>
          <t>EDD1932;EDD2134;EDD2541</t>
        </is>
      </c>
      <c r="B1996" s="3" t="n">
        <v>46071.74888888889</v>
      </c>
      <c r="C1996" s="3" t="n">
        <v>46071.75</v>
      </c>
      <c r="D1996" s="4">
        <f>(C1996-B1996)*24</f>
        <v/>
      </c>
      <c r="E1996" s="5">
        <f>IF(AND(HOUR(B1996)&gt;=6,HOUR(B1996)&lt;18),"Day Shift","Night Shift")</f>
        <v/>
      </c>
      <c r="F1996" s="6">
        <f>INT(B1996)</f>
        <v/>
      </c>
      <c r="G1996" s="6">
        <f>INT(C1996)</f>
        <v/>
      </c>
    </row>
    <row r="1997">
      <c r="A1997" s="7" t="inlineStr">
        <is>
          <t>EDD1932;EDD2134;EDD2541</t>
        </is>
      </c>
      <c r="B1997" s="8" t="n">
        <v>46071.75</v>
      </c>
      <c r="C1997" s="8" t="n">
        <v>46072.04399305556</v>
      </c>
      <c r="D1997" s="9">
        <f>(C1997-B1997)*24</f>
        <v/>
      </c>
      <c r="E1997" s="10">
        <f>IF(AND(HOUR(B1997)&gt;=6,HOUR(B1997)&lt;18),"Day Shift","Night Shift")</f>
        <v/>
      </c>
      <c r="F1997" s="11">
        <f>INT(B1997)</f>
        <v/>
      </c>
      <c r="G1997" s="11">
        <f>INT(C1997)</f>
        <v/>
      </c>
    </row>
    <row r="1998">
      <c r="A1998" s="7" t="inlineStr">
        <is>
          <t>EXD52</t>
        </is>
      </c>
      <c r="B1998" s="8" t="n">
        <v>46071.75208333333</v>
      </c>
      <c r="C1998" s="8" t="n">
        <v>46072.25</v>
      </c>
      <c r="D1998" s="9">
        <f>(C1998-B1998)*24</f>
        <v/>
      </c>
      <c r="E1998" s="10">
        <f>IF(AND(HOUR(B1998)&gt;=6,HOUR(B1998)&lt;18),"Day Shift","Night Shift")</f>
        <v/>
      </c>
      <c r="F1998" s="11">
        <f>INT(B1998)</f>
        <v/>
      </c>
      <c r="G1998" s="11">
        <f>INT(C1998)</f>
        <v/>
      </c>
    </row>
    <row r="1999">
      <c r="A1999" s="2" t="inlineStr">
        <is>
          <t>EXD52</t>
        </is>
      </c>
      <c r="B1999" s="3" t="n">
        <v>46072.25</v>
      </c>
      <c r="C1999" s="3" t="n">
        <v>46072.75</v>
      </c>
      <c r="D1999" s="4">
        <f>(C1999-B1999)*24</f>
        <v/>
      </c>
      <c r="E1999" s="5">
        <f>IF(AND(HOUR(B1999)&gt;=6,HOUR(B1999)&lt;18),"Day Shift","Night Shift")</f>
        <v/>
      </c>
      <c r="F1999" s="6">
        <f>INT(B1999)</f>
        <v/>
      </c>
      <c r="G1999" s="6">
        <f>INT(C1999)</f>
        <v/>
      </c>
    </row>
    <row r="2000">
      <c r="A2000" s="7" t="inlineStr">
        <is>
          <t>EXD52</t>
        </is>
      </c>
      <c r="B2000" s="8" t="n">
        <v>46072.75</v>
      </c>
      <c r="C2000" s="8" t="n">
        <v>46073.25</v>
      </c>
      <c r="D2000" s="9">
        <f>(C2000-B2000)*24</f>
        <v/>
      </c>
      <c r="E2000" s="10">
        <f>IF(AND(HOUR(B2000)&gt;=6,HOUR(B2000)&lt;18),"Day Shift","Night Shift")</f>
        <v/>
      </c>
      <c r="F2000" s="11">
        <f>INT(B2000)</f>
        <v/>
      </c>
      <c r="G2000" s="11">
        <f>INT(C2000)</f>
        <v/>
      </c>
    </row>
    <row r="2001">
      <c r="A2001" s="2" t="inlineStr">
        <is>
          <t>EXD52</t>
        </is>
      </c>
      <c r="B2001" s="3" t="n">
        <v>46073.25</v>
      </c>
      <c r="C2001" s="3" t="n">
        <v>46073.2980787037</v>
      </c>
      <c r="D2001" s="4">
        <f>(C2001-B2001)*24</f>
        <v/>
      </c>
      <c r="E2001" s="5">
        <f>IF(AND(HOUR(B2001)&gt;=6,HOUR(B2001)&lt;18),"Day Shift","Night Shift")</f>
        <v/>
      </c>
      <c r="F2001" s="6">
        <f>INT(B2001)</f>
        <v/>
      </c>
      <c r="G2001" s="6">
        <f>INT(C2001)</f>
        <v/>
      </c>
    </row>
    <row r="2002">
      <c r="A2002" s="7" t="inlineStr">
        <is>
          <t>EXD100</t>
        </is>
      </c>
      <c r="B2002" s="8" t="n">
        <v>46071.94283564815</v>
      </c>
      <c r="C2002" s="8" t="n">
        <v>46072.25</v>
      </c>
      <c r="D2002" s="9">
        <f>(C2002-B2002)*24</f>
        <v/>
      </c>
      <c r="E2002" s="10">
        <f>IF(AND(HOUR(B2002)&gt;=6,HOUR(B2002)&lt;18),"Day Shift","Night Shift")</f>
        <v/>
      </c>
      <c r="F2002" s="11">
        <f>INT(B2002)</f>
        <v/>
      </c>
      <c r="G2002" s="11">
        <f>INT(C2002)</f>
        <v/>
      </c>
    </row>
    <row r="2003">
      <c r="A2003" s="2" t="inlineStr">
        <is>
          <t>EXD100</t>
        </is>
      </c>
      <c r="B2003" s="3" t="n">
        <v>46072.25</v>
      </c>
      <c r="C2003" s="3" t="n">
        <v>46072.47041666666</v>
      </c>
      <c r="D2003" s="4">
        <f>(C2003-B2003)*24</f>
        <v/>
      </c>
      <c r="E2003" s="5">
        <f>IF(AND(HOUR(B2003)&gt;=6,HOUR(B2003)&lt;18),"Day Shift","Night Shift")</f>
        <v/>
      </c>
      <c r="F2003" s="6">
        <f>INT(B2003)</f>
        <v/>
      </c>
      <c r="G2003" s="6">
        <f>INT(C2003)</f>
        <v/>
      </c>
    </row>
    <row r="2004">
      <c r="A2004" s="7" t="inlineStr">
        <is>
          <t>Blast Crew</t>
        </is>
      </c>
      <c r="B2004" s="8" t="n">
        <v>46071.94525462963</v>
      </c>
      <c r="C2004" s="8" t="n">
        <v>46072.15916666666</v>
      </c>
      <c r="D2004" s="9">
        <f>(C2004-B2004)*24</f>
        <v/>
      </c>
      <c r="E2004" s="10">
        <f>IF(AND(HOUR(B2004)&gt;=6,HOUR(B2004)&lt;18),"Day Shift","Night Shift")</f>
        <v/>
      </c>
      <c r="F2004" s="11">
        <f>INT(B2004)</f>
        <v/>
      </c>
      <c r="G2004" s="11">
        <f>INT(C2004)</f>
        <v/>
      </c>
    </row>
    <row r="2005">
      <c r="A2005" s="7" t="inlineStr">
        <is>
          <t>SHE36</t>
        </is>
      </c>
      <c r="B2005" s="8" t="n">
        <v>46072.03150462963</v>
      </c>
      <c r="C2005" s="8" t="n">
        <v>46072.25</v>
      </c>
      <c r="D2005" s="9">
        <f>(C2005-B2005)*24</f>
        <v/>
      </c>
      <c r="E2005" s="10">
        <f>IF(AND(HOUR(B2005)&gt;=6,HOUR(B2005)&lt;18),"Day Shift","Night Shift")</f>
        <v/>
      </c>
      <c r="F2005" s="11">
        <f>INT(B2005)</f>
        <v/>
      </c>
      <c r="G2005" s="11">
        <f>INT(C2005)</f>
        <v/>
      </c>
    </row>
    <row r="2006">
      <c r="A2006" s="2" t="inlineStr">
        <is>
          <t>SHE36</t>
        </is>
      </c>
      <c r="B2006" s="3" t="n">
        <v>46072.25</v>
      </c>
      <c r="C2006" s="3" t="n">
        <v>46072.75</v>
      </c>
      <c r="D2006" s="4">
        <f>(C2006-B2006)*24</f>
        <v/>
      </c>
      <c r="E2006" s="5">
        <f>IF(AND(HOUR(B2006)&gt;=6,HOUR(B2006)&lt;18),"Day Shift","Night Shift")</f>
        <v/>
      </c>
      <c r="F2006" s="6">
        <f>INT(B2006)</f>
        <v/>
      </c>
      <c r="G2006" s="6">
        <f>INT(C2006)</f>
        <v/>
      </c>
    </row>
    <row r="2007">
      <c r="A2007" s="7" t="inlineStr">
        <is>
          <t>SHE36</t>
        </is>
      </c>
      <c r="B2007" s="8" t="n">
        <v>46072.75</v>
      </c>
      <c r="C2007" s="8" t="n">
        <v>46073.25</v>
      </c>
      <c r="D2007" s="9">
        <f>(C2007-B2007)*24</f>
        <v/>
      </c>
      <c r="E2007" s="10">
        <f>IF(AND(HOUR(B2007)&gt;=6,HOUR(B2007)&lt;18),"Day Shift","Night Shift")</f>
        <v/>
      </c>
      <c r="F2007" s="11">
        <f>INT(B2007)</f>
        <v/>
      </c>
      <c r="G2007" s="11">
        <f>INT(C2007)</f>
        <v/>
      </c>
    </row>
    <row r="2008">
      <c r="A2008" s="2" t="inlineStr">
        <is>
          <t>SHE36</t>
        </is>
      </c>
      <c r="B2008" s="3" t="n">
        <v>46073.25</v>
      </c>
      <c r="C2008" s="3" t="n">
        <v>46073.52445601852</v>
      </c>
      <c r="D2008" s="4">
        <f>(C2008-B2008)*24</f>
        <v/>
      </c>
      <c r="E2008" s="5">
        <f>IF(AND(HOUR(B2008)&gt;=6,HOUR(B2008)&lt;18),"Day Shift","Night Shift")</f>
        <v/>
      </c>
      <c r="F2008" s="6">
        <f>INT(B2008)</f>
        <v/>
      </c>
      <c r="G2008" s="6">
        <f>INT(C2008)</f>
        <v/>
      </c>
    </row>
    <row r="2009">
      <c r="A2009" s="7" t="inlineStr">
        <is>
          <t>EDD1932;EDD2134;EDD2541</t>
        </is>
      </c>
      <c r="B2009" s="8" t="n">
        <v>46072.04399305556</v>
      </c>
      <c r="C2009" s="8" t="n">
        <v>46072.25</v>
      </c>
      <c r="D2009" s="9">
        <f>(C2009-B2009)*24</f>
        <v/>
      </c>
      <c r="E2009" s="10">
        <f>IF(AND(HOUR(B2009)&gt;=6,HOUR(B2009)&lt;18),"Day Shift","Night Shift")</f>
        <v/>
      </c>
      <c r="F2009" s="11">
        <f>INT(B2009)</f>
        <v/>
      </c>
      <c r="G2009" s="11">
        <f>INT(C2009)</f>
        <v/>
      </c>
    </row>
    <row r="2010">
      <c r="A2010" s="2" t="inlineStr">
        <is>
          <t>EDD1932;EDD2134;EDD2541</t>
        </is>
      </c>
      <c r="B2010" s="3" t="n">
        <v>46072.25</v>
      </c>
      <c r="C2010" s="3" t="n">
        <v>46072.42863425926</v>
      </c>
      <c r="D2010" s="4">
        <f>(C2010-B2010)*24</f>
        <v/>
      </c>
      <c r="E2010" s="5">
        <f>IF(AND(HOUR(B2010)&gt;=6,HOUR(B2010)&lt;18),"Day Shift","Night Shift")</f>
        <v/>
      </c>
      <c r="F2010" s="6">
        <f>INT(B2010)</f>
        <v/>
      </c>
      <c r="G2010" s="6">
        <f>INT(C2010)</f>
        <v/>
      </c>
    </row>
    <row r="2011">
      <c r="A2011" s="7" t="inlineStr">
        <is>
          <t>EXD408</t>
        </is>
      </c>
      <c r="B2011" s="8" t="n">
        <v>46072.0657175926</v>
      </c>
      <c r="C2011" s="8" t="n">
        <v>46072.25</v>
      </c>
      <c r="D2011" s="9">
        <f>(C2011-B2011)*24</f>
        <v/>
      </c>
      <c r="E2011" s="10">
        <f>IF(AND(HOUR(B2011)&gt;=6,HOUR(B2011)&lt;18),"Day Shift","Night Shift")</f>
        <v/>
      </c>
      <c r="F2011" s="11">
        <f>INT(B2011)</f>
        <v/>
      </c>
      <c r="G2011" s="11">
        <f>INT(C2011)</f>
        <v/>
      </c>
    </row>
    <row r="2012">
      <c r="A2012" s="2" t="inlineStr">
        <is>
          <t>EXD408</t>
        </is>
      </c>
      <c r="B2012" s="3" t="n">
        <v>46072.25</v>
      </c>
      <c r="C2012" s="3" t="n">
        <v>46072.75</v>
      </c>
      <c r="D2012" s="4">
        <f>(C2012-B2012)*24</f>
        <v/>
      </c>
      <c r="E2012" s="5">
        <f>IF(AND(HOUR(B2012)&gt;=6,HOUR(B2012)&lt;18),"Day Shift","Night Shift")</f>
        <v/>
      </c>
      <c r="F2012" s="6">
        <f>INT(B2012)</f>
        <v/>
      </c>
      <c r="G2012" s="6">
        <f>INT(C2012)</f>
        <v/>
      </c>
    </row>
    <row r="2013">
      <c r="A2013" s="7" t="inlineStr">
        <is>
          <t>EXD408</t>
        </is>
      </c>
      <c r="B2013" s="8" t="n">
        <v>46072.75</v>
      </c>
      <c r="C2013" s="8" t="n">
        <v>46073.25</v>
      </c>
      <c r="D2013" s="9">
        <f>(C2013-B2013)*24</f>
        <v/>
      </c>
      <c r="E2013" s="10">
        <f>IF(AND(HOUR(B2013)&gt;=6,HOUR(B2013)&lt;18),"Day Shift","Night Shift")</f>
        <v/>
      </c>
      <c r="F2013" s="11">
        <f>INT(B2013)</f>
        <v/>
      </c>
      <c r="G2013" s="11">
        <f>INT(C2013)</f>
        <v/>
      </c>
    </row>
    <row r="2014">
      <c r="A2014" s="2" t="inlineStr">
        <is>
          <t>EXD408</t>
        </is>
      </c>
      <c r="B2014" s="3" t="n">
        <v>46073.25</v>
      </c>
      <c r="C2014" s="3" t="n">
        <v>46073.51362268518</v>
      </c>
      <c r="D2014" s="4">
        <f>(C2014-B2014)*24</f>
        <v/>
      </c>
      <c r="E2014" s="5">
        <f>IF(AND(HOUR(B2014)&gt;=6,HOUR(B2014)&lt;18),"Day Shift","Night Shift")</f>
        <v/>
      </c>
      <c r="F2014" s="6">
        <f>INT(B2014)</f>
        <v/>
      </c>
      <c r="G2014" s="6">
        <f>INT(C2014)</f>
        <v/>
      </c>
    </row>
    <row r="2015">
      <c r="A2015" s="7" t="inlineStr">
        <is>
          <t>EDD175</t>
        </is>
      </c>
      <c r="B2015" s="8" t="n">
        <v>46072.124375</v>
      </c>
      <c r="C2015" s="8" t="n">
        <v>46072.25</v>
      </c>
      <c r="D2015" s="9">
        <f>(C2015-B2015)*24</f>
        <v/>
      </c>
      <c r="E2015" s="10">
        <f>IF(AND(HOUR(B2015)&gt;=6,HOUR(B2015)&lt;18),"Day Shift","Night Shift")</f>
        <v/>
      </c>
      <c r="F2015" s="11">
        <f>INT(B2015)</f>
        <v/>
      </c>
      <c r="G2015" s="11">
        <f>INT(C2015)</f>
        <v/>
      </c>
    </row>
    <row r="2016">
      <c r="A2016" s="2" t="inlineStr">
        <is>
          <t>EDD175</t>
        </is>
      </c>
      <c r="B2016" s="3" t="n">
        <v>46072.25</v>
      </c>
      <c r="C2016" s="3" t="n">
        <v>46072.57596064815</v>
      </c>
      <c r="D2016" s="4">
        <f>(C2016-B2016)*24</f>
        <v/>
      </c>
      <c r="E2016" s="5">
        <f>IF(AND(HOUR(B2016)&gt;=6,HOUR(B2016)&lt;18),"Day Shift","Night Shift")</f>
        <v/>
      </c>
      <c r="F2016" s="6">
        <f>INT(B2016)</f>
        <v/>
      </c>
      <c r="G2016" s="6">
        <f>INT(C2016)</f>
        <v/>
      </c>
    </row>
    <row r="2017">
      <c r="A2017" s="7" t="inlineStr">
        <is>
          <t>EXD51</t>
        </is>
      </c>
      <c r="B2017" s="8" t="n">
        <v>46072.21788194445</v>
      </c>
      <c r="C2017" s="8" t="n">
        <v>46072.25</v>
      </c>
      <c r="D2017" s="9">
        <f>(C2017-B2017)*24</f>
        <v/>
      </c>
      <c r="E2017" s="10">
        <f>IF(AND(HOUR(B2017)&gt;=6,HOUR(B2017)&lt;18),"Day Shift","Night Shift")</f>
        <v/>
      </c>
      <c r="F2017" s="11">
        <f>INT(B2017)</f>
        <v/>
      </c>
      <c r="G2017" s="11">
        <f>INT(C2017)</f>
        <v/>
      </c>
    </row>
    <row r="2018">
      <c r="A2018" s="2" t="inlineStr">
        <is>
          <t>EXD51</t>
        </is>
      </c>
      <c r="B2018" s="3" t="n">
        <v>46072.25</v>
      </c>
      <c r="C2018" s="3" t="n">
        <v>46072.75</v>
      </c>
      <c r="D2018" s="4">
        <f>(C2018-B2018)*24</f>
        <v/>
      </c>
      <c r="E2018" s="5">
        <f>IF(AND(HOUR(B2018)&gt;=6,HOUR(B2018)&lt;18),"Day Shift","Night Shift")</f>
        <v/>
      </c>
      <c r="F2018" s="6">
        <f>INT(B2018)</f>
        <v/>
      </c>
      <c r="G2018" s="6">
        <f>INT(C2018)</f>
        <v/>
      </c>
    </row>
    <row r="2019">
      <c r="A2019" s="7" t="inlineStr">
        <is>
          <t>EXD51</t>
        </is>
      </c>
      <c r="B2019" s="8" t="n">
        <v>46072.75</v>
      </c>
      <c r="C2019" s="8" t="n">
        <v>46073.25</v>
      </c>
      <c r="D2019" s="9">
        <f>(C2019-B2019)*24</f>
        <v/>
      </c>
      <c r="E2019" s="10">
        <f>IF(AND(HOUR(B2019)&gt;=6,HOUR(B2019)&lt;18),"Day Shift","Night Shift")</f>
        <v/>
      </c>
      <c r="F2019" s="11">
        <f>INT(B2019)</f>
        <v/>
      </c>
      <c r="G2019" s="11">
        <f>INT(C2019)</f>
        <v/>
      </c>
    </row>
    <row r="2020">
      <c r="A2020" s="2" t="inlineStr">
        <is>
          <t>EXD51</t>
        </is>
      </c>
      <c r="B2020" s="3" t="n">
        <v>46073.25</v>
      </c>
      <c r="C2020" s="3" t="n">
        <v>46073.75</v>
      </c>
      <c r="D2020" s="4">
        <f>(C2020-B2020)*24</f>
        <v/>
      </c>
      <c r="E2020" s="5">
        <f>IF(AND(HOUR(B2020)&gt;=6,HOUR(B2020)&lt;18),"Day Shift","Night Shift")</f>
        <v/>
      </c>
      <c r="F2020" s="6">
        <f>INT(B2020)</f>
        <v/>
      </c>
      <c r="G2020" s="6">
        <f>INT(C2020)</f>
        <v/>
      </c>
    </row>
    <row r="2021">
      <c r="A2021" s="7" t="inlineStr">
        <is>
          <t>EXD51</t>
        </is>
      </c>
      <c r="B2021" s="8" t="n">
        <v>46073.75</v>
      </c>
      <c r="C2021" s="8" t="n">
        <v>46073.86568287037</v>
      </c>
      <c r="D2021" s="9">
        <f>(C2021-B2021)*24</f>
        <v/>
      </c>
      <c r="E2021" s="10">
        <f>IF(AND(HOUR(B2021)&gt;=6,HOUR(B2021)&lt;18),"Day Shift","Night Shift")</f>
        <v/>
      </c>
      <c r="F2021" s="11">
        <f>INT(B2021)</f>
        <v/>
      </c>
      <c r="G2021" s="11">
        <f>INT(C2021)</f>
        <v/>
      </c>
    </row>
    <row r="2022">
      <c r="A2022" s="7" t="inlineStr">
        <is>
          <t>DRE12</t>
        </is>
      </c>
      <c r="B2022" s="8" t="n">
        <v>46072.24204861111</v>
      </c>
      <c r="C2022" s="8" t="n">
        <v>46072.25</v>
      </c>
      <c r="D2022" s="9">
        <f>(C2022-B2022)*24</f>
        <v/>
      </c>
      <c r="E2022" s="10">
        <f>IF(AND(HOUR(B2022)&gt;=6,HOUR(B2022)&lt;18),"Day Shift","Night Shift")</f>
        <v/>
      </c>
      <c r="F2022" s="11">
        <f>INT(B2022)</f>
        <v/>
      </c>
      <c r="G2022" s="11">
        <f>INT(C2022)</f>
        <v/>
      </c>
    </row>
    <row r="2023">
      <c r="A2023" s="2" t="inlineStr">
        <is>
          <t>DRE12</t>
        </is>
      </c>
      <c r="B2023" s="3" t="n">
        <v>46072.25</v>
      </c>
      <c r="C2023" s="3" t="n">
        <v>46072.75</v>
      </c>
      <c r="D2023" s="4">
        <f>(C2023-B2023)*24</f>
        <v/>
      </c>
      <c r="E2023" s="5">
        <f>IF(AND(HOUR(B2023)&gt;=6,HOUR(B2023)&lt;18),"Day Shift","Night Shift")</f>
        <v/>
      </c>
      <c r="F2023" s="6">
        <f>INT(B2023)</f>
        <v/>
      </c>
      <c r="G2023" s="6">
        <f>INT(C2023)</f>
        <v/>
      </c>
    </row>
    <row r="2024">
      <c r="A2024" s="7" t="inlineStr">
        <is>
          <t>DRE12</t>
        </is>
      </c>
      <c r="B2024" s="8" t="n">
        <v>46072.75</v>
      </c>
      <c r="C2024" s="8" t="n">
        <v>46073.25</v>
      </c>
      <c r="D2024" s="9">
        <f>(C2024-B2024)*24</f>
        <v/>
      </c>
      <c r="E2024" s="10">
        <f>IF(AND(HOUR(B2024)&gt;=6,HOUR(B2024)&lt;18),"Day Shift","Night Shift")</f>
        <v/>
      </c>
      <c r="F2024" s="11">
        <f>INT(B2024)</f>
        <v/>
      </c>
      <c r="G2024" s="11">
        <f>INT(C2024)</f>
        <v/>
      </c>
    </row>
    <row r="2025">
      <c r="A2025" s="2" t="inlineStr">
        <is>
          <t>DRE12</t>
        </is>
      </c>
      <c r="B2025" s="3" t="n">
        <v>46073.25</v>
      </c>
      <c r="C2025" s="3" t="n">
        <v>46073.75</v>
      </c>
      <c r="D2025" s="4">
        <f>(C2025-B2025)*24</f>
        <v/>
      </c>
      <c r="E2025" s="5">
        <f>IF(AND(HOUR(B2025)&gt;=6,HOUR(B2025)&lt;18),"Day Shift","Night Shift")</f>
        <v/>
      </c>
      <c r="F2025" s="6">
        <f>INT(B2025)</f>
        <v/>
      </c>
      <c r="G2025" s="6">
        <f>INT(C2025)</f>
        <v/>
      </c>
    </row>
    <row r="2026">
      <c r="A2026" s="7" t="inlineStr">
        <is>
          <t>DRE12</t>
        </is>
      </c>
      <c r="B2026" s="8" t="n">
        <v>46073.75</v>
      </c>
      <c r="C2026" s="8" t="n">
        <v>46074.25</v>
      </c>
      <c r="D2026" s="9">
        <f>(C2026-B2026)*24</f>
        <v/>
      </c>
      <c r="E2026" s="10">
        <f>IF(AND(HOUR(B2026)&gt;=6,HOUR(B2026)&lt;18),"Day Shift","Night Shift")</f>
        <v/>
      </c>
      <c r="F2026" s="11">
        <f>INT(B2026)</f>
        <v/>
      </c>
      <c r="G2026" s="11">
        <f>INT(C2026)</f>
        <v/>
      </c>
    </row>
    <row r="2027">
      <c r="A2027" s="2" t="inlineStr">
        <is>
          <t>DRE12</t>
        </is>
      </c>
      <c r="B2027" s="3" t="n">
        <v>46074.25</v>
      </c>
      <c r="C2027" s="3" t="n">
        <v>46074.75</v>
      </c>
      <c r="D2027" s="4">
        <f>(C2027-B2027)*24</f>
        <v/>
      </c>
      <c r="E2027" s="5">
        <f>IF(AND(HOUR(B2027)&gt;=6,HOUR(B2027)&lt;18),"Day Shift","Night Shift")</f>
        <v/>
      </c>
      <c r="F2027" s="6">
        <f>INT(B2027)</f>
        <v/>
      </c>
      <c r="G2027" s="6">
        <f>INT(C2027)</f>
        <v/>
      </c>
    </row>
    <row r="2028">
      <c r="A2028" s="7" t="inlineStr">
        <is>
          <t>DRE12</t>
        </is>
      </c>
      <c r="B2028" s="8" t="n">
        <v>46074.75</v>
      </c>
      <c r="C2028" s="8" t="n">
        <v>46075.25</v>
      </c>
      <c r="D2028" s="9">
        <f>(C2028-B2028)*24</f>
        <v/>
      </c>
      <c r="E2028" s="10">
        <f>IF(AND(HOUR(B2028)&gt;=6,HOUR(B2028)&lt;18),"Day Shift","Night Shift")</f>
        <v/>
      </c>
      <c r="F2028" s="11">
        <f>INT(B2028)</f>
        <v/>
      </c>
      <c r="G2028" s="11">
        <f>INT(C2028)</f>
        <v/>
      </c>
    </row>
    <row r="2029">
      <c r="A2029" s="2" t="inlineStr">
        <is>
          <t>DRE12</t>
        </is>
      </c>
      <c r="B2029" s="3" t="n">
        <v>46075.25</v>
      </c>
      <c r="C2029" s="3" t="n">
        <v>46075.75</v>
      </c>
      <c r="D2029" s="4">
        <f>(C2029-B2029)*24</f>
        <v/>
      </c>
      <c r="E2029" s="5">
        <f>IF(AND(HOUR(B2029)&gt;=6,HOUR(B2029)&lt;18),"Day Shift","Night Shift")</f>
        <v/>
      </c>
      <c r="F2029" s="6">
        <f>INT(B2029)</f>
        <v/>
      </c>
      <c r="G2029" s="6">
        <f>INT(C2029)</f>
        <v/>
      </c>
    </row>
    <row r="2030">
      <c r="A2030" s="7" t="inlineStr">
        <is>
          <t>DRE12</t>
        </is>
      </c>
      <c r="B2030" s="8" t="n">
        <v>46075.75</v>
      </c>
      <c r="C2030" s="8" t="n">
        <v>46076.25</v>
      </c>
      <c r="D2030" s="9">
        <f>(C2030-B2030)*24</f>
        <v/>
      </c>
      <c r="E2030" s="10">
        <f>IF(AND(HOUR(B2030)&gt;=6,HOUR(B2030)&lt;18),"Day Shift","Night Shift")</f>
        <v/>
      </c>
      <c r="F2030" s="11">
        <f>INT(B2030)</f>
        <v/>
      </c>
      <c r="G2030" s="11">
        <f>INT(C2030)</f>
        <v/>
      </c>
    </row>
    <row r="2031">
      <c r="A2031" s="2" t="inlineStr">
        <is>
          <t>DRE12</t>
        </is>
      </c>
      <c r="B2031" s="3" t="n">
        <v>46076.25</v>
      </c>
      <c r="C2031" s="3" t="n">
        <v>46076.75</v>
      </c>
      <c r="D2031" s="4">
        <f>(C2031-B2031)*24</f>
        <v/>
      </c>
      <c r="E2031" s="5">
        <f>IF(AND(HOUR(B2031)&gt;=6,HOUR(B2031)&lt;18),"Day Shift","Night Shift")</f>
        <v/>
      </c>
      <c r="F2031" s="6">
        <f>INT(B2031)</f>
        <v/>
      </c>
      <c r="G2031" s="6">
        <f>INT(C2031)</f>
        <v/>
      </c>
    </row>
    <row r="2032">
      <c r="A2032" s="7" t="inlineStr">
        <is>
          <t>DRE12</t>
        </is>
      </c>
      <c r="B2032" s="8" t="n">
        <v>46076.75</v>
      </c>
      <c r="C2032" s="8" t="n">
        <v>46077.25</v>
      </c>
      <c r="D2032" s="9">
        <f>(C2032-B2032)*24</f>
        <v/>
      </c>
      <c r="E2032" s="10">
        <f>IF(AND(HOUR(B2032)&gt;=6,HOUR(B2032)&lt;18),"Day Shift","Night Shift")</f>
        <v/>
      </c>
      <c r="F2032" s="11">
        <f>INT(B2032)</f>
        <v/>
      </c>
      <c r="G2032" s="11">
        <f>INT(C2032)</f>
        <v/>
      </c>
    </row>
    <row r="2033">
      <c r="A2033" s="2" t="inlineStr">
        <is>
          <t>DRE12</t>
        </is>
      </c>
      <c r="B2033" s="3" t="n">
        <v>46077.25</v>
      </c>
      <c r="C2033" s="3" t="n">
        <v>46077.34256944444</v>
      </c>
      <c r="D2033" s="4">
        <f>(C2033-B2033)*24</f>
        <v/>
      </c>
      <c r="E2033" s="5">
        <f>IF(AND(HOUR(B2033)&gt;=6,HOUR(B2033)&lt;18),"Day Shift","Night Shift")</f>
        <v/>
      </c>
      <c r="F2033" s="6">
        <f>INT(B2033)</f>
        <v/>
      </c>
      <c r="G2033" s="6">
        <f>INT(C2033)</f>
        <v/>
      </c>
    </row>
    <row r="2034">
      <c r="A2034" s="2" t="inlineStr">
        <is>
          <t>LDW265</t>
        </is>
      </c>
      <c r="B2034" s="3" t="n">
        <v>46072.32192129629</v>
      </c>
      <c r="C2034" s="3" t="n">
        <v>46072.75</v>
      </c>
      <c r="D2034" s="4">
        <f>(C2034-B2034)*24</f>
        <v/>
      </c>
      <c r="E2034" s="5">
        <f>IF(AND(HOUR(B2034)&gt;=6,HOUR(B2034)&lt;18),"Day Shift","Night Shift")</f>
        <v/>
      </c>
      <c r="F2034" s="6">
        <f>INT(B2034)</f>
        <v/>
      </c>
      <c r="G2034" s="6">
        <f>INT(C2034)</f>
        <v/>
      </c>
    </row>
    <row r="2035">
      <c r="A2035" s="7" t="inlineStr">
        <is>
          <t>LDW265</t>
        </is>
      </c>
      <c r="B2035" s="8" t="n">
        <v>46072.75</v>
      </c>
      <c r="C2035" s="8" t="n">
        <v>46073.25</v>
      </c>
      <c r="D2035" s="9">
        <f>(C2035-B2035)*24</f>
        <v/>
      </c>
      <c r="E2035" s="10">
        <f>IF(AND(HOUR(B2035)&gt;=6,HOUR(B2035)&lt;18),"Day Shift","Night Shift")</f>
        <v/>
      </c>
      <c r="F2035" s="11">
        <f>INT(B2035)</f>
        <v/>
      </c>
      <c r="G2035" s="11">
        <f>INT(C2035)</f>
        <v/>
      </c>
    </row>
    <row r="2036">
      <c r="A2036" s="2" t="inlineStr">
        <is>
          <t>LDW265</t>
        </is>
      </c>
      <c r="B2036" s="3" t="n">
        <v>46073.25</v>
      </c>
      <c r="C2036" s="3" t="n">
        <v>46073.75</v>
      </c>
      <c r="D2036" s="4">
        <f>(C2036-B2036)*24</f>
        <v/>
      </c>
      <c r="E2036" s="5">
        <f>IF(AND(HOUR(B2036)&gt;=6,HOUR(B2036)&lt;18),"Day Shift","Night Shift")</f>
        <v/>
      </c>
      <c r="F2036" s="6">
        <f>INT(B2036)</f>
        <v/>
      </c>
      <c r="G2036" s="6">
        <f>INT(C2036)</f>
        <v/>
      </c>
    </row>
    <row r="2037">
      <c r="A2037" s="7" t="inlineStr">
        <is>
          <t>LDW265</t>
        </is>
      </c>
      <c r="B2037" s="8" t="n">
        <v>46073.75</v>
      </c>
      <c r="C2037" s="8" t="n">
        <v>46074.25</v>
      </c>
      <c r="D2037" s="9">
        <f>(C2037-B2037)*24</f>
        <v/>
      </c>
      <c r="E2037" s="10">
        <f>IF(AND(HOUR(B2037)&gt;=6,HOUR(B2037)&lt;18),"Day Shift","Night Shift")</f>
        <v/>
      </c>
      <c r="F2037" s="11">
        <f>INT(B2037)</f>
        <v/>
      </c>
      <c r="G2037" s="11">
        <f>INT(C2037)</f>
        <v/>
      </c>
    </row>
    <row r="2038">
      <c r="A2038" s="2" t="inlineStr">
        <is>
          <t>LDW265</t>
        </is>
      </c>
      <c r="B2038" s="3" t="n">
        <v>46074.25</v>
      </c>
      <c r="C2038" s="3" t="n">
        <v>46074.75</v>
      </c>
      <c r="D2038" s="4">
        <f>(C2038-B2038)*24</f>
        <v/>
      </c>
      <c r="E2038" s="5">
        <f>IF(AND(HOUR(B2038)&gt;=6,HOUR(B2038)&lt;18),"Day Shift","Night Shift")</f>
        <v/>
      </c>
      <c r="F2038" s="6">
        <f>INT(B2038)</f>
        <v/>
      </c>
      <c r="G2038" s="6">
        <f>INT(C2038)</f>
        <v/>
      </c>
    </row>
    <row r="2039">
      <c r="A2039" s="7" t="inlineStr">
        <is>
          <t>LDW265</t>
        </is>
      </c>
      <c r="B2039" s="8" t="n">
        <v>46074.75</v>
      </c>
      <c r="C2039" s="8" t="n">
        <v>46074.80355324074</v>
      </c>
      <c r="D2039" s="9">
        <f>(C2039-B2039)*24</f>
        <v/>
      </c>
      <c r="E2039" s="10">
        <f>IF(AND(HOUR(B2039)&gt;=6,HOUR(B2039)&lt;18),"Day Shift","Night Shift")</f>
        <v/>
      </c>
      <c r="F2039" s="11">
        <f>INT(B2039)</f>
        <v/>
      </c>
      <c r="G2039" s="11">
        <f>INT(C2039)</f>
        <v/>
      </c>
    </row>
    <row r="2040">
      <c r="A2040" s="2" t="inlineStr">
        <is>
          <t>EXD55</t>
        </is>
      </c>
      <c r="B2040" s="3" t="n">
        <v>46072.32239583333</v>
      </c>
      <c r="C2040" s="3" t="n">
        <v>46072.71864583333</v>
      </c>
      <c r="D2040" s="4">
        <f>(C2040-B2040)*24</f>
        <v/>
      </c>
      <c r="E2040" s="5">
        <f>IF(AND(HOUR(B2040)&gt;=6,HOUR(B2040)&lt;18),"Day Shift","Night Shift")</f>
        <v/>
      </c>
      <c r="F2040" s="6">
        <f>INT(B2040)</f>
        <v/>
      </c>
      <c r="G2040" s="6">
        <f>INT(C2040)</f>
        <v/>
      </c>
    </row>
    <row r="2041">
      <c r="A2041" s="2" t="inlineStr">
        <is>
          <t>EXD60</t>
        </is>
      </c>
      <c r="B2041" s="3" t="n">
        <v>46072.40318287037</v>
      </c>
      <c r="C2041" s="3" t="n">
        <v>46072.59924768518</v>
      </c>
      <c r="D2041" s="4">
        <f>(C2041-B2041)*24</f>
        <v/>
      </c>
      <c r="E2041" s="5">
        <f>IF(AND(HOUR(B2041)&gt;=6,HOUR(B2041)&lt;18),"Day Shift","Night Shift")</f>
        <v/>
      </c>
      <c r="F2041" s="6">
        <f>INT(B2041)</f>
        <v/>
      </c>
      <c r="G2041" s="6">
        <f>INT(C2041)</f>
        <v/>
      </c>
    </row>
    <row r="2042">
      <c r="A2042" s="2" t="inlineStr">
        <is>
          <t>EDD1932;EDD2134;EDD2541</t>
        </is>
      </c>
      <c r="B2042" s="3" t="n">
        <v>46072.42863425926</v>
      </c>
      <c r="C2042" s="3" t="n">
        <v>46072.75</v>
      </c>
      <c r="D2042" s="4">
        <f>(C2042-B2042)*24</f>
        <v/>
      </c>
      <c r="E2042" s="5">
        <f>IF(AND(HOUR(B2042)&gt;=6,HOUR(B2042)&lt;18),"Day Shift","Night Shift")</f>
        <v/>
      </c>
      <c r="F2042" s="6">
        <f>INT(B2042)</f>
        <v/>
      </c>
      <c r="G2042" s="6">
        <f>INT(C2042)</f>
        <v/>
      </c>
    </row>
    <row r="2043">
      <c r="A2043" s="7" t="inlineStr">
        <is>
          <t>EDD1932;EDD2134;EDD2541</t>
        </is>
      </c>
      <c r="B2043" s="8" t="n">
        <v>46072.75</v>
      </c>
      <c r="C2043" s="8" t="n">
        <v>46072.87144675926</v>
      </c>
      <c r="D2043" s="9">
        <f>(C2043-B2043)*24</f>
        <v/>
      </c>
      <c r="E2043" s="10">
        <f>IF(AND(HOUR(B2043)&gt;=6,HOUR(B2043)&lt;18),"Day Shift","Night Shift")</f>
        <v/>
      </c>
      <c r="F2043" s="11">
        <f>INT(B2043)</f>
        <v/>
      </c>
      <c r="G2043" s="11">
        <f>INT(C2043)</f>
        <v/>
      </c>
    </row>
    <row r="2044">
      <c r="A2044" s="2" t="inlineStr">
        <is>
          <t>EXD100</t>
        </is>
      </c>
      <c r="B2044" s="3" t="n">
        <v>46072.47041666666</v>
      </c>
      <c r="C2044" s="3" t="n">
        <v>46072.75</v>
      </c>
      <c r="D2044" s="4">
        <f>(C2044-B2044)*24</f>
        <v/>
      </c>
      <c r="E2044" s="5">
        <f>IF(AND(HOUR(B2044)&gt;=6,HOUR(B2044)&lt;18),"Day Shift","Night Shift")</f>
        <v/>
      </c>
      <c r="F2044" s="6">
        <f>INT(B2044)</f>
        <v/>
      </c>
      <c r="G2044" s="6">
        <f>INT(C2044)</f>
        <v/>
      </c>
    </row>
    <row r="2045">
      <c r="A2045" s="7" t="inlineStr">
        <is>
          <t>EXD100</t>
        </is>
      </c>
      <c r="B2045" s="8" t="n">
        <v>46072.75</v>
      </c>
      <c r="C2045" s="8" t="n">
        <v>46073.25</v>
      </c>
      <c r="D2045" s="9">
        <f>(C2045-B2045)*24</f>
        <v/>
      </c>
      <c r="E2045" s="10">
        <f>IF(AND(HOUR(B2045)&gt;=6,HOUR(B2045)&lt;18),"Day Shift","Night Shift")</f>
        <v/>
      </c>
      <c r="F2045" s="11">
        <f>INT(B2045)</f>
        <v/>
      </c>
      <c r="G2045" s="11">
        <f>INT(C2045)</f>
        <v/>
      </c>
    </row>
    <row r="2046">
      <c r="A2046" s="2" t="inlineStr">
        <is>
          <t>EXD100</t>
        </is>
      </c>
      <c r="B2046" s="3" t="n">
        <v>46073.25</v>
      </c>
      <c r="C2046" s="3" t="n">
        <v>46073.37369212963</v>
      </c>
      <c r="D2046" s="4">
        <f>(C2046-B2046)*24</f>
        <v/>
      </c>
      <c r="E2046" s="5">
        <f>IF(AND(HOUR(B2046)&gt;=6,HOUR(B2046)&lt;18),"Day Shift","Night Shift")</f>
        <v/>
      </c>
      <c r="F2046" s="6">
        <f>INT(B2046)</f>
        <v/>
      </c>
      <c r="G2046" s="6">
        <f>INT(C2046)</f>
        <v/>
      </c>
    </row>
    <row r="2047">
      <c r="A2047" s="2" t="inlineStr">
        <is>
          <t>EXD409</t>
        </is>
      </c>
      <c r="B2047" s="3" t="n">
        <v>46072.49597222222</v>
      </c>
      <c r="C2047" s="3" t="n">
        <v>46072.75</v>
      </c>
      <c r="D2047" s="4">
        <f>(C2047-B2047)*24</f>
        <v/>
      </c>
      <c r="E2047" s="5">
        <f>IF(AND(HOUR(B2047)&gt;=6,HOUR(B2047)&lt;18),"Day Shift","Night Shift")</f>
        <v/>
      </c>
      <c r="F2047" s="6">
        <f>INT(B2047)</f>
        <v/>
      </c>
      <c r="G2047" s="6">
        <f>INT(C2047)</f>
        <v/>
      </c>
    </row>
    <row r="2048">
      <c r="A2048" s="7" t="inlineStr">
        <is>
          <t>EXD409</t>
        </is>
      </c>
      <c r="B2048" s="8" t="n">
        <v>46072.75</v>
      </c>
      <c r="C2048" s="8" t="n">
        <v>46073.25</v>
      </c>
      <c r="D2048" s="9">
        <f>(C2048-B2048)*24</f>
        <v/>
      </c>
      <c r="E2048" s="10">
        <f>IF(AND(HOUR(B2048)&gt;=6,HOUR(B2048)&lt;18),"Day Shift","Night Shift")</f>
        <v/>
      </c>
      <c r="F2048" s="11">
        <f>INT(B2048)</f>
        <v/>
      </c>
      <c r="G2048" s="11">
        <f>INT(C2048)</f>
        <v/>
      </c>
    </row>
    <row r="2049">
      <c r="A2049" s="2" t="inlineStr">
        <is>
          <t>EXD409</t>
        </is>
      </c>
      <c r="B2049" s="3" t="n">
        <v>46073.25</v>
      </c>
      <c r="C2049" s="3" t="n">
        <v>46073.75</v>
      </c>
      <c r="D2049" s="4">
        <f>(C2049-B2049)*24</f>
        <v/>
      </c>
      <c r="E2049" s="5">
        <f>IF(AND(HOUR(B2049)&gt;=6,HOUR(B2049)&lt;18),"Day Shift","Night Shift")</f>
        <v/>
      </c>
      <c r="F2049" s="6">
        <f>INT(B2049)</f>
        <v/>
      </c>
      <c r="G2049" s="6">
        <f>INT(C2049)</f>
        <v/>
      </c>
    </row>
    <row r="2050">
      <c r="A2050" s="7" t="inlineStr">
        <is>
          <t>EXD409</t>
        </is>
      </c>
      <c r="B2050" s="8" t="n">
        <v>46073.75</v>
      </c>
      <c r="C2050" s="8" t="n">
        <v>46074.11520833334</v>
      </c>
      <c r="D2050" s="9">
        <f>(C2050-B2050)*24</f>
        <v/>
      </c>
      <c r="E2050" s="10">
        <f>IF(AND(HOUR(B2050)&gt;=6,HOUR(B2050)&lt;18),"Day Shift","Night Shift")</f>
        <v/>
      </c>
      <c r="F2050" s="11">
        <f>INT(B2050)</f>
        <v/>
      </c>
      <c r="G2050" s="11">
        <f>INT(C2050)</f>
        <v/>
      </c>
    </row>
    <row r="2051">
      <c r="A2051" s="2" t="inlineStr">
        <is>
          <t>EDD175</t>
        </is>
      </c>
      <c r="B2051" s="3" t="n">
        <v>46072.57596064815</v>
      </c>
      <c r="C2051" s="3" t="n">
        <v>46072.75</v>
      </c>
      <c r="D2051" s="4">
        <f>(C2051-B2051)*24</f>
        <v/>
      </c>
      <c r="E2051" s="5">
        <f>IF(AND(HOUR(B2051)&gt;=6,HOUR(B2051)&lt;18),"Day Shift","Night Shift")</f>
        <v/>
      </c>
      <c r="F2051" s="6">
        <f>INT(B2051)</f>
        <v/>
      </c>
      <c r="G2051" s="6">
        <f>INT(C2051)</f>
        <v/>
      </c>
    </row>
    <row r="2052">
      <c r="A2052" s="7" t="inlineStr">
        <is>
          <t>EDD175</t>
        </is>
      </c>
      <c r="B2052" s="8" t="n">
        <v>46072.75</v>
      </c>
      <c r="C2052" s="8" t="n">
        <v>46073.0753587963</v>
      </c>
      <c r="D2052" s="9">
        <f>(C2052-B2052)*24</f>
        <v/>
      </c>
      <c r="E2052" s="10">
        <f>IF(AND(HOUR(B2052)&gt;=6,HOUR(B2052)&lt;18),"Day Shift","Night Shift")</f>
        <v/>
      </c>
      <c r="F2052" s="11">
        <f>INT(B2052)</f>
        <v/>
      </c>
      <c r="G2052" s="11">
        <f>INT(C2052)</f>
        <v/>
      </c>
    </row>
    <row r="2053">
      <c r="A2053" s="2" t="inlineStr">
        <is>
          <t>EXD60</t>
        </is>
      </c>
      <c r="B2053" s="3" t="n">
        <v>46072.60001157408</v>
      </c>
      <c r="C2053" s="3" t="n">
        <v>46072.75</v>
      </c>
      <c r="D2053" s="4">
        <f>(C2053-B2053)*24</f>
        <v/>
      </c>
      <c r="E2053" s="5">
        <f>IF(AND(HOUR(B2053)&gt;=6,HOUR(B2053)&lt;18),"Day Shift","Night Shift")</f>
        <v/>
      </c>
      <c r="F2053" s="6">
        <f>INT(B2053)</f>
        <v/>
      </c>
      <c r="G2053" s="6">
        <f>INT(C2053)</f>
        <v/>
      </c>
    </row>
    <row r="2054">
      <c r="A2054" s="7" t="inlineStr">
        <is>
          <t>EXD60</t>
        </is>
      </c>
      <c r="B2054" s="8" t="n">
        <v>46072.75</v>
      </c>
      <c r="C2054" s="8" t="n">
        <v>46073.25</v>
      </c>
      <c r="D2054" s="9">
        <f>(C2054-B2054)*24</f>
        <v/>
      </c>
      <c r="E2054" s="10">
        <f>IF(AND(HOUR(B2054)&gt;=6,HOUR(B2054)&lt;18),"Day Shift","Night Shift")</f>
        <v/>
      </c>
      <c r="F2054" s="11">
        <f>INT(B2054)</f>
        <v/>
      </c>
      <c r="G2054" s="11">
        <f>INT(C2054)</f>
        <v/>
      </c>
    </row>
    <row r="2055">
      <c r="A2055" s="2" t="inlineStr">
        <is>
          <t>EXD60</t>
        </is>
      </c>
      <c r="B2055" s="3" t="n">
        <v>46073.25</v>
      </c>
      <c r="C2055" s="3" t="n">
        <v>46073.75</v>
      </c>
      <c r="D2055" s="4">
        <f>(C2055-B2055)*24</f>
        <v/>
      </c>
      <c r="E2055" s="5">
        <f>IF(AND(HOUR(B2055)&gt;=6,HOUR(B2055)&lt;18),"Day Shift","Night Shift")</f>
        <v/>
      </c>
      <c r="F2055" s="6">
        <f>INT(B2055)</f>
        <v/>
      </c>
      <c r="G2055" s="6">
        <f>INT(C2055)</f>
        <v/>
      </c>
    </row>
    <row r="2056">
      <c r="A2056" s="7" t="inlineStr">
        <is>
          <t>EXD60</t>
        </is>
      </c>
      <c r="B2056" s="8" t="n">
        <v>46073.75</v>
      </c>
      <c r="C2056" s="8" t="n">
        <v>46074.25</v>
      </c>
      <c r="D2056" s="9">
        <f>(C2056-B2056)*24</f>
        <v/>
      </c>
      <c r="E2056" s="10">
        <f>IF(AND(HOUR(B2056)&gt;=6,HOUR(B2056)&lt;18),"Day Shift","Night Shift")</f>
        <v/>
      </c>
      <c r="F2056" s="11">
        <f>INT(B2056)</f>
        <v/>
      </c>
      <c r="G2056" s="11">
        <f>INT(C2056)</f>
        <v/>
      </c>
    </row>
    <row r="2057">
      <c r="A2057" s="2" t="inlineStr">
        <is>
          <t>EXD60</t>
        </is>
      </c>
      <c r="B2057" s="3" t="n">
        <v>46074.25</v>
      </c>
      <c r="C2057" s="3" t="n">
        <v>46074.75</v>
      </c>
      <c r="D2057" s="4">
        <f>(C2057-B2057)*24</f>
        <v/>
      </c>
      <c r="E2057" s="5">
        <f>IF(AND(HOUR(B2057)&gt;=6,HOUR(B2057)&lt;18),"Day Shift","Night Shift")</f>
        <v/>
      </c>
      <c r="F2057" s="6">
        <f>INT(B2057)</f>
        <v/>
      </c>
      <c r="G2057" s="6">
        <f>INT(C2057)</f>
        <v/>
      </c>
    </row>
    <row r="2058">
      <c r="A2058" s="7" t="inlineStr">
        <is>
          <t>EXD60</t>
        </is>
      </c>
      <c r="B2058" s="8" t="n">
        <v>46074.75</v>
      </c>
      <c r="C2058" s="8" t="n">
        <v>46075.25</v>
      </c>
      <c r="D2058" s="9">
        <f>(C2058-B2058)*24</f>
        <v/>
      </c>
      <c r="E2058" s="10">
        <f>IF(AND(HOUR(B2058)&gt;=6,HOUR(B2058)&lt;18),"Day Shift","Night Shift")</f>
        <v/>
      </c>
      <c r="F2058" s="11">
        <f>INT(B2058)</f>
        <v/>
      </c>
      <c r="G2058" s="11">
        <f>INT(C2058)</f>
        <v/>
      </c>
    </row>
    <row r="2059">
      <c r="A2059" s="2" t="inlineStr">
        <is>
          <t>EXD60</t>
        </is>
      </c>
      <c r="B2059" s="3" t="n">
        <v>46075.25</v>
      </c>
      <c r="C2059" s="3" t="n">
        <v>46075.75</v>
      </c>
      <c r="D2059" s="4">
        <f>(C2059-B2059)*24</f>
        <v/>
      </c>
      <c r="E2059" s="5">
        <f>IF(AND(HOUR(B2059)&gt;=6,HOUR(B2059)&lt;18),"Day Shift","Night Shift")</f>
        <v/>
      </c>
      <c r="F2059" s="6">
        <f>INT(B2059)</f>
        <v/>
      </c>
      <c r="G2059" s="6">
        <f>INT(C2059)</f>
        <v/>
      </c>
    </row>
    <row r="2060">
      <c r="A2060" s="7" t="inlineStr">
        <is>
          <t>EXD60</t>
        </is>
      </c>
      <c r="B2060" s="8" t="n">
        <v>46075.75</v>
      </c>
      <c r="C2060" s="8" t="n">
        <v>46076.25</v>
      </c>
      <c r="D2060" s="9">
        <f>(C2060-B2060)*24</f>
        <v/>
      </c>
      <c r="E2060" s="10">
        <f>IF(AND(HOUR(B2060)&gt;=6,HOUR(B2060)&lt;18),"Day Shift","Night Shift")</f>
        <v/>
      </c>
      <c r="F2060" s="11">
        <f>INT(B2060)</f>
        <v/>
      </c>
      <c r="G2060" s="11">
        <f>INT(C2060)</f>
        <v/>
      </c>
    </row>
    <row r="2061">
      <c r="A2061" s="2" t="inlineStr">
        <is>
          <t>EXD60</t>
        </is>
      </c>
      <c r="B2061" s="3" t="n">
        <v>46076.25</v>
      </c>
      <c r="C2061" s="3" t="n">
        <v>46076.75</v>
      </c>
      <c r="D2061" s="4">
        <f>(C2061-B2061)*24</f>
        <v/>
      </c>
      <c r="E2061" s="5">
        <f>IF(AND(HOUR(B2061)&gt;=6,HOUR(B2061)&lt;18),"Day Shift","Night Shift")</f>
        <v/>
      </c>
      <c r="F2061" s="6">
        <f>INT(B2061)</f>
        <v/>
      </c>
      <c r="G2061" s="6">
        <f>INT(C2061)</f>
        <v/>
      </c>
    </row>
    <row r="2062">
      <c r="A2062" s="7" t="inlineStr">
        <is>
          <t>EXD60</t>
        </is>
      </c>
      <c r="B2062" s="8" t="n">
        <v>46076.75</v>
      </c>
      <c r="C2062" s="8" t="n">
        <v>46076.95109953704</v>
      </c>
      <c r="D2062" s="9">
        <f>(C2062-B2062)*24</f>
        <v/>
      </c>
      <c r="E2062" s="10">
        <f>IF(AND(HOUR(B2062)&gt;=6,HOUR(B2062)&lt;18),"Day Shift","Night Shift")</f>
        <v/>
      </c>
      <c r="F2062" s="11">
        <f>INT(B2062)</f>
        <v/>
      </c>
      <c r="G2062" s="11">
        <f>INT(C2062)</f>
        <v/>
      </c>
    </row>
    <row r="2063">
      <c r="A2063" s="2" t="inlineStr">
        <is>
          <t>EXD55</t>
        </is>
      </c>
      <c r="B2063" s="3" t="n">
        <v>46072.71864583333</v>
      </c>
      <c r="C2063" s="3" t="n">
        <v>46072.75</v>
      </c>
      <c r="D2063" s="4">
        <f>(C2063-B2063)*24</f>
        <v/>
      </c>
      <c r="E2063" s="5">
        <f>IF(AND(HOUR(B2063)&gt;=6,HOUR(B2063)&lt;18),"Day Shift","Night Shift")</f>
        <v/>
      </c>
      <c r="F2063" s="6">
        <f>INT(B2063)</f>
        <v/>
      </c>
      <c r="G2063" s="6">
        <f>INT(C2063)</f>
        <v/>
      </c>
    </row>
    <row r="2064">
      <c r="A2064" s="7" t="inlineStr">
        <is>
          <t>EXD55</t>
        </is>
      </c>
      <c r="B2064" s="8" t="n">
        <v>46072.75</v>
      </c>
      <c r="C2064" s="8" t="n">
        <v>46073.25</v>
      </c>
      <c r="D2064" s="9">
        <f>(C2064-B2064)*24</f>
        <v/>
      </c>
      <c r="E2064" s="10">
        <f>IF(AND(HOUR(B2064)&gt;=6,HOUR(B2064)&lt;18),"Day Shift","Night Shift")</f>
        <v/>
      </c>
      <c r="F2064" s="11">
        <f>INT(B2064)</f>
        <v/>
      </c>
      <c r="G2064" s="11">
        <f>INT(C2064)</f>
        <v/>
      </c>
    </row>
    <row r="2065">
      <c r="A2065" s="2" t="inlineStr">
        <is>
          <t>EXD55</t>
        </is>
      </c>
      <c r="B2065" s="3" t="n">
        <v>46073.25</v>
      </c>
      <c r="C2065" s="3" t="n">
        <v>46073.26805555556</v>
      </c>
      <c r="D2065" s="4">
        <f>(C2065-B2065)*24</f>
        <v/>
      </c>
      <c r="E2065" s="5">
        <f>IF(AND(HOUR(B2065)&gt;=6,HOUR(B2065)&lt;18),"Day Shift","Night Shift")</f>
        <v/>
      </c>
      <c r="F2065" s="6">
        <f>INT(B2065)</f>
        <v/>
      </c>
      <c r="G2065" s="6">
        <f>INT(C2065)</f>
        <v/>
      </c>
    </row>
    <row r="2066">
      <c r="A2066" s="7" t="inlineStr">
        <is>
          <t>EXD98</t>
        </is>
      </c>
      <c r="B2066" s="8" t="n">
        <v>46072.87100694444</v>
      </c>
      <c r="C2066" s="8" t="n">
        <v>46073.25</v>
      </c>
      <c r="D2066" s="9">
        <f>(C2066-B2066)*24</f>
        <v/>
      </c>
      <c r="E2066" s="10">
        <f>IF(AND(HOUR(B2066)&gt;=6,HOUR(B2066)&lt;18),"Day Shift","Night Shift")</f>
        <v/>
      </c>
      <c r="F2066" s="11">
        <f>INT(B2066)</f>
        <v/>
      </c>
      <c r="G2066" s="11">
        <f>INT(C2066)</f>
        <v/>
      </c>
    </row>
    <row r="2067">
      <c r="A2067" s="2" t="inlineStr">
        <is>
          <t>EXD98</t>
        </is>
      </c>
      <c r="B2067" s="3" t="n">
        <v>46073.25</v>
      </c>
      <c r="C2067" s="3" t="n">
        <v>46073.75</v>
      </c>
      <c r="D2067" s="4">
        <f>(C2067-B2067)*24</f>
        <v/>
      </c>
      <c r="E2067" s="5">
        <f>IF(AND(HOUR(B2067)&gt;=6,HOUR(B2067)&lt;18),"Day Shift","Night Shift")</f>
        <v/>
      </c>
      <c r="F2067" s="6">
        <f>INT(B2067)</f>
        <v/>
      </c>
      <c r="G2067" s="6">
        <f>INT(C2067)</f>
        <v/>
      </c>
    </row>
    <row r="2068">
      <c r="A2068" s="7" t="inlineStr">
        <is>
          <t>EXD98</t>
        </is>
      </c>
      <c r="B2068" s="8" t="n">
        <v>46073.75</v>
      </c>
      <c r="C2068" s="8" t="n">
        <v>46074.11774305555</v>
      </c>
      <c r="D2068" s="9">
        <f>(C2068-B2068)*24</f>
        <v/>
      </c>
      <c r="E2068" s="10">
        <f>IF(AND(HOUR(B2068)&gt;=6,HOUR(B2068)&lt;18),"Day Shift","Night Shift")</f>
        <v/>
      </c>
      <c r="F2068" s="11">
        <f>INT(B2068)</f>
        <v/>
      </c>
      <c r="G2068" s="11">
        <f>INT(C2068)</f>
        <v/>
      </c>
    </row>
    <row r="2069">
      <c r="A2069" s="7" t="inlineStr">
        <is>
          <t>EDD1932;EDD2134;EDD2541</t>
        </is>
      </c>
      <c r="B2069" s="8" t="n">
        <v>46072.87144675926</v>
      </c>
      <c r="C2069" s="8" t="n">
        <v>46073.21726851852</v>
      </c>
      <c r="D2069" s="9">
        <f>(C2069-B2069)*24</f>
        <v/>
      </c>
      <c r="E2069" s="10">
        <f>IF(AND(HOUR(B2069)&gt;=6,HOUR(B2069)&lt;18),"Day Shift","Night Shift")</f>
        <v/>
      </c>
      <c r="F2069" s="11">
        <f>INT(B2069)</f>
        <v/>
      </c>
      <c r="G2069" s="11">
        <f>INT(C2069)</f>
        <v/>
      </c>
    </row>
    <row r="2070">
      <c r="A2070" s="7" t="inlineStr">
        <is>
          <t>EDD812</t>
        </is>
      </c>
      <c r="B2070" s="8" t="n">
        <v>46072.96563657407</v>
      </c>
      <c r="C2070" s="8" t="n">
        <v>46073.25</v>
      </c>
      <c r="D2070" s="9">
        <f>(C2070-B2070)*24</f>
        <v/>
      </c>
      <c r="E2070" s="10">
        <f>IF(AND(HOUR(B2070)&gt;=6,HOUR(B2070)&lt;18),"Day Shift","Night Shift")</f>
        <v/>
      </c>
      <c r="F2070" s="11">
        <f>INT(B2070)</f>
        <v/>
      </c>
      <c r="G2070" s="11">
        <f>INT(C2070)</f>
        <v/>
      </c>
    </row>
    <row r="2071">
      <c r="A2071" s="2" t="inlineStr">
        <is>
          <t>EDD812</t>
        </is>
      </c>
      <c r="B2071" s="3" t="n">
        <v>46073.25</v>
      </c>
      <c r="C2071" s="3" t="n">
        <v>46073.75</v>
      </c>
      <c r="D2071" s="4">
        <f>(C2071-B2071)*24</f>
        <v/>
      </c>
      <c r="E2071" s="5">
        <f>IF(AND(HOUR(B2071)&gt;=6,HOUR(B2071)&lt;18),"Day Shift","Night Shift")</f>
        <v/>
      </c>
      <c r="F2071" s="6">
        <f>INT(B2071)</f>
        <v/>
      </c>
      <c r="G2071" s="6">
        <f>INT(C2071)</f>
        <v/>
      </c>
    </row>
    <row r="2072">
      <c r="A2072" s="7" t="inlineStr">
        <is>
          <t>EDD812</t>
        </is>
      </c>
      <c r="B2072" s="8" t="n">
        <v>46073.75</v>
      </c>
      <c r="C2072" s="8" t="n">
        <v>46074.25</v>
      </c>
      <c r="D2072" s="9">
        <f>(C2072-B2072)*24</f>
        <v/>
      </c>
      <c r="E2072" s="10">
        <f>IF(AND(HOUR(B2072)&gt;=6,HOUR(B2072)&lt;18),"Day Shift","Night Shift")</f>
        <v/>
      </c>
      <c r="F2072" s="11">
        <f>INT(B2072)</f>
        <v/>
      </c>
      <c r="G2072" s="11">
        <f>INT(C2072)</f>
        <v/>
      </c>
    </row>
    <row r="2073">
      <c r="A2073" s="2" t="inlineStr">
        <is>
          <t>EDD812</t>
        </is>
      </c>
      <c r="B2073" s="3" t="n">
        <v>46074.25</v>
      </c>
      <c r="C2073" s="3" t="n">
        <v>46074.75</v>
      </c>
      <c r="D2073" s="4">
        <f>(C2073-B2073)*24</f>
        <v/>
      </c>
      <c r="E2073" s="5">
        <f>IF(AND(HOUR(B2073)&gt;=6,HOUR(B2073)&lt;18),"Day Shift","Night Shift")</f>
        <v/>
      </c>
      <c r="F2073" s="6">
        <f>INT(B2073)</f>
        <v/>
      </c>
      <c r="G2073" s="6">
        <f>INT(C2073)</f>
        <v/>
      </c>
    </row>
    <row r="2074">
      <c r="A2074" s="7" t="inlineStr">
        <is>
          <t>EDD812</t>
        </is>
      </c>
      <c r="B2074" s="8" t="n">
        <v>46074.75</v>
      </c>
      <c r="C2074" s="8" t="n">
        <v>46075.25</v>
      </c>
      <c r="D2074" s="9">
        <f>(C2074-B2074)*24</f>
        <v/>
      </c>
      <c r="E2074" s="10">
        <f>IF(AND(HOUR(B2074)&gt;=6,HOUR(B2074)&lt;18),"Day Shift","Night Shift")</f>
        <v/>
      </c>
      <c r="F2074" s="11">
        <f>INT(B2074)</f>
        <v/>
      </c>
      <c r="G2074" s="11">
        <f>INT(C2074)</f>
        <v/>
      </c>
    </row>
    <row r="2075">
      <c r="A2075" s="2" t="inlineStr">
        <is>
          <t>EDD812</t>
        </is>
      </c>
      <c r="B2075" s="3" t="n">
        <v>46075.25</v>
      </c>
      <c r="C2075" s="3" t="n">
        <v>46075.75</v>
      </c>
      <c r="D2075" s="4">
        <f>(C2075-B2075)*24</f>
        <v/>
      </c>
      <c r="E2075" s="5">
        <f>IF(AND(HOUR(B2075)&gt;=6,HOUR(B2075)&lt;18),"Day Shift","Night Shift")</f>
        <v/>
      </c>
      <c r="F2075" s="6">
        <f>INT(B2075)</f>
        <v/>
      </c>
      <c r="G2075" s="6">
        <f>INT(C2075)</f>
        <v/>
      </c>
    </row>
    <row r="2076">
      <c r="A2076" s="7" t="inlineStr">
        <is>
          <t>EDD812</t>
        </is>
      </c>
      <c r="B2076" s="8" t="n">
        <v>46075.75</v>
      </c>
      <c r="C2076" s="8" t="n">
        <v>46076.20299768518</v>
      </c>
      <c r="D2076" s="9">
        <f>(C2076-B2076)*24</f>
        <v/>
      </c>
      <c r="E2076" s="10">
        <f>IF(AND(HOUR(B2076)&gt;=6,HOUR(B2076)&lt;18),"Day Shift","Night Shift")</f>
        <v/>
      </c>
      <c r="F2076" s="11">
        <f>INT(B2076)</f>
        <v/>
      </c>
      <c r="G2076" s="11">
        <f>INT(C2076)</f>
        <v/>
      </c>
    </row>
    <row r="2077">
      <c r="A2077" s="7" t="inlineStr">
        <is>
          <t>Blast Crew</t>
        </is>
      </c>
      <c r="B2077" s="8" t="n">
        <v>46073.03394675926</v>
      </c>
      <c r="C2077" s="8" t="n">
        <v>46073.21056712963</v>
      </c>
      <c r="D2077" s="9">
        <f>(C2077-B2077)*24</f>
        <v/>
      </c>
      <c r="E2077" s="10">
        <f>IF(AND(HOUR(B2077)&gt;=6,HOUR(B2077)&lt;18),"Day Shift","Night Shift")</f>
        <v/>
      </c>
      <c r="F2077" s="11">
        <f>INT(B2077)</f>
        <v/>
      </c>
      <c r="G2077" s="11">
        <f>INT(C2077)</f>
        <v/>
      </c>
    </row>
    <row r="2078">
      <c r="A2078" s="7" t="inlineStr">
        <is>
          <t>EXD73</t>
        </is>
      </c>
      <c r="B2078" s="8" t="n">
        <v>46073.05332175926</v>
      </c>
      <c r="C2078" s="8" t="n">
        <v>46073.25</v>
      </c>
      <c r="D2078" s="9">
        <f>(C2078-B2078)*24</f>
        <v/>
      </c>
      <c r="E2078" s="10">
        <f>IF(AND(HOUR(B2078)&gt;=6,HOUR(B2078)&lt;18),"Day Shift","Night Shift")</f>
        <v/>
      </c>
      <c r="F2078" s="11">
        <f>INT(B2078)</f>
        <v/>
      </c>
      <c r="G2078" s="11">
        <f>INT(C2078)</f>
        <v/>
      </c>
    </row>
    <row r="2079">
      <c r="A2079" s="2" t="inlineStr">
        <is>
          <t>EXD73</t>
        </is>
      </c>
      <c r="B2079" s="3" t="n">
        <v>46073.25</v>
      </c>
      <c r="C2079" s="3" t="n">
        <v>46073.25582175926</v>
      </c>
      <c r="D2079" s="4">
        <f>(C2079-B2079)*24</f>
        <v/>
      </c>
      <c r="E2079" s="5">
        <f>IF(AND(HOUR(B2079)&gt;=6,HOUR(B2079)&lt;18),"Day Shift","Night Shift")</f>
        <v/>
      </c>
      <c r="F2079" s="6">
        <f>INT(B2079)</f>
        <v/>
      </c>
      <c r="G2079" s="6">
        <f>INT(C2079)</f>
        <v/>
      </c>
    </row>
    <row r="2080">
      <c r="A2080" s="7" t="inlineStr">
        <is>
          <t>EDD175</t>
        </is>
      </c>
      <c r="B2080" s="8" t="n">
        <v>46073.0753587963</v>
      </c>
      <c r="C2080" s="8" t="n">
        <v>46073.25</v>
      </c>
      <c r="D2080" s="9">
        <f>(C2080-B2080)*24</f>
        <v/>
      </c>
      <c r="E2080" s="10">
        <f>IF(AND(HOUR(B2080)&gt;=6,HOUR(B2080)&lt;18),"Day Shift","Night Shift")</f>
        <v/>
      </c>
      <c r="F2080" s="11">
        <f>INT(B2080)</f>
        <v/>
      </c>
      <c r="G2080" s="11">
        <f>INT(C2080)</f>
        <v/>
      </c>
    </row>
    <row r="2081">
      <c r="A2081" s="2" t="inlineStr">
        <is>
          <t>EDD175</t>
        </is>
      </c>
      <c r="B2081" s="3" t="n">
        <v>46073.25</v>
      </c>
      <c r="C2081" s="3" t="n">
        <v>46073.58896990741</v>
      </c>
      <c r="D2081" s="4">
        <f>(C2081-B2081)*24</f>
        <v/>
      </c>
      <c r="E2081" s="5">
        <f>IF(AND(HOUR(B2081)&gt;=6,HOUR(B2081)&lt;18),"Day Shift","Night Shift")</f>
        <v/>
      </c>
      <c r="F2081" s="6">
        <f>INT(B2081)</f>
        <v/>
      </c>
      <c r="G2081" s="6">
        <f>INT(C2081)</f>
        <v/>
      </c>
    </row>
    <row r="2082">
      <c r="A2082" s="7" t="inlineStr">
        <is>
          <t>Blast Crew</t>
        </is>
      </c>
      <c r="B2082" s="8" t="n">
        <v>46073.21056712963</v>
      </c>
      <c r="C2082" s="8" t="n">
        <v>46073.25</v>
      </c>
      <c r="D2082" s="9">
        <f>(C2082-B2082)*24</f>
        <v/>
      </c>
      <c r="E2082" s="10">
        <f>IF(AND(HOUR(B2082)&gt;=6,HOUR(B2082)&lt;18),"Day Shift","Night Shift")</f>
        <v/>
      </c>
      <c r="F2082" s="11">
        <f>INT(B2082)</f>
        <v/>
      </c>
      <c r="G2082" s="11">
        <f>INT(C2082)</f>
        <v/>
      </c>
    </row>
    <row r="2083">
      <c r="A2083" s="2" t="inlineStr">
        <is>
          <t>Blast Crew</t>
        </is>
      </c>
      <c r="B2083" s="3" t="n">
        <v>46073.25</v>
      </c>
      <c r="C2083" s="3" t="n">
        <v>46073.42574074074</v>
      </c>
      <c r="D2083" s="4">
        <f>(C2083-B2083)*24</f>
        <v/>
      </c>
      <c r="E2083" s="5">
        <f>IF(AND(HOUR(B2083)&gt;=6,HOUR(B2083)&lt;18),"Day Shift","Night Shift")</f>
        <v/>
      </c>
      <c r="F2083" s="6">
        <f>INT(B2083)</f>
        <v/>
      </c>
      <c r="G2083" s="6">
        <f>INT(C2083)</f>
        <v/>
      </c>
    </row>
    <row r="2084">
      <c r="A2084" s="7" t="inlineStr">
        <is>
          <t>EDD1932;EDD2134;EDD2541</t>
        </is>
      </c>
      <c r="B2084" s="8" t="n">
        <v>46073.21726851852</v>
      </c>
      <c r="C2084" s="8" t="n">
        <v>46073.25</v>
      </c>
      <c r="D2084" s="9">
        <f>(C2084-B2084)*24</f>
        <v/>
      </c>
      <c r="E2084" s="10">
        <f>IF(AND(HOUR(B2084)&gt;=6,HOUR(B2084)&lt;18),"Day Shift","Night Shift")</f>
        <v/>
      </c>
      <c r="F2084" s="11">
        <f>INT(B2084)</f>
        <v/>
      </c>
      <c r="G2084" s="11">
        <f>INT(C2084)</f>
        <v/>
      </c>
    </row>
    <row r="2085">
      <c r="A2085" s="2" t="inlineStr">
        <is>
          <t>EDD1932;EDD2134;EDD2541</t>
        </is>
      </c>
      <c r="B2085" s="3" t="n">
        <v>46073.25</v>
      </c>
      <c r="C2085" s="3" t="n">
        <v>46073.64884259259</v>
      </c>
      <c r="D2085" s="4">
        <f>(C2085-B2085)*24</f>
        <v/>
      </c>
      <c r="E2085" s="5">
        <f>IF(AND(HOUR(B2085)&gt;=6,HOUR(B2085)&lt;18),"Day Shift","Night Shift")</f>
        <v/>
      </c>
      <c r="F2085" s="6">
        <f>INT(B2085)</f>
        <v/>
      </c>
      <c r="G2085" s="6">
        <f>INT(C2085)</f>
        <v/>
      </c>
    </row>
    <row r="2086">
      <c r="A2086" s="2" t="inlineStr">
        <is>
          <t>EXD52</t>
        </is>
      </c>
      <c r="B2086" s="3" t="n">
        <v>46073.2980787037</v>
      </c>
      <c r="C2086" s="3" t="n">
        <v>46073.75</v>
      </c>
      <c r="D2086" s="4">
        <f>(C2086-B2086)*24</f>
        <v/>
      </c>
      <c r="E2086" s="5">
        <f>IF(AND(HOUR(B2086)&gt;=6,HOUR(B2086)&lt;18),"Day Shift","Night Shift")</f>
        <v/>
      </c>
      <c r="F2086" s="6">
        <f>INT(B2086)</f>
        <v/>
      </c>
      <c r="G2086" s="6">
        <f>INT(C2086)</f>
        <v/>
      </c>
    </row>
    <row r="2087">
      <c r="A2087" s="7" t="inlineStr">
        <is>
          <t>EXD52</t>
        </is>
      </c>
      <c r="B2087" s="8" t="n">
        <v>46073.75</v>
      </c>
      <c r="C2087" s="8" t="n">
        <v>46074.25</v>
      </c>
      <c r="D2087" s="9">
        <f>(C2087-B2087)*24</f>
        <v/>
      </c>
      <c r="E2087" s="10">
        <f>IF(AND(HOUR(B2087)&gt;=6,HOUR(B2087)&lt;18),"Day Shift","Night Shift")</f>
        <v/>
      </c>
      <c r="F2087" s="11">
        <f>INT(B2087)</f>
        <v/>
      </c>
      <c r="G2087" s="11">
        <f>INT(C2087)</f>
        <v/>
      </c>
    </row>
    <row r="2088">
      <c r="A2088" s="2" t="inlineStr">
        <is>
          <t>EXD52</t>
        </is>
      </c>
      <c r="B2088" s="3" t="n">
        <v>46074.25</v>
      </c>
      <c r="C2088" s="3" t="n">
        <v>46074.75</v>
      </c>
      <c r="D2088" s="4">
        <f>(C2088-B2088)*24</f>
        <v/>
      </c>
      <c r="E2088" s="5">
        <f>IF(AND(HOUR(B2088)&gt;=6,HOUR(B2088)&lt;18),"Day Shift","Night Shift")</f>
        <v/>
      </c>
      <c r="F2088" s="6">
        <f>INT(B2088)</f>
        <v/>
      </c>
      <c r="G2088" s="6">
        <f>INT(C2088)</f>
        <v/>
      </c>
    </row>
    <row r="2089">
      <c r="A2089" s="7" t="inlineStr">
        <is>
          <t>EXD52</t>
        </is>
      </c>
      <c r="B2089" s="8" t="n">
        <v>46074.75</v>
      </c>
      <c r="C2089" s="8" t="n">
        <v>46075.08645833333</v>
      </c>
      <c r="D2089" s="9">
        <f>(C2089-B2089)*24</f>
        <v/>
      </c>
      <c r="E2089" s="10">
        <f>IF(AND(HOUR(B2089)&gt;=6,HOUR(B2089)&lt;18),"Day Shift","Night Shift")</f>
        <v/>
      </c>
      <c r="F2089" s="11">
        <f>INT(B2089)</f>
        <v/>
      </c>
      <c r="G2089" s="11">
        <f>INT(C2089)</f>
        <v/>
      </c>
    </row>
    <row r="2090">
      <c r="A2090" s="2" t="inlineStr">
        <is>
          <t>EXD73</t>
        </is>
      </c>
      <c r="B2090" s="3" t="n">
        <v>46073.31034722222</v>
      </c>
      <c r="C2090" s="3" t="n">
        <v>46073.75</v>
      </c>
      <c r="D2090" s="4">
        <f>(C2090-B2090)*24</f>
        <v/>
      </c>
      <c r="E2090" s="5">
        <f>IF(AND(HOUR(B2090)&gt;=6,HOUR(B2090)&lt;18),"Day Shift","Night Shift")</f>
        <v/>
      </c>
      <c r="F2090" s="6">
        <f>INT(B2090)</f>
        <v/>
      </c>
      <c r="G2090" s="6">
        <f>INT(C2090)</f>
        <v/>
      </c>
    </row>
    <row r="2091">
      <c r="A2091" s="7" t="inlineStr">
        <is>
          <t>EXD73</t>
        </is>
      </c>
      <c r="B2091" s="8" t="n">
        <v>46073.75</v>
      </c>
      <c r="C2091" s="8" t="n">
        <v>46073.96210648148</v>
      </c>
      <c r="D2091" s="9">
        <f>(C2091-B2091)*24</f>
        <v/>
      </c>
      <c r="E2091" s="10">
        <f>IF(AND(HOUR(B2091)&gt;=6,HOUR(B2091)&lt;18),"Day Shift","Night Shift")</f>
        <v/>
      </c>
      <c r="F2091" s="11">
        <f>INT(B2091)</f>
        <v/>
      </c>
      <c r="G2091" s="11">
        <f>INT(C2091)</f>
        <v/>
      </c>
    </row>
    <row r="2092">
      <c r="A2092" s="2" t="inlineStr">
        <is>
          <t>EDD2134</t>
        </is>
      </c>
      <c r="B2092" s="3" t="n">
        <v>46073.3696875</v>
      </c>
      <c r="C2092" s="3" t="n">
        <v>46073.75</v>
      </c>
      <c r="D2092" s="4">
        <f>(C2092-B2092)*24</f>
        <v/>
      </c>
      <c r="E2092" s="5">
        <f>IF(AND(HOUR(B2092)&gt;=6,HOUR(B2092)&lt;18),"Day Shift","Night Shift")</f>
        <v/>
      </c>
      <c r="F2092" s="6">
        <f>INT(B2092)</f>
        <v/>
      </c>
      <c r="G2092" s="6">
        <f>INT(C2092)</f>
        <v/>
      </c>
    </row>
    <row r="2093">
      <c r="A2093" s="7" t="inlineStr">
        <is>
          <t>EDD2134</t>
        </is>
      </c>
      <c r="B2093" s="8" t="n">
        <v>46073.75</v>
      </c>
      <c r="C2093" s="8" t="n">
        <v>46074.25</v>
      </c>
      <c r="D2093" s="9">
        <f>(C2093-B2093)*24</f>
        <v/>
      </c>
      <c r="E2093" s="10">
        <f>IF(AND(HOUR(B2093)&gt;=6,HOUR(B2093)&lt;18),"Day Shift","Night Shift")</f>
        <v/>
      </c>
      <c r="F2093" s="11">
        <f>INT(B2093)</f>
        <v/>
      </c>
      <c r="G2093" s="11">
        <f>INT(C2093)</f>
        <v/>
      </c>
    </row>
    <row r="2094">
      <c r="A2094" s="2" t="inlineStr">
        <is>
          <t>EDD2134</t>
        </is>
      </c>
      <c r="B2094" s="3" t="n">
        <v>46074.25</v>
      </c>
      <c r="C2094" s="3" t="n">
        <v>46074.75</v>
      </c>
      <c r="D2094" s="4">
        <f>(C2094-B2094)*24</f>
        <v/>
      </c>
      <c r="E2094" s="5">
        <f>IF(AND(HOUR(B2094)&gt;=6,HOUR(B2094)&lt;18),"Day Shift","Night Shift")</f>
        <v/>
      </c>
      <c r="F2094" s="6">
        <f>INT(B2094)</f>
        <v/>
      </c>
      <c r="G2094" s="6">
        <f>INT(C2094)</f>
        <v/>
      </c>
    </row>
    <row r="2095">
      <c r="A2095" s="7" t="inlineStr">
        <is>
          <t>EDD2134</t>
        </is>
      </c>
      <c r="B2095" s="8" t="n">
        <v>46074.75</v>
      </c>
      <c r="C2095" s="8" t="n">
        <v>46074.86200231482</v>
      </c>
      <c r="D2095" s="9">
        <f>(C2095-B2095)*24</f>
        <v/>
      </c>
      <c r="E2095" s="10">
        <f>IF(AND(HOUR(B2095)&gt;=6,HOUR(B2095)&lt;18),"Day Shift","Night Shift")</f>
        <v/>
      </c>
      <c r="F2095" s="11">
        <f>INT(B2095)</f>
        <v/>
      </c>
      <c r="G2095" s="11">
        <f>INT(C2095)</f>
        <v/>
      </c>
    </row>
    <row r="2096">
      <c r="A2096" s="2" t="inlineStr">
        <is>
          <t>EXD100</t>
        </is>
      </c>
      <c r="B2096" s="3" t="n">
        <v>46073.37369212963</v>
      </c>
      <c r="C2096" s="3" t="n">
        <v>46073.61421296297</v>
      </c>
      <c r="D2096" s="4">
        <f>(C2096-B2096)*24</f>
        <v/>
      </c>
      <c r="E2096" s="5">
        <f>IF(AND(HOUR(B2096)&gt;=6,HOUR(B2096)&lt;18),"Day Shift","Night Shift")</f>
        <v/>
      </c>
      <c r="F2096" s="6">
        <f>INT(B2096)</f>
        <v/>
      </c>
      <c r="G2096" s="6">
        <f>INT(C2096)</f>
        <v/>
      </c>
    </row>
    <row r="2097">
      <c r="A2097" s="2" t="inlineStr">
        <is>
          <t>EXD407</t>
        </is>
      </c>
      <c r="B2097" s="3" t="n">
        <v>46073.41135416667</v>
      </c>
      <c r="C2097" s="3" t="n">
        <v>46073.58011574074</v>
      </c>
      <c r="D2097" s="4">
        <f>(C2097-B2097)*24</f>
        <v/>
      </c>
      <c r="E2097" s="5">
        <f>IF(AND(HOUR(B2097)&gt;=6,HOUR(B2097)&lt;18),"Day Shift","Night Shift")</f>
        <v/>
      </c>
      <c r="F2097" s="6">
        <f>INT(B2097)</f>
        <v/>
      </c>
      <c r="G2097" s="6">
        <f>INT(C2097)</f>
        <v/>
      </c>
    </row>
    <row r="2098">
      <c r="A2098" s="2" t="inlineStr">
        <is>
          <t>Blast Crew</t>
        </is>
      </c>
      <c r="B2098" s="3" t="n">
        <v>46073.42574074074</v>
      </c>
      <c r="C2098" s="3" t="n">
        <v>46073.6043287037</v>
      </c>
      <c r="D2098" s="4">
        <f>(C2098-B2098)*24</f>
        <v/>
      </c>
      <c r="E2098" s="5">
        <f>IF(AND(HOUR(B2098)&gt;=6,HOUR(B2098)&lt;18),"Day Shift","Night Shift")</f>
        <v/>
      </c>
      <c r="F2098" s="6">
        <f>INT(B2098)</f>
        <v/>
      </c>
      <c r="G2098" s="6">
        <f>INT(C2098)</f>
        <v/>
      </c>
    </row>
    <row r="2099">
      <c r="A2099" s="2" t="inlineStr">
        <is>
          <t>EXD408</t>
        </is>
      </c>
      <c r="B2099" s="3" t="n">
        <v>46073.51362268518</v>
      </c>
      <c r="C2099" s="3" t="n">
        <v>46073.75</v>
      </c>
      <c r="D2099" s="4">
        <f>(C2099-B2099)*24</f>
        <v/>
      </c>
      <c r="E2099" s="5">
        <f>IF(AND(HOUR(B2099)&gt;=6,HOUR(B2099)&lt;18),"Day Shift","Night Shift")</f>
        <v/>
      </c>
      <c r="F2099" s="6">
        <f>INT(B2099)</f>
        <v/>
      </c>
      <c r="G2099" s="6">
        <f>INT(C2099)</f>
        <v/>
      </c>
    </row>
    <row r="2100">
      <c r="A2100" s="7" t="inlineStr">
        <is>
          <t>EXD408</t>
        </is>
      </c>
      <c r="B2100" s="8" t="n">
        <v>46073.75</v>
      </c>
      <c r="C2100" s="8" t="n">
        <v>46074.25</v>
      </c>
      <c r="D2100" s="9">
        <f>(C2100-B2100)*24</f>
        <v/>
      </c>
      <c r="E2100" s="10">
        <f>IF(AND(HOUR(B2100)&gt;=6,HOUR(B2100)&lt;18),"Day Shift","Night Shift")</f>
        <v/>
      </c>
      <c r="F2100" s="11">
        <f>INT(B2100)</f>
        <v/>
      </c>
      <c r="G2100" s="11">
        <f>INT(C2100)</f>
        <v/>
      </c>
    </row>
    <row r="2101">
      <c r="A2101" s="2" t="inlineStr">
        <is>
          <t>EXD408</t>
        </is>
      </c>
      <c r="B2101" s="3" t="n">
        <v>46074.25</v>
      </c>
      <c r="C2101" s="3" t="n">
        <v>46074.75</v>
      </c>
      <c r="D2101" s="4">
        <f>(C2101-B2101)*24</f>
        <v/>
      </c>
      <c r="E2101" s="5">
        <f>IF(AND(HOUR(B2101)&gt;=6,HOUR(B2101)&lt;18),"Day Shift","Night Shift")</f>
        <v/>
      </c>
      <c r="F2101" s="6">
        <f>INT(B2101)</f>
        <v/>
      </c>
      <c r="G2101" s="6">
        <f>INT(C2101)</f>
        <v/>
      </c>
    </row>
    <row r="2102">
      <c r="A2102" s="7" t="inlineStr">
        <is>
          <t>EXD408</t>
        </is>
      </c>
      <c r="B2102" s="8" t="n">
        <v>46074.75</v>
      </c>
      <c r="C2102" s="8" t="n">
        <v>46075.223125</v>
      </c>
      <c r="D2102" s="9">
        <f>(C2102-B2102)*24</f>
        <v/>
      </c>
      <c r="E2102" s="10">
        <f>IF(AND(HOUR(B2102)&gt;=6,HOUR(B2102)&lt;18),"Day Shift","Night Shift")</f>
        <v/>
      </c>
      <c r="F2102" s="11">
        <f>INT(B2102)</f>
        <v/>
      </c>
      <c r="G2102" s="11">
        <f>INT(C2102)</f>
        <v/>
      </c>
    </row>
    <row r="2103">
      <c r="A2103" s="2" t="inlineStr">
        <is>
          <t>SHE36</t>
        </is>
      </c>
      <c r="B2103" s="3" t="n">
        <v>46073.54769675926</v>
      </c>
      <c r="C2103" s="3" t="n">
        <v>46073.75</v>
      </c>
      <c r="D2103" s="4">
        <f>(C2103-B2103)*24</f>
        <v/>
      </c>
      <c r="E2103" s="5">
        <f>IF(AND(HOUR(B2103)&gt;=6,HOUR(B2103)&lt;18),"Day Shift","Night Shift")</f>
        <v/>
      </c>
      <c r="F2103" s="6">
        <f>INT(B2103)</f>
        <v/>
      </c>
      <c r="G2103" s="6">
        <f>INT(C2103)</f>
        <v/>
      </c>
    </row>
    <row r="2104">
      <c r="A2104" s="7" t="inlineStr">
        <is>
          <t>SHE36</t>
        </is>
      </c>
      <c r="B2104" s="8" t="n">
        <v>46073.75</v>
      </c>
      <c r="C2104" s="8" t="n">
        <v>46074.25</v>
      </c>
      <c r="D2104" s="9">
        <f>(C2104-B2104)*24</f>
        <v/>
      </c>
      <c r="E2104" s="10">
        <f>IF(AND(HOUR(B2104)&gt;=6,HOUR(B2104)&lt;18),"Day Shift","Night Shift")</f>
        <v/>
      </c>
      <c r="F2104" s="11">
        <f>INT(B2104)</f>
        <v/>
      </c>
      <c r="G2104" s="11">
        <f>INT(C2104)</f>
        <v/>
      </c>
    </row>
    <row r="2105">
      <c r="A2105" s="2" t="inlineStr">
        <is>
          <t>SHE36</t>
        </is>
      </c>
      <c r="B2105" s="3" t="n">
        <v>46074.25</v>
      </c>
      <c r="C2105" s="3" t="n">
        <v>46074.4886574074</v>
      </c>
      <c r="D2105" s="4">
        <f>(C2105-B2105)*24</f>
        <v/>
      </c>
      <c r="E2105" s="5">
        <f>IF(AND(HOUR(B2105)&gt;=6,HOUR(B2105)&lt;18),"Day Shift","Night Shift")</f>
        <v/>
      </c>
      <c r="F2105" s="6">
        <f>INT(B2105)</f>
        <v/>
      </c>
      <c r="G2105" s="6">
        <f>INT(C2105)</f>
        <v/>
      </c>
    </row>
    <row r="2106">
      <c r="A2106" s="2" t="inlineStr">
        <is>
          <t>EXD55</t>
        </is>
      </c>
      <c r="B2106" s="3" t="n">
        <v>46073.57366898148</v>
      </c>
      <c r="C2106" s="3" t="n">
        <v>46073.74415509259</v>
      </c>
      <c r="D2106" s="4">
        <f>(C2106-B2106)*24</f>
        <v/>
      </c>
      <c r="E2106" s="5">
        <f>IF(AND(HOUR(B2106)&gt;=6,HOUR(B2106)&lt;18),"Day Shift","Night Shift")</f>
        <v/>
      </c>
      <c r="F2106" s="6">
        <f>INT(B2106)</f>
        <v/>
      </c>
      <c r="G2106" s="6">
        <f>INT(C2106)</f>
        <v/>
      </c>
    </row>
    <row r="2107">
      <c r="A2107" s="2" t="inlineStr">
        <is>
          <t>EXD407</t>
        </is>
      </c>
      <c r="B2107" s="3" t="n">
        <v>46073.58011574074</v>
      </c>
      <c r="C2107" s="3" t="n">
        <v>46073.75</v>
      </c>
      <c r="D2107" s="4">
        <f>(C2107-B2107)*24</f>
        <v/>
      </c>
      <c r="E2107" s="5">
        <f>IF(AND(HOUR(B2107)&gt;=6,HOUR(B2107)&lt;18),"Day Shift","Night Shift")</f>
        <v/>
      </c>
      <c r="F2107" s="6">
        <f>INT(B2107)</f>
        <v/>
      </c>
      <c r="G2107" s="6">
        <f>INT(C2107)</f>
        <v/>
      </c>
    </row>
    <row r="2108">
      <c r="A2108" s="7" t="inlineStr">
        <is>
          <t>EXD407</t>
        </is>
      </c>
      <c r="B2108" s="8" t="n">
        <v>46073.75</v>
      </c>
      <c r="C2108" s="8" t="n">
        <v>46074.25</v>
      </c>
      <c r="D2108" s="9">
        <f>(C2108-B2108)*24</f>
        <v/>
      </c>
      <c r="E2108" s="10">
        <f>IF(AND(HOUR(B2108)&gt;=6,HOUR(B2108)&lt;18),"Day Shift","Night Shift")</f>
        <v/>
      </c>
      <c r="F2108" s="11">
        <f>INT(B2108)</f>
        <v/>
      </c>
      <c r="G2108" s="11">
        <f>INT(C2108)</f>
        <v/>
      </c>
    </row>
    <row r="2109">
      <c r="A2109" s="2" t="inlineStr">
        <is>
          <t>EXD407</t>
        </is>
      </c>
      <c r="B2109" s="3" t="n">
        <v>46074.25</v>
      </c>
      <c r="C2109" s="3" t="n">
        <v>46074.45466435186</v>
      </c>
      <c r="D2109" s="4">
        <f>(C2109-B2109)*24</f>
        <v/>
      </c>
      <c r="E2109" s="5">
        <f>IF(AND(HOUR(B2109)&gt;=6,HOUR(B2109)&lt;18),"Day Shift","Night Shift")</f>
        <v/>
      </c>
      <c r="F2109" s="6">
        <f>INT(B2109)</f>
        <v/>
      </c>
      <c r="G2109" s="6">
        <f>INT(C2109)</f>
        <v/>
      </c>
    </row>
    <row r="2110">
      <c r="A2110" s="2" t="inlineStr">
        <is>
          <t>EDD175</t>
        </is>
      </c>
      <c r="B2110" s="3" t="n">
        <v>46073.58896990741</v>
      </c>
      <c r="C2110" s="3" t="n">
        <v>46073.75</v>
      </c>
      <c r="D2110" s="4">
        <f>(C2110-B2110)*24</f>
        <v/>
      </c>
      <c r="E2110" s="5">
        <f>IF(AND(HOUR(B2110)&gt;=6,HOUR(B2110)&lt;18),"Day Shift","Night Shift")</f>
        <v/>
      </c>
      <c r="F2110" s="6">
        <f>INT(B2110)</f>
        <v/>
      </c>
      <c r="G2110" s="6">
        <f>INT(C2110)</f>
        <v/>
      </c>
    </row>
    <row r="2111">
      <c r="A2111" s="7" t="inlineStr">
        <is>
          <t>EDD175</t>
        </is>
      </c>
      <c r="B2111" s="8" t="n">
        <v>46073.75</v>
      </c>
      <c r="C2111" s="8" t="n">
        <v>46074.10396990741</v>
      </c>
      <c r="D2111" s="9">
        <f>(C2111-B2111)*24</f>
        <v/>
      </c>
      <c r="E2111" s="10">
        <f>IF(AND(HOUR(B2111)&gt;=6,HOUR(B2111)&lt;18),"Day Shift","Night Shift")</f>
        <v/>
      </c>
      <c r="F2111" s="11">
        <f>INT(B2111)</f>
        <v/>
      </c>
      <c r="G2111" s="11">
        <f>INT(C2111)</f>
        <v/>
      </c>
    </row>
    <row r="2112">
      <c r="A2112" s="2" t="inlineStr">
        <is>
          <t>EXD61</t>
        </is>
      </c>
      <c r="B2112" s="3" t="n">
        <v>46073.60162037037</v>
      </c>
      <c r="C2112" s="3" t="n">
        <v>46073.75</v>
      </c>
      <c r="D2112" s="4">
        <f>(C2112-B2112)*24</f>
        <v/>
      </c>
      <c r="E2112" s="5">
        <f>IF(AND(HOUR(B2112)&gt;=6,HOUR(B2112)&lt;18),"Day Shift","Night Shift")</f>
        <v/>
      </c>
      <c r="F2112" s="6">
        <f>INT(B2112)</f>
        <v/>
      </c>
      <c r="G2112" s="6">
        <f>INT(C2112)</f>
        <v/>
      </c>
    </row>
    <row r="2113">
      <c r="A2113" s="7" t="inlineStr">
        <is>
          <t>EXD61</t>
        </is>
      </c>
      <c r="B2113" s="8" t="n">
        <v>46073.75</v>
      </c>
      <c r="C2113" s="8" t="n">
        <v>46074.25</v>
      </c>
      <c r="D2113" s="9">
        <f>(C2113-B2113)*24</f>
        <v/>
      </c>
      <c r="E2113" s="10">
        <f>IF(AND(HOUR(B2113)&gt;=6,HOUR(B2113)&lt;18),"Day Shift","Night Shift")</f>
        <v/>
      </c>
      <c r="F2113" s="11">
        <f>INT(B2113)</f>
        <v/>
      </c>
      <c r="G2113" s="11">
        <f>INT(C2113)</f>
        <v/>
      </c>
    </row>
    <row r="2114">
      <c r="A2114" s="2" t="inlineStr">
        <is>
          <t>EXD61</t>
        </is>
      </c>
      <c r="B2114" s="3" t="n">
        <v>46074.25</v>
      </c>
      <c r="C2114" s="3" t="n">
        <v>46074.75</v>
      </c>
      <c r="D2114" s="4">
        <f>(C2114-B2114)*24</f>
        <v/>
      </c>
      <c r="E2114" s="5">
        <f>IF(AND(HOUR(B2114)&gt;=6,HOUR(B2114)&lt;18),"Day Shift","Night Shift")</f>
        <v/>
      </c>
      <c r="F2114" s="6">
        <f>INT(B2114)</f>
        <v/>
      </c>
      <c r="G2114" s="6">
        <f>INT(C2114)</f>
        <v/>
      </c>
    </row>
    <row r="2115">
      <c r="A2115" s="7" t="inlineStr">
        <is>
          <t>EXD61</t>
        </is>
      </c>
      <c r="B2115" s="8" t="n">
        <v>46074.75</v>
      </c>
      <c r="C2115" s="8" t="n">
        <v>46074.89915509259</v>
      </c>
      <c r="D2115" s="9">
        <f>(C2115-B2115)*24</f>
        <v/>
      </c>
      <c r="E2115" s="10">
        <f>IF(AND(HOUR(B2115)&gt;=6,HOUR(B2115)&lt;18),"Day Shift","Night Shift")</f>
        <v/>
      </c>
      <c r="F2115" s="11">
        <f>INT(B2115)</f>
        <v/>
      </c>
      <c r="G2115" s="11">
        <f>INT(C2115)</f>
        <v/>
      </c>
    </row>
    <row r="2116">
      <c r="A2116" s="2" t="inlineStr">
        <is>
          <t>EXD100</t>
        </is>
      </c>
      <c r="B2116" s="3" t="n">
        <v>46073.61421296297</v>
      </c>
      <c r="C2116" s="3" t="n">
        <v>46073.75</v>
      </c>
      <c r="D2116" s="4">
        <f>(C2116-B2116)*24</f>
        <v/>
      </c>
      <c r="E2116" s="5">
        <f>IF(AND(HOUR(B2116)&gt;=6,HOUR(B2116)&lt;18),"Day Shift","Night Shift")</f>
        <v/>
      </c>
      <c r="F2116" s="6">
        <f>INT(B2116)</f>
        <v/>
      </c>
      <c r="G2116" s="6">
        <f>INT(C2116)</f>
        <v/>
      </c>
    </row>
    <row r="2117">
      <c r="A2117" s="7" t="inlineStr">
        <is>
          <t>EXD100</t>
        </is>
      </c>
      <c r="B2117" s="8" t="n">
        <v>46073.75</v>
      </c>
      <c r="C2117" s="8" t="n">
        <v>46074.25</v>
      </c>
      <c r="D2117" s="9">
        <f>(C2117-B2117)*24</f>
        <v/>
      </c>
      <c r="E2117" s="10">
        <f>IF(AND(HOUR(B2117)&gt;=6,HOUR(B2117)&lt;18),"Day Shift","Night Shift")</f>
        <v/>
      </c>
      <c r="F2117" s="11">
        <f>INT(B2117)</f>
        <v/>
      </c>
      <c r="G2117" s="11">
        <f>INT(C2117)</f>
        <v/>
      </c>
    </row>
    <row r="2118">
      <c r="A2118" s="2" t="inlineStr">
        <is>
          <t>EXD100</t>
        </is>
      </c>
      <c r="B2118" s="3" t="n">
        <v>46074.25</v>
      </c>
      <c r="C2118" s="3" t="n">
        <v>46074.75</v>
      </c>
      <c r="D2118" s="4">
        <f>(C2118-B2118)*24</f>
        <v/>
      </c>
      <c r="E2118" s="5">
        <f>IF(AND(HOUR(B2118)&gt;=6,HOUR(B2118)&lt;18),"Day Shift","Night Shift")</f>
        <v/>
      </c>
      <c r="F2118" s="6">
        <f>INT(B2118)</f>
        <v/>
      </c>
      <c r="G2118" s="6">
        <f>INT(C2118)</f>
        <v/>
      </c>
    </row>
    <row r="2119">
      <c r="A2119" s="7" t="inlineStr">
        <is>
          <t>EXD100</t>
        </is>
      </c>
      <c r="B2119" s="8" t="n">
        <v>46074.75</v>
      </c>
      <c r="C2119" s="8" t="n">
        <v>46074.77115740741</v>
      </c>
      <c r="D2119" s="9">
        <f>(C2119-B2119)*24</f>
        <v/>
      </c>
      <c r="E2119" s="10">
        <f>IF(AND(HOUR(B2119)&gt;=6,HOUR(B2119)&lt;18),"Day Shift","Night Shift")</f>
        <v/>
      </c>
      <c r="F2119" s="11">
        <f>INT(B2119)</f>
        <v/>
      </c>
      <c r="G2119" s="11">
        <f>INT(C2119)</f>
        <v/>
      </c>
    </row>
    <row r="2120">
      <c r="A2120" s="2" t="inlineStr">
        <is>
          <t>EDD1932;EDD2541</t>
        </is>
      </c>
      <c r="B2120" s="3" t="n">
        <v>46073.64884259259</v>
      </c>
      <c r="C2120" s="3" t="n">
        <v>46073.75</v>
      </c>
      <c r="D2120" s="4">
        <f>(C2120-B2120)*24</f>
        <v/>
      </c>
      <c r="E2120" s="5">
        <f>IF(AND(HOUR(B2120)&gt;=6,HOUR(B2120)&lt;18),"Day Shift","Night Shift")</f>
        <v/>
      </c>
      <c r="F2120" s="6">
        <f>INT(B2120)</f>
        <v/>
      </c>
      <c r="G2120" s="6">
        <f>INT(C2120)</f>
        <v/>
      </c>
    </row>
    <row r="2121">
      <c r="A2121" s="7" t="inlineStr">
        <is>
          <t>EDD1932;EDD2541</t>
        </is>
      </c>
      <c r="B2121" s="8" t="n">
        <v>46073.75</v>
      </c>
      <c r="C2121" s="8" t="n">
        <v>46074.07251157407</v>
      </c>
      <c r="D2121" s="9">
        <f>(C2121-B2121)*24</f>
        <v/>
      </c>
      <c r="E2121" s="10">
        <f>IF(AND(HOUR(B2121)&gt;=6,HOUR(B2121)&lt;18),"Day Shift","Night Shift")</f>
        <v/>
      </c>
      <c r="F2121" s="11">
        <f>INT(B2121)</f>
        <v/>
      </c>
      <c r="G2121" s="11">
        <f>INT(C2121)</f>
        <v/>
      </c>
    </row>
    <row r="2122">
      <c r="A2122" s="2" t="inlineStr">
        <is>
          <t>EXD55</t>
        </is>
      </c>
      <c r="B2122" s="3" t="n">
        <v>46073.74415509259</v>
      </c>
      <c r="C2122" s="3" t="n">
        <v>46073.75</v>
      </c>
      <c r="D2122" s="4">
        <f>(C2122-B2122)*24</f>
        <v/>
      </c>
      <c r="E2122" s="5">
        <f>IF(AND(HOUR(B2122)&gt;=6,HOUR(B2122)&lt;18),"Day Shift","Night Shift")</f>
        <v/>
      </c>
      <c r="F2122" s="6">
        <f>INT(B2122)</f>
        <v/>
      </c>
      <c r="G2122" s="6">
        <f>INT(C2122)</f>
        <v/>
      </c>
    </row>
    <row r="2123">
      <c r="A2123" s="7" t="inlineStr">
        <is>
          <t>EXD55</t>
        </is>
      </c>
      <c r="B2123" s="8" t="n">
        <v>46073.75</v>
      </c>
      <c r="C2123" s="8" t="n">
        <v>46074.15541666667</v>
      </c>
      <c r="D2123" s="9">
        <f>(C2123-B2123)*24</f>
        <v/>
      </c>
      <c r="E2123" s="10">
        <f>IF(AND(HOUR(B2123)&gt;=6,HOUR(B2123)&lt;18),"Day Shift","Night Shift")</f>
        <v/>
      </c>
      <c r="F2123" s="11">
        <f>INT(B2123)</f>
        <v/>
      </c>
      <c r="G2123" s="11">
        <f>INT(C2123)</f>
        <v/>
      </c>
    </row>
    <row r="2124">
      <c r="A2124" s="7" t="inlineStr">
        <is>
          <t>EXD101</t>
        </is>
      </c>
      <c r="B2124" s="8" t="n">
        <v>46073.76438657408</v>
      </c>
      <c r="C2124" s="8" t="n">
        <v>46074.25</v>
      </c>
      <c r="D2124" s="9">
        <f>(C2124-B2124)*24</f>
        <v/>
      </c>
      <c r="E2124" s="10">
        <f>IF(AND(HOUR(B2124)&gt;=6,HOUR(B2124)&lt;18),"Day Shift","Night Shift")</f>
        <v/>
      </c>
      <c r="F2124" s="11">
        <f>INT(B2124)</f>
        <v/>
      </c>
      <c r="G2124" s="11">
        <f>INT(C2124)</f>
        <v/>
      </c>
    </row>
    <row r="2125">
      <c r="A2125" s="2" t="inlineStr">
        <is>
          <t>EXD101</t>
        </is>
      </c>
      <c r="B2125" s="3" t="n">
        <v>46074.25</v>
      </c>
      <c r="C2125" s="3" t="n">
        <v>46074.75</v>
      </c>
      <c r="D2125" s="4">
        <f>(C2125-B2125)*24</f>
        <v/>
      </c>
      <c r="E2125" s="5">
        <f>IF(AND(HOUR(B2125)&gt;=6,HOUR(B2125)&lt;18),"Day Shift","Night Shift")</f>
        <v/>
      </c>
      <c r="F2125" s="6">
        <f>INT(B2125)</f>
        <v/>
      </c>
      <c r="G2125" s="6">
        <f>INT(C2125)</f>
        <v/>
      </c>
    </row>
    <row r="2126">
      <c r="A2126" s="7" t="inlineStr">
        <is>
          <t>EXD101</t>
        </is>
      </c>
      <c r="B2126" s="8" t="n">
        <v>46074.75</v>
      </c>
      <c r="C2126" s="8" t="n">
        <v>46075.25</v>
      </c>
      <c r="D2126" s="9">
        <f>(C2126-B2126)*24</f>
        <v/>
      </c>
      <c r="E2126" s="10">
        <f>IF(AND(HOUR(B2126)&gt;=6,HOUR(B2126)&lt;18),"Day Shift","Night Shift")</f>
        <v/>
      </c>
      <c r="F2126" s="11">
        <f>INT(B2126)</f>
        <v/>
      </c>
      <c r="G2126" s="11">
        <f>INT(C2126)</f>
        <v/>
      </c>
    </row>
    <row r="2127">
      <c r="A2127" s="2" t="inlineStr">
        <is>
          <t>EXD101</t>
        </is>
      </c>
      <c r="B2127" s="3" t="n">
        <v>46075.25</v>
      </c>
      <c r="C2127" s="3" t="n">
        <v>46075.75</v>
      </c>
      <c r="D2127" s="4">
        <f>(C2127-B2127)*24</f>
        <v/>
      </c>
      <c r="E2127" s="5">
        <f>IF(AND(HOUR(B2127)&gt;=6,HOUR(B2127)&lt;18),"Day Shift","Night Shift")</f>
        <v/>
      </c>
      <c r="F2127" s="6">
        <f>INT(B2127)</f>
        <v/>
      </c>
      <c r="G2127" s="6">
        <f>INT(C2127)</f>
        <v/>
      </c>
    </row>
    <row r="2128">
      <c r="A2128" s="7" t="inlineStr">
        <is>
          <t>EXD101</t>
        </is>
      </c>
      <c r="B2128" s="8" t="n">
        <v>46075.75</v>
      </c>
      <c r="C2128" s="8" t="n">
        <v>46076.25</v>
      </c>
      <c r="D2128" s="9">
        <f>(C2128-B2128)*24</f>
        <v/>
      </c>
      <c r="E2128" s="10">
        <f>IF(AND(HOUR(B2128)&gt;=6,HOUR(B2128)&lt;18),"Day Shift","Night Shift")</f>
        <v/>
      </c>
      <c r="F2128" s="11">
        <f>INT(B2128)</f>
        <v/>
      </c>
      <c r="G2128" s="11">
        <f>INT(C2128)</f>
        <v/>
      </c>
    </row>
    <row r="2129">
      <c r="A2129" s="2" t="inlineStr">
        <is>
          <t>EXD101</t>
        </is>
      </c>
      <c r="B2129" s="3" t="n">
        <v>46076.25</v>
      </c>
      <c r="C2129" s="3" t="n">
        <v>46076.52076388889</v>
      </c>
      <c r="D2129" s="4">
        <f>(C2129-B2129)*24</f>
        <v/>
      </c>
      <c r="E2129" s="5">
        <f>IF(AND(HOUR(B2129)&gt;=6,HOUR(B2129)&lt;18),"Day Shift","Night Shift")</f>
        <v/>
      </c>
      <c r="F2129" s="6">
        <f>INT(B2129)</f>
        <v/>
      </c>
      <c r="G2129" s="6">
        <f>INT(C2129)</f>
        <v/>
      </c>
    </row>
    <row r="2130">
      <c r="A2130" s="7" t="inlineStr">
        <is>
          <t>DRE42</t>
        </is>
      </c>
      <c r="B2130" s="8" t="n">
        <v>46073.79900462963</v>
      </c>
      <c r="C2130" s="8" t="n">
        <v>46074.25</v>
      </c>
      <c r="D2130" s="9">
        <f>(C2130-B2130)*24</f>
        <v/>
      </c>
      <c r="E2130" s="10">
        <f>IF(AND(HOUR(B2130)&gt;=6,HOUR(B2130)&lt;18),"Day Shift","Night Shift")</f>
        <v/>
      </c>
      <c r="F2130" s="11">
        <f>INT(B2130)</f>
        <v/>
      </c>
      <c r="G2130" s="11">
        <f>INT(C2130)</f>
        <v/>
      </c>
    </row>
    <row r="2131">
      <c r="A2131" s="2" t="inlineStr">
        <is>
          <t>DRE42</t>
        </is>
      </c>
      <c r="B2131" s="3" t="n">
        <v>46074.25</v>
      </c>
      <c r="C2131" s="3" t="n">
        <v>46074.75</v>
      </c>
      <c r="D2131" s="4">
        <f>(C2131-B2131)*24</f>
        <v/>
      </c>
      <c r="E2131" s="5">
        <f>IF(AND(HOUR(B2131)&gt;=6,HOUR(B2131)&lt;18),"Day Shift","Night Shift")</f>
        <v/>
      </c>
      <c r="F2131" s="6">
        <f>INT(B2131)</f>
        <v/>
      </c>
      <c r="G2131" s="6">
        <f>INT(C2131)</f>
        <v/>
      </c>
    </row>
    <row r="2132">
      <c r="A2132" s="7" t="inlineStr">
        <is>
          <t>DRE42</t>
        </is>
      </c>
      <c r="B2132" s="8" t="n">
        <v>46074.75</v>
      </c>
      <c r="C2132" s="8" t="n">
        <v>46075.25</v>
      </c>
      <c r="D2132" s="9">
        <f>(C2132-B2132)*24</f>
        <v/>
      </c>
      <c r="E2132" s="10">
        <f>IF(AND(HOUR(B2132)&gt;=6,HOUR(B2132)&lt;18),"Day Shift","Night Shift")</f>
        <v/>
      </c>
      <c r="F2132" s="11">
        <f>INT(B2132)</f>
        <v/>
      </c>
      <c r="G2132" s="11">
        <f>INT(C2132)</f>
        <v/>
      </c>
    </row>
    <row r="2133">
      <c r="A2133" s="2" t="inlineStr">
        <is>
          <t>DRE42</t>
        </is>
      </c>
      <c r="B2133" s="3" t="n">
        <v>46075.25</v>
      </c>
      <c r="C2133" s="3" t="n">
        <v>46075.75</v>
      </c>
      <c r="D2133" s="4">
        <f>(C2133-B2133)*24</f>
        <v/>
      </c>
      <c r="E2133" s="5">
        <f>IF(AND(HOUR(B2133)&gt;=6,HOUR(B2133)&lt;18),"Day Shift","Night Shift")</f>
        <v/>
      </c>
      <c r="F2133" s="6">
        <f>INT(B2133)</f>
        <v/>
      </c>
      <c r="G2133" s="6">
        <f>INT(C2133)</f>
        <v/>
      </c>
    </row>
    <row r="2134">
      <c r="A2134" s="7" t="inlineStr">
        <is>
          <t>DRE42</t>
        </is>
      </c>
      <c r="B2134" s="8" t="n">
        <v>46075.75</v>
      </c>
      <c r="C2134" s="8" t="n">
        <v>46076.0952662037</v>
      </c>
      <c r="D2134" s="9">
        <f>(C2134-B2134)*24</f>
        <v/>
      </c>
      <c r="E2134" s="10">
        <f>IF(AND(HOUR(B2134)&gt;=6,HOUR(B2134)&lt;18),"Day Shift","Night Shift")</f>
        <v/>
      </c>
      <c r="F2134" s="11">
        <f>INT(B2134)</f>
        <v/>
      </c>
      <c r="G2134" s="11">
        <f>INT(C2134)</f>
        <v/>
      </c>
    </row>
    <row r="2135">
      <c r="A2135" s="7" t="inlineStr">
        <is>
          <t>EXD51</t>
        </is>
      </c>
      <c r="B2135" s="8" t="n">
        <v>46073.86568287037</v>
      </c>
      <c r="C2135" s="8" t="n">
        <v>46074.25</v>
      </c>
      <c r="D2135" s="9">
        <f>(C2135-B2135)*24</f>
        <v/>
      </c>
      <c r="E2135" s="10">
        <f>IF(AND(HOUR(B2135)&gt;=6,HOUR(B2135)&lt;18),"Day Shift","Night Shift")</f>
        <v/>
      </c>
      <c r="F2135" s="11">
        <f>INT(B2135)</f>
        <v/>
      </c>
      <c r="G2135" s="11">
        <f>INT(C2135)</f>
        <v/>
      </c>
    </row>
    <row r="2136">
      <c r="A2136" s="2" t="inlineStr">
        <is>
          <t>EXD51</t>
        </is>
      </c>
      <c r="B2136" s="3" t="n">
        <v>46074.25</v>
      </c>
      <c r="C2136" s="3" t="n">
        <v>46074.75</v>
      </c>
      <c r="D2136" s="4">
        <f>(C2136-B2136)*24</f>
        <v/>
      </c>
      <c r="E2136" s="5">
        <f>IF(AND(HOUR(B2136)&gt;=6,HOUR(B2136)&lt;18),"Day Shift","Night Shift")</f>
        <v/>
      </c>
      <c r="F2136" s="6">
        <f>INT(B2136)</f>
        <v/>
      </c>
      <c r="G2136" s="6">
        <f>INT(C2136)</f>
        <v/>
      </c>
    </row>
    <row r="2137">
      <c r="A2137" s="7" t="inlineStr">
        <is>
          <t>EXD51</t>
        </is>
      </c>
      <c r="B2137" s="8" t="n">
        <v>46074.75</v>
      </c>
      <c r="C2137" s="8" t="n">
        <v>46075.25</v>
      </c>
      <c r="D2137" s="9">
        <f>(C2137-B2137)*24</f>
        <v/>
      </c>
      <c r="E2137" s="10">
        <f>IF(AND(HOUR(B2137)&gt;=6,HOUR(B2137)&lt;18),"Day Shift","Night Shift")</f>
        <v/>
      </c>
      <c r="F2137" s="11">
        <f>INT(B2137)</f>
        <v/>
      </c>
      <c r="G2137" s="11">
        <f>INT(C2137)</f>
        <v/>
      </c>
    </row>
    <row r="2138">
      <c r="A2138" s="2" t="inlineStr">
        <is>
          <t>EXD51</t>
        </is>
      </c>
      <c r="B2138" s="3" t="n">
        <v>46075.25</v>
      </c>
      <c r="C2138" s="3" t="n">
        <v>46075.45827546297</v>
      </c>
      <c r="D2138" s="4">
        <f>(C2138-B2138)*24</f>
        <v/>
      </c>
      <c r="E2138" s="5">
        <f>IF(AND(HOUR(B2138)&gt;=6,HOUR(B2138)&lt;18),"Day Shift","Night Shift")</f>
        <v/>
      </c>
      <c r="F2138" s="6">
        <f>INT(B2138)</f>
        <v/>
      </c>
      <c r="G2138" s="6">
        <f>INT(C2138)</f>
        <v/>
      </c>
    </row>
    <row r="2139">
      <c r="A2139" s="7" t="inlineStr">
        <is>
          <t>EXD73</t>
        </is>
      </c>
      <c r="B2139" s="8" t="n">
        <v>46073.96210648148</v>
      </c>
      <c r="C2139" s="8" t="n">
        <v>46074.25</v>
      </c>
      <c r="D2139" s="9">
        <f>(C2139-B2139)*24</f>
        <v/>
      </c>
      <c r="E2139" s="10">
        <f>IF(AND(HOUR(B2139)&gt;=6,HOUR(B2139)&lt;18),"Day Shift","Night Shift")</f>
        <v/>
      </c>
      <c r="F2139" s="11">
        <f>INT(B2139)</f>
        <v/>
      </c>
      <c r="G2139" s="11">
        <f>INT(C2139)</f>
        <v/>
      </c>
    </row>
    <row r="2140">
      <c r="A2140" s="2" t="inlineStr">
        <is>
          <t>EXD73</t>
        </is>
      </c>
      <c r="B2140" s="3" t="n">
        <v>46074.25</v>
      </c>
      <c r="C2140" s="3" t="n">
        <v>46074.73377314815</v>
      </c>
      <c r="D2140" s="4">
        <f>(C2140-B2140)*24</f>
        <v/>
      </c>
      <c r="E2140" s="5">
        <f>IF(AND(HOUR(B2140)&gt;=6,HOUR(B2140)&lt;18),"Day Shift","Night Shift")</f>
        <v/>
      </c>
      <c r="F2140" s="6">
        <f>INT(B2140)</f>
        <v/>
      </c>
      <c r="G2140" s="6">
        <f>INT(C2140)</f>
        <v/>
      </c>
    </row>
    <row r="2141">
      <c r="A2141" s="7" t="inlineStr">
        <is>
          <t>EDD1932;EDD2541</t>
        </is>
      </c>
      <c r="B2141" s="8" t="n">
        <v>46074.07251157407</v>
      </c>
      <c r="C2141" s="8" t="n">
        <v>46074.25</v>
      </c>
      <c r="D2141" s="9">
        <f>(C2141-B2141)*24</f>
        <v/>
      </c>
      <c r="E2141" s="10">
        <f>IF(AND(HOUR(B2141)&gt;=6,HOUR(B2141)&lt;18),"Day Shift","Night Shift")</f>
        <v/>
      </c>
      <c r="F2141" s="11">
        <f>INT(B2141)</f>
        <v/>
      </c>
      <c r="G2141" s="11">
        <f>INT(C2141)</f>
        <v/>
      </c>
    </row>
    <row r="2142">
      <c r="A2142" s="2" t="inlineStr">
        <is>
          <t>EDD1932;EDD2541</t>
        </is>
      </c>
      <c r="B2142" s="3" t="n">
        <v>46074.25</v>
      </c>
      <c r="C2142" s="3" t="n">
        <v>46074.46618055556</v>
      </c>
      <c r="D2142" s="4">
        <f>(C2142-B2142)*24</f>
        <v/>
      </c>
      <c r="E2142" s="5">
        <f>IF(AND(HOUR(B2142)&gt;=6,HOUR(B2142)&lt;18),"Day Shift","Night Shift")</f>
        <v/>
      </c>
      <c r="F2142" s="6">
        <f>INT(B2142)</f>
        <v/>
      </c>
      <c r="G2142" s="6">
        <f>INT(C2142)</f>
        <v/>
      </c>
    </row>
    <row r="2143">
      <c r="A2143" s="7" t="inlineStr">
        <is>
          <t>EXD409</t>
        </is>
      </c>
      <c r="B2143" s="8" t="n">
        <v>46074.11520833334</v>
      </c>
      <c r="C2143" s="8" t="n">
        <v>46074.25</v>
      </c>
      <c r="D2143" s="9">
        <f>(C2143-B2143)*24</f>
        <v/>
      </c>
      <c r="E2143" s="10">
        <f>IF(AND(HOUR(B2143)&gt;=6,HOUR(B2143)&lt;18),"Day Shift","Night Shift")</f>
        <v/>
      </c>
      <c r="F2143" s="11">
        <f>INT(B2143)</f>
        <v/>
      </c>
      <c r="G2143" s="11">
        <f>INT(C2143)</f>
        <v/>
      </c>
    </row>
    <row r="2144">
      <c r="A2144" s="2" t="inlineStr">
        <is>
          <t>EXD409</t>
        </is>
      </c>
      <c r="B2144" s="3" t="n">
        <v>46074.25</v>
      </c>
      <c r="C2144" s="3" t="n">
        <v>46074.75</v>
      </c>
      <c r="D2144" s="4">
        <f>(C2144-B2144)*24</f>
        <v/>
      </c>
      <c r="E2144" s="5">
        <f>IF(AND(HOUR(B2144)&gt;=6,HOUR(B2144)&lt;18),"Day Shift","Night Shift")</f>
        <v/>
      </c>
      <c r="F2144" s="6">
        <f>INT(B2144)</f>
        <v/>
      </c>
      <c r="G2144" s="6">
        <f>INT(C2144)</f>
        <v/>
      </c>
    </row>
    <row r="2145">
      <c r="A2145" s="7" t="inlineStr">
        <is>
          <t>EXD409</t>
        </is>
      </c>
      <c r="B2145" s="8" t="n">
        <v>46074.75</v>
      </c>
      <c r="C2145" s="8" t="n">
        <v>46075.25</v>
      </c>
      <c r="D2145" s="9">
        <f>(C2145-B2145)*24</f>
        <v/>
      </c>
      <c r="E2145" s="10">
        <f>IF(AND(HOUR(B2145)&gt;=6,HOUR(B2145)&lt;18),"Day Shift","Night Shift")</f>
        <v/>
      </c>
      <c r="F2145" s="11">
        <f>INT(B2145)</f>
        <v/>
      </c>
      <c r="G2145" s="11">
        <f>INT(C2145)</f>
        <v/>
      </c>
    </row>
    <row r="2146">
      <c r="A2146" s="2" t="inlineStr">
        <is>
          <t>EXD409</t>
        </is>
      </c>
      <c r="B2146" s="3" t="n">
        <v>46075.25</v>
      </c>
      <c r="C2146" s="3" t="n">
        <v>46075.75</v>
      </c>
      <c r="D2146" s="4">
        <f>(C2146-B2146)*24</f>
        <v/>
      </c>
      <c r="E2146" s="5">
        <f>IF(AND(HOUR(B2146)&gt;=6,HOUR(B2146)&lt;18),"Day Shift","Night Shift")</f>
        <v/>
      </c>
      <c r="F2146" s="6">
        <f>INT(B2146)</f>
        <v/>
      </c>
      <c r="G2146" s="6">
        <f>INT(C2146)</f>
        <v/>
      </c>
    </row>
    <row r="2147">
      <c r="A2147" s="7" t="inlineStr">
        <is>
          <t>EXD409</t>
        </is>
      </c>
      <c r="B2147" s="8" t="n">
        <v>46075.75</v>
      </c>
      <c r="C2147" s="8" t="n">
        <v>46076.11175925926</v>
      </c>
      <c r="D2147" s="9">
        <f>(C2147-B2147)*24</f>
        <v/>
      </c>
      <c r="E2147" s="10">
        <f>IF(AND(HOUR(B2147)&gt;=6,HOUR(B2147)&lt;18),"Day Shift","Night Shift")</f>
        <v/>
      </c>
      <c r="F2147" s="11">
        <f>INT(B2147)</f>
        <v/>
      </c>
      <c r="G2147" s="11">
        <f>INT(C2147)</f>
        <v/>
      </c>
    </row>
    <row r="2148">
      <c r="A2148" s="7" t="inlineStr">
        <is>
          <t>EXD98</t>
        </is>
      </c>
      <c r="B2148" s="8" t="n">
        <v>46074.11774305555</v>
      </c>
      <c r="C2148" s="8" t="n">
        <v>46074.25</v>
      </c>
      <c r="D2148" s="9">
        <f>(C2148-B2148)*24</f>
        <v/>
      </c>
      <c r="E2148" s="10">
        <f>IF(AND(HOUR(B2148)&gt;=6,HOUR(B2148)&lt;18),"Day Shift","Night Shift")</f>
        <v/>
      </c>
      <c r="F2148" s="11">
        <f>INT(B2148)</f>
        <v/>
      </c>
      <c r="G2148" s="11">
        <f>INT(C2148)</f>
        <v/>
      </c>
    </row>
    <row r="2149">
      <c r="A2149" s="2" t="inlineStr">
        <is>
          <t>EXD98</t>
        </is>
      </c>
      <c r="B2149" s="3" t="n">
        <v>46074.25</v>
      </c>
      <c r="C2149" s="3" t="n">
        <v>46074.75</v>
      </c>
      <c r="D2149" s="4">
        <f>(C2149-B2149)*24</f>
        <v/>
      </c>
      <c r="E2149" s="5">
        <f>IF(AND(HOUR(B2149)&gt;=6,HOUR(B2149)&lt;18),"Day Shift","Night Shift")</f>
        <v/>
      </c>
      <c r="F2149" s="6">
        <f>INT(B2149)</f>
        <v/>
      </c>
      <c r="G2149" s="6">
        <f>INT(C2149)</f>
        <v/>
      </c>
    </row>
    <row r="2150">
      <c r="A2150" s="7" t="inlineStr">
        <is>
          <t>EXD98</t>
        </is>
      </c>
      <c r="B2150" s="8" t="n">
        <v>46074.75</v>
      </c>
      <c r="C2150" s="8" t="n">
        <v>46075.25</v>
      </c>
      <c r="D2150" s="9">
        <f>(C2150-B2150)*24</f>
        <v/>
      </c>
      <c r="E2150" s="10">
        <f>IF(AND(HOUR(B2150)&gt;=6,HOUR(B2150)&lt;18),"Day Shift","Night Shift")</f>
        <v/>
      </c>
      <c r="F2150" s="11">
        <f>INT(B2150)</f>
        <v/>
      </c>
      <c r="G2150" s="11">
        <f>INT(C2150)</f>
        <v/>
      </c>
    </row>
    <row r="2151">
      <c r="A2151" s="2" t="inlineStr">
        <is>
          <t>EXD98</t>
        </is>
      </c>
      <c r="B2151" s="3" t="n">
        <v>46075.25</v>
      </c>
      <c r="C2151" s="3" t="n">
        <v>46075.2702199074</v>
      </c>
      <c r="D2151" s="4">
        <f>(C2151-B2151)*24</f>
        <v/>
      </c>
      <c r="E2151" s="5">
        <f>IF(AND(HOUR(B2151)&gt;=6,HOUR(B2151)&lt;18),"Day Shift","Night Shift")</f>
        <v/>
      </c>
      <c r="F2151" s="6">
        <f>INT(B2151)</f>
        <v/>
      </c>
      <c r="G2151" s="6">
        <f>INT(C2151)</f>
        <v/>
      </c>
    </row>
    <row r="2152">
      <c r="A2152" s="7" t="inlineStr">
        <is>
          <t>EXD55</t>
        </is>
      </c>
      <c r="B2152" s="8" t="n">
        <v>46074.15541666667</v>
      </c>
      <c r="C2152" s="8" t="n">
        <v>46074.25</v>
      </c>
      <c r="D2152" s="9">
        <f>(C2152-B2152)*24</f>
        <v/>
      </c>
      <c r="E2152" s="10">
        <f>IF(AND(HOUR(B2152)&gt;=6,HOUR(B2152)&lt;18),"Day Shift","Night Shift")</f>
        <v/>
      </c>
      <c r="F2152" s="11">
        <f>INT(B2152)</f>
        <v/>
      </c>
      <c r="G2152" s="11">
        <f>INT(C2152)</f>
        <v/>
      </c>
    </row>
    <row r="2153">
      <c r="A2153" s="2" t="inlineStr">
        <is>
          <t>EXD55</t>
        </is>
      </c>
      <c r="B2153" s="3" t="n">
        <v>46074.25</v>
      </c>
      <c r="C2153" s="3" t="n">
        <v>46074.75</v>
      </c>
      <c r="D2153" s="4">
        <f>(C2153-B2153)*24</f>
        <v/>
      </c>
      <c r="E2153" s="5">
        <f>IF(AND(HOUR(B2153)&gt;=6,HOUR(B2153)&lt;18),"Day Shift","Night Shift")</f>
        <v/>
      </c>
      <c r="F2153" s="6">
        <f>INT(B2153)</f>
        <v/>
      </c>
      <c r="G2153" s="6">
        <f>INT(C2153)</f>
        <v/>
      </c>
    </row>
    <row r="2154">
      <c r="A2154" s="7" t="inlineStr">
        <is>
          <t>EXD55</t>
        </is>
      </c>
      <c r="B2154" s="8" t="n">
        <v>46074.75</v>
      </c>
      <c r="C2154" s="8" t="n">
        <v>46074.95763888889</v>
      </c>
      <c r="D2154" s="9">
        <f>(C2154-B2154)*24</f>
        <v/>
      </c>
      <c r="E2154" s="10">
        <f>IF(AND(HOUR(B2154)&gt;=6,HOUR(B2154)&lt;18),"Day Shift","Night Shift")</f>
        <v/>
      </c>
      <c r="F2154" s="11">
        <f>INT(B2154)</f>
        <v/>
      </c>
      <c r="G2154" s="11">
        <f>INT(C2154)</f>
        <v/>
      </c>
    </row>
    <row r="2155">
      <c r="A2155" s="7" t="inlineStr">
        <is>
          <t>EXD56</t>
        </is>
      </c>
      <c r="B2155" s="8" t="n">
        <v>46074.15857638889</v>
      </c>
      <c r="C2155" s="8" t="n">
        <v>46074.25</v>
      </c>
      <c r="D2155" s="9">
        <f>(C2155-B2155)*24</f>
        <v/>
      </c>
      <c r="E2155" s="10">
        <f>IF(AND(HOUR(B2155)&gt;=6,HOUR(B2155)&lt;18),"Day Shift","Night Shift")</f>
        <v/>
      </c>
      <c r="F2155" s="11">
        <f>INT(B2155)</f>
        <v/>
      </c>
      <c r="G2155" s="11">
        <f>INT(C2155)</f>
        <v/>
      </c>
    </row>
    <row r="2156">
      <c r="A2156" s="2" t="inlineStr">
        <is>
          <t>EXD56</t>
        </is>
      </c>
      <c r="B2156" s="3" t="n">
        <v>46074.25</v>
      </c>
      <c r="C2156" s="3" t="n">
        <v>46074.68547453704</v>
      </c>
      <c r="D2156" s="4">
        <f>(C2156-B2156)*24</f>
        <v/>
      </c>
      <c r="E2156" s="5">
        <f>IF(AND(HOUR(B2156)&gt;=6,HOUR(B2156)&lt;18),"Day Shift","Night Shift")</f>
        <v/>
      </c>
      <c r="F2156" s="6">
        <f>INT(B2156)</f>
        <v/>
      </c>
      <c r="G2156" s="6">
        <f>INT(C2156)</f>
        <v/>
      </c>
    </row>
    <row r="2157">
      <c r="A2157" s="7" t="inlineStr">
        <is>
          <t>EDD175</t>
        </is>
      </c>
      <c r="B2157" s="8" t="n">
        <v>46074.24835648148</v>
      </c>
      <c r="C2157" s="8" t="n">
        <v>46074.25</v>
      </c>
      <c r="D2157" s="9">
        <f>(C2157-B2157)*24</f>
        <v/>
      </c>
      <c r="E2157" s="10">
        <f>IF(AND(HOUR(B2157)&gt;=6,HOUR(B2157)&lt;18),"Day Shift","Night Shift")</f>
        <v/>
      </c>
      <c r="F2157" s="11">
        <f>INT(B2157)</f>
        <v/>
      </c>
      <c r="G2157" s="11">
        <f>INT(C2157)</f>
        <v/>
      </c>
    </row>
    <row r="2158">
      <c r="A2158" s="2" t="inlineStr">
        <is>
          <t>EDD175</t>
        </is>
      </c>
      <c r="B2158" s="3" t="n">
        <v>46074.25</v>
      </c>
      <c r="C2158" s="3" t="n">
        <v>46074.7303125</v>
      </c>
      <c r="D2158" s="4">
        <f>(C2158-B2158)*24</f>
        <v/>
      </c>
      <c r="E2158" s="5">
        <f>IF(AND(HOUR(B2158)&gt;=6,HOUR(B2158)&lt;18),"Day Shift","Night Shift")</f>
        <v/>
      </c>
      <c r="F2158" s="6">
        <f>INT(B2158)</f>
        <v/>
      </c>
      <c r="G2158" s="6">
        <f>INT(C2158)</f>
        <v/>
      </c>
    </row>
    <row r="2159">
      <c r="A2159" s="2" t="inlineStr">
        <is>
          <t>R11S Blockage</t>
        </is>
      </c>
      <c r="B2159" s="3" t="n">
        <v>46074.25</v>
      </c>
      <c r="C2159" s="3" t="n">
        <v>46074.75</v>
      </c>
      <c r="D2159" s="4">
        <f>(C2159-B2159)*24</f>
        <v/>
      </c>
      <c r="E2159" s="5">
        <f>IF(AND(HOUR(B2159)&gt;=6,HOUR(B2159)&lt;18),"Day Shift","Night Shift")</f>
        <v/>
      </c>
      <c r="F2159" s="6">
        <f>INT(B2159)</f>
        <v/>
      </c>
      <c r="G2159" s="6">
        <f>INT(C2159)</f>
        <v/>
      </c>
    </row>
    <row r="2160">
      <c r="A2160" s="7" t="inlineStr">
        <is>
          <t>R11S Blockage</t>
        </is>
      </c>
      <c r="B2160" s="8" t="n">
        <v>46074.75</v>
      </c>
      <c r="C2160" s="8" t="n">
        <v>46075.25</v>
      </c>
      <c r="D2160" s="9">
        <f>(C2160-B2160)*24</f>
        <v/>
      </c>
      <c r="E2160" s="10">
        <f>IF(AND(HOUR(B2160)&gt;=6,HOUR(B2160)&lt;18),"Day Shift","Night Shift")</f>
        <v/>
      </c>
      <c r="F2160" s="11">
        <f>INT(B2160)</f>
        <v/>
      </c>
      <c r="G2160" s="11">
        <f>INT(C2160)</f>
        <v/>
      </c>
    </row>
    <row r="2161">
      <c r="A2161" s="2" t="inlineStr">
        <is>
          <t>R11S Blockage</t>
        </is>
      </c>
      <c r="B2161" s="3" t="n">
        <v>46075.25</v>
      </c>
      <c r="C2161" s="3" t="n">
        <v>46075.75</v>
      </c>
      <c r="D2161" s="4">
        <f>(C2161-B2161)*24</f>
        <v/>
      </c>
      <c r="E2161" s="5">
        <f>IF(AND(HOUR(B2161)&gt;=6,HOUR(B2161)&lt;18),"Day Shift","Night Shift")</f>
        <v/>
      </c>
      <c r="F2161" s="6">
        <f>INT(B2161)</f>
        <v/>
      </c>
      <c r="G2161" s="6">
        <f>INT(C2161)</f>
        <v/>
      </c>
    </row>
    <row r="2162">
      <c r="A2162" s="7" t="inlineStr">
        <is>
          <t>R11S Blockage</t>
        </is>
      </c>
      <c r="B2162" s="8" t="n">
        <v>46075.75</v>
      </c>
      <c r="C2162" s="8" t="n">
        <v>46076.25</v>
      </c>
      <c r="D2162" s="9">
        <f>(C2162-B2162)*24</f>
        <v/>
      </c>
      <c r="E2162" s="10">
        <f>IF(AND(HOUR(B2162)&gt;=6,HOUR(B2162)&lt;18),"Day Shift","Night Shift")</f>
        <v/>
      </c>
      <c r="F2162" s="11">
        <f>INT(B2162)</f>
        <v/>
      </c>
      <c r="G2162" s="11">
        <f>INT(C2162)</f>
        <v/>
      </c>
    </row>
    <row r="2163">
      <c r="A2163" s="2" t="inlineStr">
        <is>
          <t>R11S Blockage</t>
        </is>
      </c>
      <c r="B2163" s="3" t="n">
        <v>46076.25</v>
      </c>
      <c r="C2163" s="3" t="n">
        <v>46076.75</v>
      </c>
      <c r="D2163" s="4">
        <f>(C2163-B2163)*24</f>
        <v/>
      </c>
      <c r="E2163" s="5">
        <f>IF(AND(HOUR(B2163)&gt;=6,HOUR(B2163)&lt;18),"Day Shift","Night Shift")</f>
        <v/>
      </c>
      <c r="F2163" s="6">
        <f>INT(B2163)</f>
        <v/>
      </c>
      <c r="G2163" s="6">
        <f>INT(C2163)</f>
        <v/>
      </c>
    </row>
    <row r="2164">
      <c r="A2164" s="7" t="inlineStr">
        <is>
          <t>R11S Blockage</t>
        </is>
      </c>
      <c r="B2164" s="8" t="n">
        <v>46076.75</v>
      </c>
      <c r="C2164" s="8" t="n">
        <v>46077.25</v>
      </c>
      <c r="D2164" s="9">
        <f>(C2164-B2164)*24</f>
        <v/>
      </c>
      <c r="E2164" s="10">
        <f>IF(AND(HOUR(B2164)&gt;=6,HOUR(B2164)&lt;18),"Day Shift","Night Shift")</f>
        <v/>
      </c>
      <c r="F2164" s="11">
        <f>INT(B2164)</f>
        <v/>
      </c>
      <c r="G2164" s="11">
        <f>INT(C2164)</f>
        <v/>
      </c>
    </row>
    <row r="2165">
      <c r="A2165" s="2" t="inlineStr">
        <is>
          <t>R11S Blockage</t>
        </is>
      </c>
      <c r="B2165" s="3" t="n">
        <v>46077.25</v>
      </c>
      <c r="C2165" s="3" t="n">
        <v>46077.75</v>
      </c>
      <c r="D2165" s="4">
        <f>(C2165-B2165)*24</f>
        <v/>
      </c>
      <c r="E2165" s="5">
        <f>IF(AND(HOUR(B2165)&gt;=6,HOUR(B2165)&lt;18),"Day Shift","Night Shift")</f>
        <v/>
      </c>
      <c r="F2165" s="6">
        <f>INT(B2165)</f>
        <v/>
      </c>
      <c r="G2165" s="6">
        <f>INT(C2165)</f>
        <v/>
      </c>
    </row>
    <row r="2166">
      <c r="A2166" s="7" t="inlineStr">
        <is>
          <t>R11S Blockage</t>
        </is>
      </c>
      <c r="B2166" s="8" t="n">
        <v>46077.75</v>
      </c>
      <c r="C2166" s="8" t="n">
        <v>46078.25</v>
      </c>
      <c r="D2166" s="9">
        <f>(C2166-B2166)*24</f>
        <v/>
      </c>
      <c r="E2166" s="10">
        <f>IF(AND(HOUR(B2166)&gt;=6,HOUR(B2166)&lt;18),"Day Shift","Night Shift")</f>
        <v/>
      </c>
      <c r="F2166" s="11">
        <f>INT(B2166)</f>
        <v/>
      </c>
      <c r="G2166" s="11">
        <f>INT(C2166)</f>
        <v/>
      </c>
    </row>
    <row r="2167">
      <c r="A2167" s="2" t="inlineStr">
        <is>
          <t>R11S Blockage</t>
        </is>
      </c>
      <c r="B2167" s="3" t="n">
        <v>46078.25</v>
      </c>
      <c r="C2167" s="3" t="n">
        <v>46078.75</v>
      </c>
      <c r="D2167" s="4">
        <f>(C2167-B2167)*24</f>
        <v/>
      </c>
      <c r="E2167" s="5">
        <f>IF(AND(HOUR(B2167)&gt;=6,HOUR(B2167)&lt;18),"Day Shift","Night Shift")</f>
        <v/>
      </c>
      <c r="F2167" s="6">
        <f>INT(B2167)</f>
        <v/>
      </c>
      <c r="G2167" s="6">
        <f>INT(C2167)</f>
        <v/>
      </c>
    </row>
    <row r="2168">
      <c r="A2168" s="7" t="inlineStr">
        <is>
          <t>R11S Blockage</t>
        </is>
      </c>
      <c r="B2168" s="8" t="n">
        <v>46078.75</v>
      </c>
      <c r="C2168" s="8" t="n">
        <v>46079.25</v>
      </c>
      <c r="D2168" s="9">
        <f>(C2168-B2168)*24</f>
        <v/>
      </c>
      <c r="E2168" s="10">
        <f>IF(AND(HOUR(B2168)&gt;=6,HOUR(B2168)&lt;18),"Day Shift","Night Shift")</f>
        <v/>
      </c>
      <c r="F2168" s="11">
        <f>INT(B2168)</f>
        <v/>
      </c>
      <c r="G2168" s="11">
        <f>INT(C2168)</f>
        <v/>
      </c>
    </row>
    <row r="2169">
      <c r="A2169" s="2" t="inlineStr">
        <is>
          <t>R11S Blockage</t>
        </is>
      </c>
      <c r="B2169" s="3" t="n">
        <v>46079.25</v>
      </c>
      <c r="C2169" s="3" t="n">
        <v>46079.75</v>
      </c>
      <c r="D2169" s="4">
        <f>(C2169-B2169)*24</f>
        <v/>
      </c>
      <c r="E2169" s="5">
        <f>IF(AND(HOUR(B2169)&gt;=6,HOUR(B2169)&lt;18),"Day Shift","Night Shift")</f>
        <v/>
      </c>
      <c r="F2169" s="6">
        <f>INT(B2169)</f>
        <v/>
      </c>
      <c r="G2169" s="6">
        <f>INT(C2169)</f>
        <v/>
      </c>
    </row>
    <row r="2170">
      <c r="A2170" s="7" t="inlineStr">
        <is>
          <t>R11S Blockage</t>
        </is>
      </c>
      <c r="B2170" s="8" t="n">
        <v>46079.75</v>
      </c>
      <c r="C2170" s="8" t="n">
        <v>46080.25</v>
      </c>
      <c r="D2170" s="9">
        <f>(C2170-B2170)*24</f>
        <v/>
      </c>
      <c r="E2170" s="10">
        <f>IF(AND(HOUR(B2170)&gt;=6,HOUR(B2170)&lt;18),"Day Shift","Night Shift")</f>
        <v/>
      </c>
      <c r="F2170" s="11">
        <f>INT(B2170)</f>
        <v/>
      </c>
      <c r="G2170" s="11">
        <f>INT(C2170)</f>
        <v/>
      </c>
    </row>
    <row r="2171">
      <c r="A2171" s="2" t="inlineStr">
        <is>
          <t>R11S Blockage</t>
        </is>
      </c>
      <c r="B2171" s="3" t="n">
        <v>46080.25</v>
      </c>
      <c r="C2171" s="3" t="n">
        <v>46080.75</v>
      </c>
      <c r="D2171" s="4">
        <f>(C2171-B2171)*24</f>
        <v/>
      </c>
      <c r="E2171" s="5">
        <f>IF(AND(HOUR(B2171)&gt;=6,HOUR(B2171)&lt;18),"Day Shift","Night Shift")</f>
        <v/>
      </c>
      <c r="F2171" s="6">
        <f>INT(B2171)</f>
        <v/>
      </c>
      <c r="G2171" s="6">
        <f>INT(C2171)</f>
        <v/>
      </c>
    </row>
    <row r="2172">
      <c r="A2172" s="7" t="inlineStr">
        <is>
          <t>R11S Blockage</t>
        </is>
      </c>
      <c r="B2172" s="8" t="n">
        <v>46080.75</v>
      </c>
      <c r="C2172" s="8" t="n">
        <v>46081.25</v>
      </c>
      <c r="D2172" s="9">
        <f>(C2172-B2172)*24</f>
        <v/>
      </c>
      <c r="E2172" s="10">
        <f>IF(AND(HOUR(B2172)&gt;=6,HOUR(B2172)&lt;18),"Day Shift","Night Shift")</f>
        <v/>
      </c>
      <c r="F2172" s="11">
        <f>INT(B2172)</f>
        <v/>
      </c>
      <c r="G2172" s="11">
        <f>INT(C2172)</f>
        <v/>
      </c>
    </row>
    <row r="2173">
      <c r="A2173" s="2" t="inlineStr">
        <is>
          <t>R11S Blockage</t>
        </is>
      </c>
      <c r="B2173" s="3" t="n">
        <v>46081.25</v>
      </c>
      <c r="C2173" s="3" t="n">
        <v>46081.75</v>
      </c>
      <c r="D2173" s="4">
        <f>(C2173-B2173)*24</f>
        <v/>
      </c>
      <c r="E2173" s="5">
        <f>IF(AND(HOUR(B2173)&gt;=6,HOUR(B2173)&lt;18),"Day Shift","Night Shift")</f>
        <v/>
      </c>
      <c r="F2173" s="6">
        <f>INT(B2173)</f>
        <v/>
      </c>
      <c r="G2173" s="6">
        <f>INT(C2173)</f>
        <v/>
      </c>
    </row>
    <row r="2174">
      <c r="A2174" s="7" t="inlineStr">
        <is>
          <t>R11S Blockage</t>
        </is>
      </c>
      <c r="B2174" s="8" t="n">
        <v>46081.75</v>
      </c>
      <c r="C2174" s="8" t="n">
        <v>46082.25</v>
      </c>
      <c r="D2174" s="9">
        <f>(C2174-B2174)*24</f>
        <v/>
      </c>
      <c r="E2174" s="10">
        <f>IF(AND(HOUR(B2174)&gt;=6,HOUR(B2174)&lt;18),"Day Shift","Night Shift")</f>
        <v/>
      </c>
      <c r="F2174" s="11">
        <f>INT(B2174)</f>
        <v/>
      </c>
      <c r="G2174" s="11">
        <f>INT(C2174)</f>
        <v/>
      </c>
    </row>
    <row r="2175">
      <c r="A2175" s="2" t="inlineStr">
        <is>
          <t>R11S Blockage</t>
        </is>
      </c>
      <c r="B2175" s="3" t="n">
        <v>46082.25</v>
      </c>
      <c r="C2175" s="3" t="n">
        <v>46082.75</v>
      </c>
      <c r="D2175" s="4">
        <f>(C2175-B2175)*24</f>
        <v/>
      </c>
      <c r="E2175" s="5">
        <f>IF(AND(HOUR(B2175)&gt;=6,HOUR(B2175)&lt;18),"Day Shift","Night Shift")</f>
        <v/>
      </c>
      <c r="F2175" s="6">
        <f>INT(B2175)</f>
        <v/>
      </c>
      <c r="G2175" s="6">
        <f>INT(C2175)</f>
        <v/>
      </c>
    </row>
    <row r="2176">
      <c r="A2176" s="7" t="inlineStr">
        <is>
          <t>R11S Blockage</t>
        </is>
      </c>
      <c r="B2176" s="8" t="n">
        <v>46082.75</v>
      </c>
      <c r="C2176" s="8" t="n">
        <v>46083.25</v>
      </c>
      <c r="D2176" s="9">
        <f>(C2176-B2176)*24</f>
        <v/>
      </c>
      <c r="E2176" s="10">
        <f>IF(AND(HOUR(B2176)&gt;=6,HOUR(B2176)&lt;18),"Day Shift","Night Shift")</f>
        <v/>
      </c>
      <c r="F2176" s="11">
        <f>INT(B2176)</f>
        <v/>
      </c>
      <c r="G2176" s="11">
        <f>INT(C2176)</f>
        <v/>
      </c>
    </row>
    <row r="2177">
      <c r="A2177" s="2" t="inlineStr">
        <is>
          <t>R11S Blockage</t>
        </is>
      </c>
      <c r="B2177" s="3" t="n">
        <v>46083.25</v>
      </c>
      <c r="C2177" s="3" t="n">
        <v>46083.75</v>
      </c>
      <c r="D2177" s="4">
        <f>(C2177-B2177)*24</f>
        <v/>
      </c>
      <c r="E2177" s="5">
        <f>IF(AND(HOUR(B2177)&gt;=6,HOUR(B2177)&lt;18),"Day Shift","Night Shift")</f>
        <v/>
      </c>
      <c r="F2177" s="6">
        <f>INT(B2177)</f>
        <v/>
      </c>
      <c r="G2177" s="6">
        <f>INT(C2177)</f>
        <v/>
      </c>
    </row>
    <row r="2178">
      <c r="A2178" s="7" t="inlineStr">
        <is>
          <t>R11S Blockage</t>
        </is>
      </c>
      <c r="B2178" s="8" t="n">
        <v>46083.75</v>
      </c>
      <c r="C2178" s="8" t="n">
        <v>46084.25</v>
      </c>
      <c r="D2178" s="9">
        <f>(C2178-B2178)*24</f>
        <v/>
      </c>
      <c r="E2178" s="10">
        <f>IF(AND(HOUR(B2178)&gt;=6,HOUR(B2178)&lt;18),"Day Shift","Night Shift")</f>
        <v/>
      </c>
      <c r="F2178" s="11">
        <f>INT(B2178)</f>
        <v/>
      </c>
      <c r="G2178" s="11">
        <f>INT(C2178)</f>
        <v/>
      </c>
    </row>
    <row r="2179">
      <c r="A2179" s="2" t="inlineStr">
        <is>
          <t>R11S Blockage</t>
        </is>
      </c>
      <c r="B2179" s="3" t="n">
        <v>46084.25</v>
      </c>
      <c r="C2179" s="3" t="n">
        <v>46084.75</v>
      </c>
      <c r="D2179" s="4">
        <f>(C2179-B2179)*24</f>
        <v/>
      </c>
      <c r="E2179" s="5">
        <f>IF(AND(HOUR(B2179)&gt;=6,HOUR(B2179)&lt;18),"Day Shift","Night Shift")</f>
        <v/>
      </c>
      <c r="F2179" s="6">
        <f>INT(B2179)</f>
        <v/>
      </c>
      <c r="G2179" s="6">
        <f>INT(C2179)</f>
        <v/>
      </c>
    </row>
    <row r="2180">
      <c r="A2180" s="7" t="inlineStr">
        <is>
          <t>R11S Blockage</t>
        </is>
      </c>
      <c r="B2180" s="8" t="n">
        <v>46084.75</v>
      </c>
      <c r="C2180" s="8" t="n">
        <v>46085.25</v>
      </c>
      <c r="D2180" s="9">
        <f>(C2180-B2180)*24</f>
        <v/>
      </c>
      <c r="E2180" s="10">
        <f>IF(AND(HOUR(B2180)&gt;=6,HOUR(B2180)&lt;18),"Day Shift","Night Shift")</f>
        <v/>
      </c>
      <c r="F2180" s="11">
        <f>INT(B2180)</f>
        <v/>
      </c>
      <c r="G2180" s="11">
        <f>INT(C2180)</f>
        <v/>
      </c>
    </row>
    <row r="2181">
      <c r="A2181" s="2" t="inlineStr">
        <is>
          <t>R11S Blockage</t>
        </is>
      </c>
      <c r="B2181" s="3" t="n">
        <v>46085.25</v>
      </c>
      <c r="C2181" s="3" t="n">
        <v>46085.75</v>
      </c>
      <c r="D2181" s="4">
        <f>(C2181-B2181)*24</f>
        <v/>
      </c>
      <c r="E2181" s="5">
        <f>IF(AND(HOUR(B2181)&gt;=6,HOUR(B2181)&lt;18),"Day Shift","Night Shift")</f>
        <v/>
      </c>
      <c r="F2181" s="6">
        <f>INT(B2181)</f>
        <v/>
      </c>
      <c r="G2181" s="6">
        <f>INT(C2181)</f>
        <v/>
      </c>
    </row>
    <row r="2182">
      <c r="A2182" s="7" t="inlineStr">
        <is>
          <t>R11S Blockage</t>
        </is>
      </c>
      <c r="B2182" s="8" t="n">
        <v>46085.75</v>
      </c>
      <c r="C2182" s="8" t="n">
        <v>46086.25</v>
      </c>
      <c r="D2182" s="9">
        <f>(C2182-B2182)*24</f>
        <v/>
      </c>
      <c r="E2182" s="10">
        <f>IF(AND(HOUR(B2182)&gt;=6,HOUR(B2182)&lt;18),"Day Shift","Night Shift")</f>
        <v/>
      </c>
      <c r="F2182" s="11">
        <f>INT(B2182)</f>
        <v/>
      </c>
      <c r="G2182" s="11">
        <f>INT(C2182)</f>
        <v/>
      </c>
    </row>
    <row r="2183">
      <c r="A2183" s="2" t="inlineStr">
        <is>
          <t>R11S Blockage</t>
        </is>
      </c>
      <c r="B2183" s="3" t="n">
        <v>46086.25</v>
      </c>
      <c r="C2183" s="3" t="n">
        <v>46086.75</v>
      </c>
      <c r="D2183" s="4">
        <f>(C2183-B2183)*24</f>
        <v/>
      </c>
      <c r="E2183" s="5">
        <f>IF(AND(HOUR(B2183)&gt;=6,HOUR(B2183)&lt;18),"Day Shift","Night Shift")</f>
        <v/>
      </c>
      <c r="F2183" s="6">
        <f>INT(B2183)</f>
        <v/>
      </c>
      <c r="G2183" s="6">
        <f>INT(C2183)</f>
        <v/>
      </c>
    </row>
    <row r="2184">
      <c r="A2184" s="2" t="inlineStr">
        <is>
          <t>EDD1932;EDD2541</t>
        </is>
      </c>
      <c r="B2184" s="3" t="n">
        <v>46074.46618055556</v>
      </c>
      <c r="C2184" s="3" t="n">
        <v>46074.75</v>
      </c>
      <c r="D2184" s="4">
        <f>(C2184-B2184)*24</f>
        <v/>
      </c>
      <c r="E2184" s="5">
        <f>IF(AND(HOUR(B2184)&gt;=6,HOUR(B2184)&lt;18),"Day Shift","Night Shift")</f>
        <v/>
      </c>
      <c r="F2184" s="6">
        <f>INT(B2184)</f>
        <v/>
      </c>
      <c r="G2184" s="6">
        <f>INT(C2184)</f>
        <v/>
      </c>
    </row>
    <row r="2185">
      <c r="A2185" s="7" t="inlineStr">
        <is>
          <t>EDD1932;EDD2541</t>
        </is>
      </c>
      <c r="B2185" s="8" t="n">
        <v>46074.75</v>
      </c>
      <c r="C2185" s="8" t="n">
        <v>46074.88141203704</v>
      </c>
      <c r="D2185" s="9">
        <f>(C2185-B2185)*24</f>
        <v/>
      </c>
      <c r="E2185" s="10">
        <f>IF(AND(HOUR(B2185)&gt;=6,HOUR(B2185)&lt;18),"Day Shift","Night Shift")</f>
        <v/>
      </c>
      <c r="F2185" s="11">
        <f>INT(B2185)</f>
        <v/>
      </c>
      <c r="G2185" s="11">
        <f>INT(C2185)</f>
        <v/>
      </c>
    </row>
    <row r="2186">
      <c r="A2186" s="2" t="inlineStr">
        <is>
          <t>EXD407</t>
        </is>
      </c>
      <c r="B2186" s="3" t="n">
        <v>46074.48689814815</v>
      </c>
      <c r="C2186" s="3" t="n">
        <v>46074.75</v>
      </c>
      <c r="D2186" s="4">
        <f>(C2186-B2186)*24</f>
        <v/>
      </c>
      <c r="E2186" s="5">
        <f>IF(AND(HOUR(B2186)&gt;=6,HOUR(B2186)&lt;18),"Day Shift","Night Shift")</f>
        <v/>
      </c>
      <c r="F2186" s="6">
        <f>INT(B2186)</f>
        <v/>
      </c>
      <c r="G2186" s="6">
        <f>INT(C2186)</f>
        <v/>
      </c>
    </row>
    <row r="2187">
      <c r="A2187" s="7" t="inlineStr">
        <is>
          <t>EXD407</t>
        </is>
      </c>
      <c r="B2187" s="8" t="n">
        <v>46074.75</v>
      </c>
      <c r="C2187" s="8" t="n">
        <v>46075.25</v>
      </c>
      <c r="D2187" s="9">
        <f>(C2187-B2187)*24</f>
        <v/>
      </c>
      <c r="E2187" s="10">
        <f>IF(AND(HOUR(B2187)&gt;=6,HOUR(B2187)&lt;18),"Day Shift","Night Shift")</f>
        <v/>
      </c>
      <c r="F2187" s="11">
        <f>INT(B2187)</f>
        <v/>
      </c>
      <c r="G2187" s="11">
        <f>INT(C2187)</f>
        <v/>
      </c>
    </row>
    <row r="2188">
      <c r="A2188" s="2" t="inlineStr">
        <is>
          <t>EXD407</t>
        </is>
      </c>
      <c r="B2188" s="3" t="n">
        <v>46075.25</v>
      </c>
      <c r="C2188" s="3" t="n">
        <v>46075.75</v>
      </c>
      <c r="D2188" s="4">
        <f>(C2188-B2188)*24</f>
        <v/>
      </c>
      <c r="E2188" s="5">
        <f>IF(AND(HOUR(B2188)&gt;=6,HOUR(B2188)&lt;18),"Day Shift","Night Shift")</f>
        <v/>
      </c>
      <c r="F2188" s="6">
        <f>INT(B2188)</f>
        <v/>
      </c>
      <c r="G2188" s="6">
        <f>INT(C2188)</f>
        <v/>
      </c>
    </row>
    <row r="2189">
      <c r="A2189" s="7" t="inlineStr">
        <is>
          <t>EXD407</t>
        </is>
      </c>
      <c r="B2189" s="8" t="n">
        <v>46075.75</v>
      </c>
      <c r="C2189" s="8" t="n">
        <v>46075.91831018519</v>
      </c>
      <c r="D2189" s="9">
        <f>(C2189-B2189)*24</f>
        <v/>
      </c>
      <c r="E2189" s="10">
        <f>IF(AND(HOUR(B2189)&gt;=6,HOUR(B2189)&lt;18),"Day Shift","Night Shift")</f>
        <v/>
      </c>
      <c r="F2189" s="11">
        <f>INT(B2189)</f>
        <v/>
      </c>
      <c r="G2189" s="11">
        <f>INT(C2189)</f>
        <v/>
      </c>
    </row>
    <row r="2190">
      <c r="A2190" s="2" t="inlineStr">
        <is>
          <t>SHE36</t>
        </is>
      </c>
      <c r="B2190" s="3" t="n">
        <v>46074.4886574074</v>
      </c>
      <c r="C2190" s="3" t="n">
        <v>46074.75</v>
      </c>
      <c r="D2190" s="4">
        <f>(C2190-B2190)*24</f>
        <v/>
      </c>
      <c r="E2190" s="5">
        <f>IF(AND(HOUR(B2190)&gt;=6,HOUR(B2190)&lt;18),"Day Shift","Night Shift")</f>
        <v/>
      </c>
      <c r="F2190" s="6">
        <f>INT(B2190)</f>
        <v/>
      </c>
      <c r="G2190" s="6">
        <f>INT(C2190)</f>
        <v/>
      </c>
    </row>
    <row r="2191">
      <c r="A2191" s="7" t="inlineStr">
        <is>
          <t>SHE36</t>
        </is>
      </c>
      <c r="B2191" s="8" t="n">
        <v>46074.75</v>
      </c>
      <c r="C2191" s="8" t="n">
        <v>46075.25</v>
      </c>
      <c r="D2191" s="9">
        <f>(C2191-B2191)*24</f>
        <v/>
      </c>
      <c r="E2191" s="10">
        <f>IF(AND(HOUR(B2191)&gt;=6,HOUR(B2191)&lt;18),"Day Shift","Night Shift")</f>
        <v/>
      </c>
      <c r="F2191" s="11">
        <f>INT(B2191)</f>
        <v/>
      </c>
      <c r="G2191" s="11">
        <f>INT(C2191)</f>
        <v/>
      </c>
    </row>
    <row r="2192">
      <c r="A2192" s="2" t="inlineStr">
        <is>
          <t>SHE36</t>
        </is>
      </c>
      <c r="B2192" s="3" t="n">
        <v>46075.25</v>
      </c>
      <c r="C2192" s="3" t="n">
        <v>46075.48370370371</v>
      </c>
      <c r="D2192" s="4">
        <f>(C2192-B2192)*24</f>
        <v/>
      </c>
      <c r="E2192" s="5">
        <f>IF(AND(HOUR(B2192)&gt;=6,HOUR(B2192)&lt;18),"Day Shift","Night Shift")</f>
        <v/>
      </c>
      <c r="F2192" s="6">
        <f>INT(B2192)</f>
        <v/>
      </c>
      <c r="G2192" s="6">
        <f>INT(C2192)</f>
        <v/>
      </c>
    </row>
    <row r="2193">
      <c r="A2193" s="2" t="inlineStr">
        <is>
          <t>EXD56</t>
        </is>
      </c>
      <c r="B2193" s="3" t="n">
        <v>46074.68547453704</v>
      </c>
      <c r="C2193" s="3" t="n">
        <v>46074.75</v>
      </c>
      <c r="D2193" s="4">
        <f>(C2193-B2193)*24</f>
        <v/>
      </c>
      <c r="E2193" s="5">
        <f>IF(AND(HOUR(B2193)&gt;=6,HOUR(B2193)&lt;18),"Day Shift","Night Shift")</f>
        <v/>
      </c>
      <c r="F2193" s="6">
        <f>INT(B2193)</f>
        <v/>
      </c>
      <c r="G2193" s="6">
        <f>INT(C2193)</f>
        <v/>
      </c>
    </row>
    <row r="2194">
      <c r="A2194" s="7" t="inlineStr">
        <is>
          <t>EXD56</t>
        </is>
      </c>
      <c r="B2194" s="8" t="n">
        <v>46074.75</v>
      </c>
      <c r="C2194" s="8" t="n">
        <v>46074.9906712963</v>
      </c>
      <c r="D2194" s="9">
        <f>(C2194-B2194)*24</f>
        <v/>
      </c>
      <c r="E2194" s="10">
        <f>IF(AND(HOUR(B2194)&gt;=6,HOUR(B2194)&lt;18),"Day Shift","Night Shift")</f>
        <v/>
      </c>
      <c r="F2194" s="11">
        <f>INT(B2194)</f>
        <v/>
      </c>
      <c r="G2194" s="11">
        <f>INT(C2194)</f>
        <v/>
      </c>
    </row>
    <row r="2195">
      <c r="A2195" s="2" t="inlineStr">
        <is>
          <t>EDD175</t>
        </is>
      </c>
      <c r="B2195" s="3" t="n">
        <v>46074.7303125</v>
      </c>
      <c r="C2195" s="3" t="n">
        <v>46074.75</v>
      </c>
      <c r="D2195" s="4">
        <f>(C2195-B2195)*24</f>
        <v/>
      </c>
      <c r="E2195" s="5">
        <f>IF(AND(HOUR(B2195)&gt;=6,HOUR(B2195)&lt;18),"Day Shift","Night Shift")</f>
        <v/>
      </c>
      <c r="F2195" s="6">
        <f>INT(B2195)</f>
        <v/>
      </c>
      <c r="G2195" s="6">
        <f>INT(C2195)</f>
        <v/>
      </c>
    </row>
    <row r="2196">
      <c r="A2196" s="7" t="inlineStr">
        <is>
          <t>EDD175</t>
        </is>
      </c>
      <c r="B2196" s="8" t="n">
        <v>46074.75</v>
      </c>
      <c r="C2196" s="8" t="n">
        <v>46075.24290509259</v>
      </c>
      <c r="D2196" s="9">
        <f>(C2196-B2196)*24</f>
        <v/>
      </c>
      <c r="E2196" s="10">
        <f>IF(AND(HOUR(B2196)&gt;=6,HOUR(B2196)&lt;18),"Day Shift","Night Shift")</f>
        <v/>
      </c>
      <c r="F2196" s="11">
        <f>INT(B2196)</f>
        <v/>
      </c>
      <c r="G2196" s="11">
        <f>INT(C2196)</f>
        <v/>
      </c>
    </row>
    <row r="2197">
      <c r="A2197" s="2" t="inlineStr">
        <is>
          <t>EXD73</t>
        </is>
      </c>
      <c r="B2197" s="3" t="n">
        <v>46074.73377314815</v>
      </c>
      <c r="C2197" s="3" t="n">
        <v>46074.75</v>
      </c>
      <c r="D2197" s="4">
        <f>(C2197-B2197)*24</f>
        <v/>
      </c>
      <c r="E2197" s="5">
        <f>IF(AND(HOUR(B2197)&gt;=6,HOUR(B2197)&lt;18),"Day Shift","Night Shift")</f>
        <v/>
      </c>
      <c r="F2197" s="6">
        <f>INT(B2197)</f>
        <v/>
      </c>
      <c r="G2197" s="6">
        <f>INT(C2197)</f>
        <v/>
      </c>
    </row>
    <row r="2198">
      <c r="A2198" s="7" t="inlineStr">
        <is>
          <t>EXD73</t>
        </is>
      </c>
      <c r="B2198" s="8" t="n">
        <v>46074.75</v>
      </c>
      <c r="C2198" s="8" t="n">
        <v>46075.25</v>
      </c>
      <c r="D2198" s="9">
        <f>(C2198-B2198)*24</f>
        <v/>
      </c>
      <c r="E2198" s="10">
        <f>IF(AND(HOUR(B2198)&gt;=6,HOUR(B2198)&lt;18),"Day Shift","Night Shift")</f>
        <v/>
      </c>
      <c r="F2198" s="11">
        <f>INT(B2198)</f>
        <v/>
      </c>
      <c r="G2198" s="11">
        <f>INT(C2198)</f>
        <v/>
      </c>
    </row>
    <row r="2199">
      <c r="A2199" s="2" t="inlineStr">
        <is>
          <t>EXD73</t>
        </is>
      </c>
      <c r="B2199" s="3" t="n">
        <v>46075.25</v>
      </c>
      <c r="C2199" s="3" t="n">
        <v>46075.51453703704</v>
      </c>
      <c r="D2199" s="4">
        <f>(C2199-B2199)*24</f>
        <v/>
      </c>
      <c r="E2199" s="5">
        <f>IF(AND(HOUR(B2199)&gt;=6,HOUR(B2199)&lt;18),"Day Shift","Night Shift")</f>
        <v/>
      </c>
      <c r="F2199" s="6">
        <f>INT(B2199)</f>
        <v/>
      </c>
      <c r="G2199" s="6">
        <f>INT(C2199)</f>
        <v/>
      </c>
    </row>
    <row r="2200">
      <c r="A2200" s="7" t="inlineStr">
        <is>
          <t>EXD100</t>
        </is>
      </c>
      <c r="B2200" s="8" t="n">
        <v>46074.77115740741</v>
      </c>
      <c r="C2200" s="8" t="n">
        <v>46075.25</v>
      </c>
      <c r="D2200" s="9">
        <f>(C2200-B2200)*24</f>
        <v/>
      </c>
      <c r="E2200" s="10">
        <f>IF(AND(HOUR(B2200)&gt;=6,HOUR(B2200)&lt;18),"Day Shift","Night Shift")</f>
        <v/>
      </c>
      <c r="F2200" s="11">
        <f>INT(B2200)</f>
        <v/>
      </c>
      <c r="G2200" s="11">
        <f>INT(C2200)</f>
        <v/>
      </c>
    </row>
    <row r="2201">
      <c r="A2201" s="2" t="inlineStr">
        <is>
          <t>EXD100</t>
        </is>
      </c>
      <c r="B2201" s="3" t="n">
        <v>46075.25</v>
      </c>
      <c r="C2201" s="3" t="n">
        <v>46075.7071875</v>
      </c>
      <c r="D2201" s="4">
        <f>(C2201-B2201)*24</f>
        <v/>
      </c>
      <c r="E2201" s="5">
        <f>IF(AND(HOUR(B2201)&gt;=6,HOUR(B2201)&lt;18),"Day Shift","Night Shift")</f>
        <v/>
      </c>
      <c r="F2201" s="6">
        <f>INT(B2201)</f>
        <v/>
      </c>
      <c r="G2201" s="6">
        <f>INT(C2201)</f>
        <v/>
      </c>
    </row>
    <row r="2202">
      <c r="A2202" s="7" t="inlineStr">
        <is>
          <t>LDW265</t>
        </is>
      </c>
      <c r="B2202" s="8" t="n">
        <v>46074.80355324074</v>
      </c>
      <c r="C2202" s="8" t="n">
        <v>46075.25</v>
      </c>
      <c r="D2202" s="9">
        <f>(C2202-B2202)*24</f>
        <v/>
      </c>
      <c r="E2202" s="10">
        <f>IF(AND(HOUR(B2202)&gt;=6,HOUR(B2202)&lt;18),"Day Shift","Night Shift")</f>
        <v/>
      </c>
      <c r="F2202" s="11">
        <f>INT(B2202)</f>
        <v/>
      </c>
      <c r="G2202" s="11">
        <f>INT(C2202)</f>
        <v/>
      </c>
    </row>
    <row r="2203">
      <c r="A2203" s="2" t="inlineStr">
        <is>
          <t>LDW265</t>
        </is>
      </c>
      <c r="B2203" s="3" t="n">
        <v>46075.25</v>
      </c>
      <c r="C2203" s="3" t="n">
        <v>46075.49113425926</v>
      </c>
      <c r="D2203" s="4">
        <f>(C2203-B2203)*24</f>
        <v/>
      </c>
      <c r="E2203" s="5">
        <f>IF(AND(HOUR(B2203)&gt;=6,HOUR(B2203)&lt;18),"Day Shift","Night Shift")</f>
        <v/>
      </c>
      <c r="F2203" s="6">
        <f>INT(B2203)</f>
        <v/>
      </c>
      <c r="G2203" s="6">
        <f>INT(C2203)</f>
        <v/>
      </c>
    </row>
    <row r="2204">
      <c r="A2204" s="7" t="inlineStr">
        <is>
          <t>EDD2134</t>
        </is>
      </c>
      <c r="B2204" s="8" t="n">
        <v>46074.86200231482</v>
      </c>
      <c r="C2204" s="8" t="n">
        <v>46075.25</v>
      </c>
      <c r="D2204" s="9">
        <f>(C2204-B2204)*24</f>
        <v/>
      </c>
      <c r="E2204" s="10">
        <f>IF(AND(HOUR(B2204)&gt;=6,HOUR(B2204)&lt;18),"Day Shift","Night Shift")</f>
        <v/>
      </c>
      <c r="F2204" s="11">
        <f>INT(B2204)</f>
        <v/>
      </c>
      <c r="G2204" s="11">
        <f>INT(C2204)</f>
        <v/>
      </c>
    </row>
    <row r="2205">
      <c r="A2205" s="2" t="inlineStr">
        <is>
          <t>EDD2134</t>
        </is>
      </c>
      <c r="B2205" s="3" t="n">
        <v>46075.25</v>
      </c>
      <c r="C2205" s="3" t="n">
        <v>46075.75</v>
      </c>
      <c r="D2205" s="4">
        <f>(C2205-B2205)*24</f>
        <v/>
      </c>
      <c r="E2205" s="5">
        <f>IF(AND(HOUR(B2205)&gt;=6,HOUR(B2205)&lt;18),"Day Shift","Night Shift")</f>
        <v/>
      </c>
      <c r="F2205" s="6">
        <f>INT(B2205)</f>
        <v/>
      </c>
      <c r="G2205" s="6">
        <f>INT(C2205)</f>
        <v/>
      </c>
    </row>
    <row r="2206">
      <c r="A2206" s="7" t="inlineStr">
        <is>
          <t>EDD2134</t>
        </is>
      </c>
      <c r="B2206" s="8" t="n">
        <v>46075.75</v>
      </c>
      <c r="C2206" s="8" t="n">
        <v>46075.92311342592</v>
      </c>
      <c r="D2206" s="9">
        <f>(C2206-B2206)*24</f>
        <v/>
      </c>
      <c r="E2206" s="10">
        <f>IF(AND(HOUR(B2206)&gt;=6,HOUR(B2206)&lt;18),"Day Shift","Night Shift")</f>
        <v/>
      </c>
      <c r="F2206" s="11">
        <f>INT(B2206)</f>
        <v/>
      </c>
      <c r="G2206" s="11">
        <f>INT(C2206)</f>
        <v/>
      </c>
    </row>
    <row r="2207">
      <c r="A2207" s="7" t="inlineStr">
        <is>
          <t>EDD1932;EDD2541</t>
        </is>
      </c>
      <c r="B2207" s="8" t="n">
        <v>46074.88141203704</v>
      </c>
      <c r="C2207" s="8" t="n">
        <v>46075.25</v>
      </c>
      <c r="D2207" s="9">
        <f>(C2207-B2207)*24</f>
        <v/>
      </c>
      <c r="E2207" s="10">
        <f>IF(AND(HOUR(B2207)&gt;=6,HOUR(B2207)&lt;18),"Day Shift","Night Shift")</f>
        <v/>
      </c>
      <c r="F2207" s="11">
        <f>INT(B2207)</f>
        <v/>
      </c>
      <c r="G2207" s="11">
        <f>INT(C2207)</f>
        <v/>
      </c>
    </row>
    <row r="2208">
      <c r="A2208" s="2" t="inlineStr">
        <is>
          <t>EDD1932;EDD2541</t>
        </is>
      </c>
      <c r="B2208" s="3" t="n">
        <v>46075.25</v>
      </c>
      <c r="C2208" s="3" t="n">
        <v>46075.38623842593</v>
      </c>
      <c r="D2208" s="4">
        <f>(C2208-B2208)*24</f>
        <v/>
      </c>
      <c r="E2208" s="5">
        <f>IF(AND(HOUR(B2208)&gt;=6,HOUR(B2208)&lt;18),"Day Shift","Night Shift")</f>
        <v/>
      </c>
      <c r="F2208" s="6">
        <f>INT(B2208)</f>
        <v/>
      </c>
      <c r="G2208" s="6">
        <f>INT(C2208)</f>
        <v/>
      </c>
    </row>
    <row r="2209">
      <c r="A2209" s="7" t="inlineStr">
        <is>
          <t>EXD61</t>
        </is>
      </c>
      <c r="B2209" s="8" t="n">
        <v>46074.89915509259</v>
      </c>
      <c r="C2209" s="8" t="n">
        <v>46075.25</v>
      </c>
      <c r="D2209" s="9">
        <f>(C2209-B2209)*24</f>
        <v/>
      </c>
      <c r="E2209" s="10">
        <f>IF(AND(HOUR(B2209)&gt;=6,HOUR(B2209)&lt;18),"Day Shift","Night Shift")</f>
        <v/>
      </c>
      <c r="F2209" s="11">
        <f>INT(B2209)</f>
        <v/>
      </c>
      <c r="G2209" s="11">
        <f>INT(C2209)</f>
        <v/>
      </c>
    </row>
    <row r="2210">
      <c r="A2210" s="2" t="inlineStr">
        <is>
          <t>EXD61</t>
        </is>
      </c>
      <c r="B2210" s="3" t="n">
        <v>46075.25</v>
      </c>
      <c r="C2210" s="3" t="n">
        <v>46075.41533564815</v>
      </c>
      <c r="D2210" s="4">
        <f>(C2210-B2210)*24</f>
        <v/>
      </c>
      <c r="E2210" s="5">
        <f>IF(AND(HOUR(B2210)&gt;=6,HOUR(B2210)&lt;18),"Day Shift","Night Shift")</f>
        <v/>
      </c>
      <c r="F2210" s="6">
        <f>INT(B2210)</f>
        <v/>
      </c>
      <c r="G2210" s="6">
        <f>INT(C2210)</f>
        <v/>
      </c>
    </row>
    <row r="2211">
      <c r="A2211" s="7" t="inlineStr">
        <is>
          <t>EXD55</t>
        </is>
      </c>
      <c r="B2211" s="8" t="n">
        <v>46074.95763888889</v>
      </c>
      <c r="C2211" s="8" t="n">
        <v>46075.25</v>
      </c>
      <c r="D2211" s="9">
        <f>(C2211-B2211)*24</f>
        <v/>
      </c>
      <c r="E2211" s="10">
        <f>IF(AND(HOUR(B2211)&gt;=6,HOUR(B2211)&lt;18),"Day Shift","Night Shift")</f>
        <v/>
      </c>
      <c r="F2211" s="11">
        <f>INT(B2211)</f>
        <v/>
      </c>
      <c r="G2211" s="11">
        <f>INT(C2211)</f>
        <v/>
      </c>
    </row>
    <row r="2212">
      <c r="A2212" s="2" t="inlineStr">
        <is>
          <t>EXD55</t>
        </is>
      </c>
      <c r="B2212" s="3" t="n">
        <v>46075.25</v>
      </c>
      <c r="C2212" s="3" t="n">
        <v>46075.29320601852</v>
      </c>
      <c r="D2212" s="4">
        <f>(C2212-B2212)*24</f>
        <v/>
      </c>
      <c r="E2212" s="5">
        <f>IF(AND(HOUR(B2212)&gt;=6,HOUR(B2212)&lt;18),"Day Shift","Night Shift")</f>
        <v/>
      </c>
      <c r="F2212" s="6">
        <f>INT(B2212)</f>
        <v/>
      </c>
      <c r="G2212" s="6">
        <f>INT(C2212)</f>
        <v/>
      </c>
    </row>
    <row r="2213">
      <c r="A2213" s="7" t="inlineStr">
        <is>
          <t>EXD56</t>
        </is>
      </c>
      <c r="B2213" s="8" t="n">
        <v>46074.9906712963</v>
      </c>
      <c r="C2213" s="8" t="n">
        <v>46075.25</v>
      </c>
      <c r="D2213" s="9">
        <f>(C2213-B2213)*24</f>
        <v/>
      </c>
      <c r="E2213" s="10">
        <f>IF(AND(HOUR(B2213)&gt;=6,HOUR(B2213)&lt;18),"Day Shift","Night Shift")</f>
        <v/>
      </c>
      <c r="F2213" s="11">
        <f>INT(B2213)</f>
        <v/>
      </c>
      <c r="G2213" s="11">
        <f>INT(C2213)</f>
        <v/>
      </c>
    </row>
    <row r="2214">
      <c r="A2214" s="2" t="inlineStr">
        <is>
          <t>EXD56</t>
        </is>
      </c>
      <c r="B2214" s="3" t="n">
        <v>46075.25</v>
      </c>
      <c r="C2214" s="3" t="n">
        <v>46075.75</v>
      </c>
      <c r="D2214" s="4">
        <f>(C2214-B2214)*24</f>
        <v/>
      </c>
      <c r="E2214" s="5">
        <f>IF(AND(HOUR(B2214)&gt;=6,HOUR(B2214)&lt;18),"Day Shift","Night Shift")</f>
        <v/>
      </c>
      <c r="F2214" s="6">
        <f>INT(B2214)</f>
        <v/>
      </c>
      <c r="G2214" s="6">
        <f>INT(C2214)</f>
        <v/>
      </c>
    </row>
    <row r="2215">
      <c r="A2215" s="7" t="inlineStr">
        <is>
          <t>EXD56</t>
        </is>
      </c>
      <c r="B2215" s="8" t="n">
        <v>46075.75</v>
      </c>
      <c r="C2215" s="8" t="n">
        <v>46076.25</v>
      </c>
      <c r="D2215" s="9">
        <f>(C2215-B2215)*24</f>
        <v/>
      </c>
      <c r="E2215" s="10">
        <f>IF(AND(HOUR(B2215)&gt;=6,HOUR(B2215)&lt;18),"Day Shift","Night Shift")</f>
        <v/>
      </c>
      <c r="F2215" s="11">
        <f>INT(B2215)</f>
        <v/>
      </c>
      <c r="G2215" s="11">
        <f>INT(C2215)</f>
        <v/>
      </c>
    </row>
    <row r="2216">
      <c r="A2216" s="2" t="inlineStr">
        <is>
          <t>EXD56</t>
        </is>
      </c>
      <c r="B2216" s="3" t="n">
        <v>46076.25</v>
      </c>
      <c r="C2216" s="3" t="n">
        <v>46076.57295138889</v>
      </c>
      <c r="D2216" s="4">
        <f>(C2216-B2216)*24</f>
        <v/>
      </c>
      <c r="E2216" s="5">
        <f>IF(AND(HOUR(B2216)&gt;=6,HOUR(B2216)&lt;18),"Day Shift","Night Shift")</f>
        <v/>
      </c>
      <c r="F2216" s="6">
        <f>INT(B2216)</f>
        <v/>
      </c>
      <c r="G2216" s="6">
        <f>INT(C2216)</f>
        <v/>
      </c>
    </row>
    <row r="2217">
      <c r="A2217" s="7" t="inlineStr">
        <is>
          <t>EXD52</t>
        </is>
      </c>
      <c r="B2217" s="8" t="n">
        <v>46075.08645833333</v>
      </c>
      <c r="C2217" s="8" t="n">
        <v>46075.25</v>
      </c>
      <c r="D2217" s="9">
        <f>(C2217-B2217)*24</f>
        <v/>
      </c>
      <c r="E2217" s="10">
        <f>IF(AND(HOUR(B2217)&gt;=6,HOUR(B2217)&lt;18),"Day Shift","Night Shift")</f>
        <v/>
      </c>
      <c r="F2217" s="11">
        <f>INT(B2217)</f>
        <v/>
      </c>
      <c r="G2217" s="11">
        <f>INT(C2217)</f>
        <v/>
      </c>
    </row>
    <row r="2218">
      <c r="A2218" s="2" t="inlineStr">
        <is>
          <t>EXD52</t>
        </is>
      </c>
      <c r="B2218" s="3" t="n">
        <v>46075.25</v>
      </c>
      <c r="C2218" s="3" t="n">
        <v>46075.75</v>
      </c>
      <c r="D2218" s="4">
        <f>(C2218-B2218)*24</f>
        <v/>
      </c>
      <c r="E2218" s="5">
        <f>IF(AND(HOUR(B2218)&gt;=6,HOUR(B2218)&lt;18),"Day Shift","Night Shift")</f>
        <v/>
      </c>
      <c r="F2218" s="6">
        <f>INT(B2218)</f>
        <v/>
      </c>
      <c r="G2218" s="6">
        <f>INT(C2218)</f>
        <v/>
      </c>
    </row>
    <row r="2219">
      <c r="A2219" s="7" t="inlineStr">
        <is>
          <t>EXD52</t>
        </is>
      </c>
      <c r="B2219" s="8" t="n">
        <v>46075.75</v>
      </c>
      <c r="C2219" s="8" t="n">
        <v>46076.25</v>
      </c>
      <c r="D2219" s="9">
        <f>(C2219-B2219)*24</f>
        <v/>
      </c>
      <c r="E2219" s="10">
        <f>IF(AND(HOUR(B2219)&gt;=6,HOUR(B2219)&lt;18),"Day Shift","Night Shift")</f>
        <v/>
      </c>
      <c r="F2219" s="11">
        <f>INT(B2219)</f>
        <v/>
      </c>
      <c r="G2219" s="11">
        <f>INT(C2219)</f>
        <v/>
      </c>
    </row>
    <row r="2220">
      <c r="A2220" s="2" t="inlineStr">
        <is>
          <t>EXD52</t>
        </is>
      </c>
      <c r="B2220" s="3" t="n">
        <v>46076.25</v>
      </c>
      <c r="C2220" s="3" t="n">
        <v>46076.49140046296</v>
      </c>
      <c r="D2220" s="4">
        <f>(C2220-B2220)*24</f>
        <v/>
      </c>
      <c r="E2220" s="5">
        <f>IF(AND(HOUR(B2220)&gt;=6,HOUR(B2220)&lt;18),"Day Shift","Night Shift")</f>
        <v/>
      </c>
      <c r="F2220" s="6">
        <f>INT(B2220)</f>
        <v/>
      </c>
      <c r="G2220" s="6">
        <f>INT(C2220)</f>
        <v/>
      </c>
    </row>
    <row r="2221">
      <c r="A2221" s="7" t="inlineStr">
        <is>
          <t>EXD408</t>
        </is>
      </c>
      <c r="B2221" s="8" t="n">
        <v>46075.223125</v>
      </c>
      <c r="C2221" s="8" t="n">
        <v>46075.25</v>
      </c>
      <c r="D2221" s="9">
        <f>(C2221-B2221)*24</f>
        <v/>
      </c>
      <c r="E2221" s="10">
        <f>IF(AND(HOUR(B2221)&gt;=6,HOUR(B2221)&lt;18),"Day Shift","Night Shift")</f>
        <v/>
      </c>
      <c r="F2221" s="11">
        <f>INT(B2221)</f>
        <v/>
      </c>
      <c r="G2221" s="11">
        <f>INT(C2221)</f>
        <v/>
      </c>
    </row>
    <row r="2222">
      <c r="A2222" s="2" t="inlineStr">
        <is>
          <t>EXD408</t>
        </is>
      </c>
      <c r="B2222" s="3" t="n">
        <v>46075.25</v>
      </c>
      <c r="C2222" s="3" t="n">
        <v>46075.75</v>
      </c>
      <c r="D2222" s="4">
        <f>(C2222-B2222)*24</f>
        <v/>
      </c>
      <c r="E2222" s="5">
        <f>IF(AND(HOUR(B2222)&gt;=6,HOUR(B2222)&lt;18),"Day Shift","Night Shift")</f>
        <v/>
      </c>
      <c r="F2222" s="6">
        <f>INT(B2222)</f>
        <v/>
      </c>
      <c r="G2222" s="6">
        <f>INT(C2222)</f>
        <v/>
      </c>
    </row>
    <row r="2223">
      <c r="A2223" s="7" t="inlineStr">
        <is>
          <t>EXD408</t>
        </is>
      </c>
      <c r="B2223" s="8" t="n">
        <v>46075.75</v>
      </c>
      <c r="C2223" s="8" t="n">
        <v>46076.25</v>
      </c>
      <c r="D2223" s="9">
        <f>(C2223-B2223)*24</f>
        <v/>
      </c>
      <c r="E2223" s="10">
        <f>IF(AND(HOUR(B2223)&gt;=6,HOUR(B2223)&lt;18),"Day Shift","Night Shift")</f>
        <v/>
      </c>
      <c r="F2223" s="11">
        <f>INT(B2223)</f>
        <v/>
      </c>
      <c r="G2223" s="11">
        <f>INT(C2223)</f>
        <v/>
      </c>
    </row>
    <row r="2224">
      <c r="A2224" s="2" t="inlineStr">
        <is>
          <t>EXD408</t>
        </is>
      </c>
      <c r="B2224" s="3" t="n">
        <v>46076.25</v>
      </c>
      <c r="C2224" s="3" t="n">
        <v>46076.75</v>
      </c>
      <c r="D2224" s="4">
        <f>(C2224-B2224)*24</f>
        <v/>
      </c>
      <c r="E2224" s="5">
        <f>IF(AND(HOUR(B2224)&gt;=6,HOUR(B2224)&lt;18),"Day Shift","Night Shift")</f>
        <v/>
      </c>
      <c r="F2224" s="6">
        <f>INT(B2224)</f>
        <v/>
      </c>
      <c r="G2224" s="6">
        <f>INT(C2224)</f>
        <v/>
      </c>
    </row>
    <row r="2225">
      <c r="A2225" s="7" t="inlineStr">
        <is>
          <t>EXD408</t>
        </is>
      </c>
      <c r="B2225" s="8" t="n">
        <v>46076.75</v>
      </c>
      <c r="C2225" s="8" t="n">
        <v>46077.25</v>
      </c>
      <c r="D2225" s="9">
        <f>(C2225-B2225)*24</f>
        <v/>
      </c>
      <c r="E2225" s="10">
        <f>IF(AND(HOUR(B2225)&gt;=6,HOUR(B2225)&lt;18),"Day Shift","Night Shift")</f>
        <v/>
      </c>
      <c r="F2225" s="11">
        <f>INT(B2225)</f>
        <v/>
      </c>
      <c r="G2225" s="11">
        <f>INT(C2225)</f>
        <v/>
      </c>
    </row>
    <row r="2226">
      <c r="A2226" s="2" t="inlineStr">
        <is>
          <t>EXD408</t>
        </is>
      </c>
      <c r="B2226" s="3" t="n">
        <v>46077.25</v>
      </c>
      <c r="C2226" s="3" t="n">
        <v>46077.75</v>
      </c>
      <c r="D2226" s="4">
        <f>(C2226-B2226)*24</f>
        <v/>
      </c>
      <c r="E2226" s="5">
        <f>IF(AND(HOUR(B2226)&gt;=6,HOUR(B2226)&lt;18),"Day Shift","Night Shift")</f>
        <v/>
      </c>
      <c r="F2226" s="6">
        <f>INT(B2226)</f>
        <v/>
      </c>
      <c r="G2226" s="6">
        <f>INT(C2226)</f>
        <v/>
      </c>
    </row>
    <row r="2227">
      <c r="A2227" s="7" t="inlineStr">
        <is>
          <t>EXD408</t>
        </is>
      </c>
      <c r="B2227" s="8" t="n">
        <v>46077.75</v>
      </c>
      <c r="C2227" s="8" t="n">
        <v>46078.25</v>
      </c>
      <c r="D2227" s="9">
        <f>(C2227-B2227)*24</f>
        <v/>
      </c>
      <c r="E2227" s="10">
        <f>IF(AND(HOUR(B2227)&gt;=6,HOUR(B2227)&lt;18),"Day Shift","Night Shift")</f>
        <v/>
      </c>
      <c r="F2227" s="11">
        <f>INT(B2227)</f>
        <v/>
      </c>
      <c r="G2227" s="11">
        <f>INT(C2227)</f>
        <v/>
      </c>
    </row>
    <row r="2228">
      <c r="A2228" s="2" t="inlineStr">
        <is>
          <t>EXD408</t>
        </is>
      </c>
      <c r="B2228" s="3" t="n">
        <v>46078.25</v>
      </c>
      <c r="C2228" s="3" t="n">
        <v>46078.75</v>
      </c>
      <c r="D2228" s="4">
        <f>(C2228-B2228)*24</f>
        <v/>
      </c>
      <c r="E2228" s="5">
        <f>IF(AND(HOUR(B2228)&gt;=6,HOUR(B2228)&lt;18),"Day Shift","Night Shift")</f>
        <v/>
      </c>
      <c r="F2228" s="6">
        <f>INT(B2228)</f>
        <v/>
      </c>
      <c r="G2228" s="6">
        <f>INT(C2228)</f>
        <v/>
      </c>
    </row>
    <row r="2229">
      <c r="A2229" s="7" t="inlineStr">
        <is>
          <t>EXD408</t>
        </is>
      </c>
      <c r="B2229" s="8" t="n">
        <v>46078.75</v>
      </c>
      <c r="C2229" s="8" t="n">
        <v>46079.25</v>
      </c>
      <c r="D2229" s="9">
        <f>(C2229-B2229)*24</f>
        <v/>
      </c>
      <c r="E2229" s="10">
        <f>IF(AND(HOUR(B2229)&gt;=6,HOUR(B2229)&lt;18),"Day Shift","Night Shift")</f>
        <v/>
      </c>
      <c r="F2229" s="11">
        <f>INT(B2229)</f>
        <v/>
      </c>
      <c r="G2229" s="11">
        <f>INT(C2229)</f>
        <v/>
      </c>
    </row>
    <row r="2230">
      <c r="A2230" s="2" t="inlineStr">
        <is>
          <t>EXD408</t>
        </is>
      </c>
      <c r="B2230" s="3" t="n">
        <v>46079.25</v>
      </c>
      <c r="C2230" s="3" t="n">
        <v>46079.75</v>
      </c>
      <c r="D2230" s="4">
        <f>(C2230-B2230)*24</f>
        <v/>
      </c>
      <c r="E2230" s="5">
        <f>IF(AND(HOUR(B2230)&gt;=6,HOUR(B2230)&lt;18),"Day Shift","Night Shift")</f>
        <v/>
      </c>
      <c r="F2230" s="6">
        <f>INT(B2230)</f>
        <v/>
      </c>
      <c r="G2230" s="6">
        <f>INT(C2230)</f>
        <v/>
      </c>
    </row>
    <row r="2231">
      <c r="A2231" s="7" t="inlineStr">
        <is>
          <t>EXD408</t>
        </is>
      </c>
      <c r="B2231" s="8" t="n">
        <v>46079.75</v>
      </c>
      <c r="C2231" s="8" t="n">
        <v>46080.25</v>
      </c>
      <c r="D2231" s="9">
        <f>(C2231-B2231)*24</f>
        <v/>
      </c>
      <c r="E2231" s="10">
        <f>IF(AND(HOUR(B2231)&gt;=6,HOUR(B2231)&lt;18),"Day Shift","Night Shift")</f>
        <v/>
      </c>
      <c r="F2231" s="11">
        <f>INT(B2231)</f>
        <v/>
      </c>
      <c r="G2231" s="11">
        <f>INT(C2231)</f>
        <v/>
      </c>
    </row>
    <row r="2232">
      <c r="A2232" s="2" t="inlineStr">
        <is>
          <t>EXD408</t>
        </is>
      </c>
      <c r="B2232" s="3" t="n">
        <v>46080.25</v>
      </c>
      <c r="C2232" s="3" t="n">
        <v>46080.588125</v>
      </c>
      <c r="D2232" s="4">
        <f>(C2232-B2232)*24</f>
        <v/>
      </c>
      <c r="E2232" s="5">
        <f>IF(AND(HOUR(B2232)&gt;=6,HOUR(B2232)&lt;18),"Day Shift","Night Shift")</f>
        <v/>
      </c>
      <c r="F2232" s="6">
        <f>INT(B2232)</f>
        <v/>
      </c>
      <c r="G2232" s="6">
        <f>INT(C2232)</f>
        <v/>
      </c>
    </row>
    <row r="2233">
      <c r="A2233" s="7" t="inlineStr">
        <is>
          <t>EDD175</t>
        </is>
      </c>
      <c r="B2233" s="8" t="n">
        <v>46075.24290509259</v>
      </c>
      <c r="C2233" s="8" t="n">
        <v>46075.25</v>
      </c>
      <c r="D2233" s="9">
        <f>(C2233-B2233)*24</f>
        <v/>
      </c>
      <c r="E2233" s="10">
        <f>IF(AND(HOUR(B2233)&gt;=6,HOUR(B2233)&lt;18),"Day Shift","Night Shift")</f>
        <v/>
      </c>
      <c r="F2233" s="11">
        <f>INT(B2233)</f>
        <v/>
      </c>
      <c r="G2233" s="11">
        <f>INT(C2233)</f>
        <v/>
      </c>
    </row>
    <row r="2234">
      <c r="A2234" s="2" t="inlineStr">
        <is>
          <t>EDD175</t>
        </is>
      </c>
      <c r="B2234" s="3" t="n">
        <v>46075.25</v>
      </c>
      <c r="C2234" s="3" t="n">
        <v>46075.75</v>
      </c>
      <c r="D2234" s="4">
        <f>(C2234-B2234)*24</f>
        <v/>
      </c>
      <c r="E2234" s="5">
        <f>IF(AND(HOUR(B2234)&gt;=6,HOUR(B2234)&lt;18),"Day Shift","Night Shift")</f>
        <v/>
      </c>
      <c r="F2234" s="6">
        <f>INT(B2234)</f>
        <v/>
      </c>
      <c r="G2234" s="6">
        <f>INT(C2234)</f>
        <v/>
      </c>
    </row>
    <row r="2235">
      <c r="A2235" s="7" t="inlineStr">
        <is>
          <t>EDD175</t>
        </is>
      </c>
      <c r="B2235" s="8" t="n">
        <v>46075.75</v>
      </c>
      <c r="C2235" s="8" t="n">
        <v>46076.01432870371</v>
      </c>
      <c r="D2235" s="9">
        <f>(C2235-B2235)*24</f>
        <v/>
      </c>
      <c r="E2235" s="10">
        <f>IF(AND(HOUR(B2235)&gt;=6,HOUR(B2235)&lt;18),"Day Shift","Night Shift")</f>
        <v/>
      </c>
      <c r="F2235" s="11">
        <f>INT(B2235)</f>
        <v/>
      </c>
      <c r="G2235" s="11">
        <f>INT(C2235)</f>
        <v/>
      </c>
    </row>
    <row r="2236">
      <c r="A2236" s="2" t="inlineStr">
        <is>
          <t>EXD98</t>
        </is>
      </c>
      <c r="B2236" s="3" t="n">
        <v>46075.2702199074</v>
      </c>
      <c r="C2236" s="3" t="n">
        <v>46075.75</v>
      </c>
      <c r="D2236" s="4">
        <f>(C2236-B2236)*24</f>
        <v/>
      </c>
      <c r="E2236" s="5">
        <f>IF(AND(HOUR(B2236)&gt;=6,HOUR(B2236)&lt;18),"Day Shift","Night Shift")</f>
        <v/>
      </c>
      <c r="F2236" s="6">
        <f>INT(B2236)</f>
        <v/>
      </c>
      <c r="G2236" s="6">
        <f>INT(C2236)</f>
        <v/>
      </c>
    </row>
    <row r="2237">
      <c r="A2237" s="7" t="inlineStr">
        <is>
          <t>EXD98</t>
        </is>
      </c>
      <c r="B2237" s="8" t="n">
        <v>46075.75</v>
      </c>
      <c r="C2237" s="8" t="n">
        <v>46076.25</v>
      </c>
      <c r="D2237" s="9">
        <f>(C2237-B2237)*24</f>
        <v/>
      </c>
      <c r="E2237" s="10">
        <f>IF(AND(HOUR(B2237)&gt;=6,HOUR(B2237)&lt;18),"Day Shift","Night Shift")</f>
        <v/>
      </c>
      <c r="F2237" s="11">
        <f>INT(B2237)</f>
        <v/>
      </c>
      <c r="G2237" s="11">
        <f>INT(C2237)</f>
        <v/>
      </c>
    </row>
    <row r="2238">
      <c r="A2238" s="2" t="inlineStr">
        <is>
          <t>EXD98</t>
        </is>
      </c>
      <c r="B2238" s="3" t="n">
        <v>46076.25</v>
      </c>
      <c r="C2238" s="3" t="n">
        <v>46076.44854166666</v>
      </c>
      <c r="D2238" s="4">
        <f>(C2238-B2238)*24</f>
        <v/>
      </c>
      <c r="E2238" s="5">
        <f>IF(AND(HOUR(B2238)&gt;=6,HOUR(B2238)&lt;18),"Day Shift","Night Shift")</f>
        <v/>
      </c>
      <c r="F2238" s="6">
        <f>INT(B2238)</f>
        <v/>
      </c>
      <c r="G2238" s="6">
        <f>INT(C2238)</f>
        <v/>
      </c>
    </row>
    <row r="2239">
      <c r="A2239" s="2" t="inlineStr">
        <is>
          <t>EXD55</t>
        </is>
      </c>
      <c r="B2239" s="3" t="n">
        <v>46075.29320601852</v>
      </c>
      <c r="C2239" s="3" t="n">
        <v>46075.65284722222</v>
      </c>
      <c r="D2239" s="4">
        <f>(C2239-B2239)*24</f>
        <v/>
      </c>
      <c r="E2239" s="5">
        <f>IF(AND(HOUR(B2239)&gt;=6,HOUR(B2239)&lt;18),"Day Shift","Night Shift")</f>
        <v/>
      </c>
      <c r="F2239" s="6">
        <f>INT(B2239)</f>
        <v/>
      </c>
      <c r="G2239" s="6">
        <f>INT(C2239)</f>
        <v/>
      </c>
    </row>
    <row r="2240">
      <c r="A2240" s="2" t="inlineStr">
        <is>
          <t>EDD2541;EDD1932</t>
        </is>
      </c>
      <c r="B2240" s="3" t="n">
        <v>46075.38623842593</v>
      </c>
      <c r="C2240" s="3" t="n">
        <v>46075.75</v>
      </c>
      <c r="D2240" s="4">
        <f>(C2240-B2240)*24</f>
        <v/>
      </c>
      <c r="E2240" s="5">
        <f>IF(AND(HOUR(B2240)&gt;=6,HOUR(B2240)&lt;18),"Day Shift","Night Shift")</f>
        <v/>
      </c>
      <c r="F2240" s="6">
        <f>INT(B2240)</f>
        <v/>
      </c>
      <c r="G2240" s="6">
        <f>INT(C2240)</f>
        <v/>
      </c>
    </row>
    <row r="2241">
      <c r="A2241" s="7" t="inlineStr">
        <is>
          <t>EDD2541;EDD1932</t>
        </is>
      </c>
      <c r="B2241" s="8" t="n">
        <v>46075.75</v>
      </c>
      <c r="C2241" s="8" t="n">
        <v>46075.88564814815</v>
      </c>
      <c r="D2241" s="9">
        <f>(C2241-B2241)*24</f>
        <v/>
      </c>
      <c r="E2241" s="10">
        <f>IF(AND(HOUR(B2241)&gt;=6,HOUR(B2241)&lt;18),"Day Shift","Night Shift")</f>
        <v/>
      </c>
      <c r="F2241" s="11">
        <f>INT(B2241)</f>
        <v/>
      </c>
      <c r="G2241" s="11">
        <f>INT(C2241)</f>
        <v/>
      </c>
    </row>
    <row r="2242">
      <c r="A2242" s="2" t="inlineStr">
        <is>
          <t>EXD61</t>
        </is>
      </c>
      <c r="B2242" s="3" t="n">
        <v>46075.41541666666</v>
      </c>
      <c r="C2242" s="3" t="n">
        <v>46075.73456018518</v>
      </c>
      <c r="D2242" s="4">
        <f>(C2242-B2242)*24</f>
        <v/>
      </c>
      <c r="E2242" s="5">
        <f>IF(AND(HOUR(B2242)&gt;=6,HOUR(B2242)&lt;18),"Day Shift","Night Shift")</f>
        <v/>
      </c>
      <c r="F2242" s="6">
        <f>INT(B2242)</f>
        <v/>
      </c>
      <c r="G2242" s="6">
        <f>INT(C2242)</f>
        <v/>
      </c>
    </row>
    <row r="2243">
      <c r="A2243" s="2" t="inlineStr">
        <is>
          <t>DRE09</t>
        </is>
      </c>
      <c r="B2243" s="3" t="n">
        <v>46075.4259375</v>
      </c>
      <c r="C2243" s="3" t="n">
        <v>46075.75</v>
      </c>
      <c r="D2243" s="4">
        <f>(C2243-B2243)*24</f>
        <v/>
      </c>
      <c r="E2243" s="5">
        <f>IF(AND(HOUR(B2243)&gt;=6,HOUR(B2243)&lt;18),"Day Shift","Night Shift")</f>
        <v/>
      </c>
      <c r="F2243" s="6">
        <f>INT(B2243)</f>
        <v/>
      </c>
      <c r="G2243" s="6">
        <f>INT(C2243)</f>
        <v/>
      </c>
    </row>
    <row r="2244">
      <c r="A2244" s="7" t="inlineStr">
        <is>
          <t>DRE09</t>
        </is>
      </c>
      <c r="B2244" s="8" t="n">
        <v>46075.75</v>
      </c>
      <c r="C2244" s="8" t="n">
        <v>46076.25</v>
      </c>
      <c r="D2244" s="9">
        <f>(C2244-B2244)*24</f>
        <v/>
      </c>
      <c r="E2244" s="10">
        <f>IF(AND(HOUR(B2244)&gt;=6,HOUR(B2244)&lt;18),"Day Shift","Night Shift")</f>
        <v/>
      </c>
      <c r="F2244" s="11">
        <f>INT(B2244)</f>
        <v/>
      </c>
      <c r="G2244" s="11">
        <f>INT(C2244)</f>
        <v/>
      </c>
    </row>
    <row r="2245">
      <c r="A2245" s="2" t="inlineStr">
        <is>
          <t>DRE09</t>
        </is>
      </c>
      <c r="B2245" s="3" t="n">
        <v>46076.25</v>
      </c>
      <c r="C2245" s="3" t="n">
        <v>46076.75</v>
      </c>
      <c r="D2245" s="4">
        <f>(C2245-B2245)*24</f>
        <v/>
      </c>
      <c r="E2245" s="5">
        <f>IF(AND(HOUR(B2245)&gt;=6,HOUR(B2245)&lt;18),"Day Shift","Night Shift")</f>
        <v/>
      </c>
      <c r="F2245" s="6">
        <f>INT(B2245)</f>
        <v/>
      </c>
      <c r="G2245" s="6">
        <f>INT(C2245)</f>
        <v/>
      </c>
    </row>
    <row r="2246">
      <c r="A2246" s="7" t="inlineStr">
        <is>
          <t>DRE09</t>
        </is>
      </c>
      <c r="B2246" s="8" t="n">
        <v>46076.75</v>
      </c>
      <c r="C2246" s="8" t="n">
        <v>46077.25</v>
      </c>
      <c r="D2246" s="9">
        <f>(C2246-B2246)*24</f>
        <v/>
      </c>
      <c r="E2246" s="10">
        <f>IF(AND(HOUR(B2246)&gt;=6,HOUR(B2246)&lt;18),"Day Shift","Night Shift")</f>
        <v/>
      </c>
      <c r="F2246" s="11">
        <f>INT(B2246)</f>
        <v/>
      </c>
      <c r="G2246" s="11">
        <f>INT(C2246)</f>
        <v/>
      </c>
    </row>
    <row r="2247">
      <c r="A2247" s="2" t="inlineStr">
        <is>
          <t>DRE09</t>
        </is>
      </c>
      <c r="B2247" s="3" t="n">
        <v>46077.25</v>
      </c>
      <c r="C2247" s="3" t="n">
        <v>46077.75</v>
      </c>
      <c r="D2247" s="4">
        <f>(C2247-B2247)*24</f>
        <v/>
      </c>
      <c r="E2247" s="5">
        <f>IF(AND(HOUR(B2247)&gt;=6,HOUR(B2247)&lt;18),"Day Shift","Night Shift")</f>
        <v/>
      </c>
      <c r="F2247" s="6">
        <f>INT(B2247)</f>
        <v/>
      </c>
      <c r="G2247" s="6">
        <f>INT(C2247)</f>
        <v/>
      </c>
    </row>
    <row r="2248">
      <c r="A2248" s="7" t="inlineStr">
        <is>
          <t>DRE09</t>
        </is>
      </c>
      <c r="B2248" s="8" t="n">
        <v>46077.75</v>
      </c>
      <c r="C2248" s="8" t="n">
        <v>46078.25</v>
      </c>
      <c r="D2248" s="9">
        <f>(C2248-B2248)*24</f>
        <v/>
      </c>
      <c r="E2248" s="10">
        <f>IF(AND(HOUR(B2248)&gt;=6,HOUR(B2248)&lt;18),"Day Shift","Night Shift")</f>
        <v/>
      </c>
      <c r="F2248" s="11">
        <f>INT(B2248)</f>
        <v/>
      </c>
      <c r="G2248" s="11">
        <f>INT(C2248)</f>
        <v/>
      </c>
    </row>
    <row r="2249">
      <c r="A2249" s="2" t="inlineStr">
        <is>
          <t>DRE09</t>
        </is>
      </c>
      <c r="B2249" s="3" t="n">
        <v>46078.25</v>
      </c>
      <c r="C2249" s="3" t="n">
        <v>46078.75</v>
      </c>
      <c r="D2249" s="4">
        <f>(C2249-B2249)*24</f>
        <v/>
      </c>
      <c r="E2249" s="5">
        <f>IF(AND(HOUR(B2249)&gt;=6,HOUR(B2249)&lt;18),"Day Shift","Night Shift")</f>
        <v/>
      </c>
      <c r="F2249" s="6">
        <f>INT(B2249)</f>
        <v/>
      </c>
      <c r="G2249" s="6">
        <f>INT(C2249)</f>
        <v/>
      </c>
    </row>
    <row r="2250">
      <c r="A2250" s="7" t="inlineStr">
        <is>
          <t>DRE09</t>
        </is>
      </c>
      <c r="B2250" s="8" t="n">
        <v>46078.75</v>
      </c>
      <c r="C2250" s="8" t="n">
        <v>46079.25</v>
      </c>
      <c r="D2250" s="9">
        <f>(C2250-B2250)*24</f>
        <v/>
      </c>
      <c r="E2250" s="10">
        <f>IF(AND(HOUR(B2250)&gt;=6,HOUR(B2250)&lt;18),"Day Shift","Night Shift")</f>
        <v/>
      </c>
      <c r="F2250" s="11">
        <f>INT(B2250)</f>
        <v/>
      </c>
      <c r="G2250" s="11">
        <f>INT(C2250)</f>
        <v/>
      </c>
    </row>
    <row r="2251">
      <c r="A2251" s="2" t="inlineStr">
        <is>
          <t>DRE09</t>
        </is>
      </c>
      <c r="B2251" s="3" t="n">
        <v>46079.25</v>
      </c>
      <c r="C2251" s="3" t="n">
        <v>46079.75</v>
      </c>
      <c r="D2251" s="4">
        <f>(C2251-B2251)*24</f>
        <v/>
      </c>
      <c r="E2251" s="5">
        <f>IF(AND(HOUR(B2251)&gt;=6,HOUR(B2251)&lt;18),"Day Shift","Night Shift")</f>
        <v/>
      </c>
      <c r="F2251" s="6">
        <f>INT(B2251)</f>
        <v/>
      </c>
      <c r="G2251" s="6">
        <f>INT(C2251)</f>
        <v/>
      </c>
    </row>
    <row r="2252">
      <c r="A2252" s="7" t="inlineStr">
        <is>
          <t>DRE09</t>
        </is>
      </c>
      <c r="B2252" s="8" t="n">
        <v>46079.75</v>
      </c>
      <c r="C2252" s="8" t="n">
        <v>46080.25</v>
      </c>
      <c r="D2252" s="9">
        <f>(C2252-B2252)*24</f>
        <v/>
      </c>
      <c r="E2252" s="10">
        <f>IF(AND(HOUR(B2252)&gt;=6,HOUR(B2252)&lt;18),"Day Shift","Night Shift")</f>
        <v/>
      </c>
      <c r="F2252" s="11">
        <f>INT(B2252)</f>
        <v/>
      </c>
      <c r="G2252" s="11">
        <f>INT(C2252)</f>
        <v/>
      </c>
    </row>
    <row r="2253">
      <c r="A2253" s="2" t="inlineStr">
        <is>
          <t>DRE09</t>
        </is>
      </c>
      <c r="B2253" s="3" t="n">
        <v>46080.25</v>
      </c>
      <c r="C2253" s="3" t="n">
        <v>46080.75</v>
      </c>
      <c r="D2253" s="4">
        <f>(C2253-B2253)*24</f>
        <v/>
      </c>
      <c r="E2253" s="5">
        <f>IF(AND(HOUR(B2253)&gt;=6,HOUR(B2253)&lt;18),"Day Shift","Night Shift")</f>
        <v/>
      </c>
      <c r="F2253" s="6">
        <f>INT(B2253)</f>
        <v/>
      </c>
      <c r="G2253" s="6">
        <f>INT(C2253)</f>
        <v/>
      </c>
    </row>
    <row r="2254">
      <c r="A2254" s="7" t="inlineStr">
        <is>
          <t>DRE09</t>
        </is>
      </c>
      <c r="B2254" s="8" t="n">
        <v>46080.75</v>
      </c>
      <c r="C2254" s="8" t="n">
        <v>46081.25</v>
      </c>
      <c r="D2254" s="9">
        <f>(C2254-B2254)*24</f>
        <v/>
      </c>
      <c r="E2254" s="10">
        <f>IF(AND(HOUR(B2254)&gt;=6,HOUR(B2254)&lt;18),"Day Shift","Night Shift")</f>
        <v/>
      </c>
      <c r="F2254" s="11">
        <f>INT(B2254)</f>
        <v/>
      </c>
      <c r="G2254" s="11">
        <f>INT(C2254)</f>
        <v/>
      </c>
    </row>
    <row r="2255">
      <c r="A2255" s="2" t="inlineStr">
        <is>
          <t>DRE09</t>
        </is>
      </c>
      <c r="B2255" s="3" t="n">
        <v>46081.25</v>
      </c>
      <c r="C2255" s="3" t="n">
        <v>46081.75</v>
      </c>
      <c r="D2255" s="4">
        <f>(C2255-B2255)*24</f>
        <v/>
      </c>
      <c r="E2255" s="5">
        <f>IF(AND(HOUR(B2255)&gt;=6,HOUR(B2255)&lt;18),"Day Shift","Night Shift")</f>
        <v/>
      </c>
      <c r="F2255" s="6">
        <f>INT(B2255)</f>
        <v/>
      </c>
      <c r="G2255" s="6">
        <f>INT(C2255)</f>
        <v/>
      </c>
    </row>
    <row r="2256">
      <c r="A2256" s="7" t="inlineStr">
        <is>
          <t>DRE09</t>
        </is>
      </c>
      <c r="B2256" s="8" t="n">
        <v>46081.75</v>
      </c>
      <c r="C2256" s="8" t="n">
        <v>46082.25</v>
      </c>
      <c r="D2256" s="9">
        <f>(C2256-B2256)*24</f>
        <v/>
      </c>
      <c r="E2256" s="10">
        <f>IF(AND(HOUR(B2256)&gt;=6,HOUR(B2256)&lt;18),"Day Shift","Night Shift")</f>
        <v/>
      </c>
      <c r="F2256" s="11">
        <f>INT(B2256)</f>
        <v/>
      </c>
      <c r="G2256" s="11">
        <f>INT(C2256)</f>
        <v/>
      </c>
    </row>
    <row r="2257">
      <c r="A2257" s="2" t="inlineStr">
        <is>
          <t>DRE09</t>
        </is>
      </c>
      <c r="B2257" s="3" t="n">
        <v>46082.25</v>
      </c>
      <c r="C2257" s="3" t="n">
        <v>46082.75</v>
      </c>
      <c r="D2257" s="4">
        <f>(C2257-B2257)*24</f>
        <v/>
      </c>
      <c r="E2257" s="5">
        <f>IF(AND(HOUR(B2257)&gt;=6,HOUR(B2257)&lt;18),"Day Shift","Night Shift")</f>
        <v/>
      </c>
      <c r="F2257" s="6">
        <f>INT(B2257)</f>
        <v/>
      </c>
      <c r="G2257" s="6">
        <f>INT(C2257)</f>
        <v/>
      </c>
    </row>
    <row r="2258">
      <c r="A2258" s="7" t="inlineStr">
        <is>
          <t>DRE09</t>
        </is>
      </c>
      <c r="B2258" s="8" t="n">
        <v>46082.75</v>
      </c>
      <c r="C2258" s="8" t="n">
        <v>46083.25</v>
      </c>
      <c r="D2258" s="9">
        <f>(C2258-B2258)*24</f>
        <v/>
      </c>
      <c r="E2258" s="10">
        <f>IF(AND(HOUR(B2258)&gt;=6,HOUR(B2258)&lt;18),"Day Shift","Night Shift")</f>
        <v/>
      </c>
      <c r="F2258" s="11">
        <f>INT(B2258)</f>
        <v/>
      </c>
      <c r="G2258" s="11">
        <f>INT(C2258)</f>
        <v/>
      </c>
    </row>
    <row r="2259">
      <c r="A2259" s="2" t="inlineStr">
        <is>
          <t>DRE09</t>
        </is>
      </c>
      <c r="B2259" s="3" t="n">
        <v>46083.25</v>
      </c>
      <c r="C2259" s="3" t="n">
        <v>46083.75</v>
      </c>
      <c r="D2259" s="4">
        <f>(C2259-B2259)*24</f>
        <v/>
      </c>
      <c r="E2259" s="5">
        <f>IF(AND(HOUR(B2259)&gt;=6,HOUR(B2259)&lt;18),"Day Shift","Night Shift")</f>
        <v/>
      </c>
      <c r="F2259" s="6">
        <f>INT(B2259)</f>
        <v/>
      </c>
      <c r="G2259" s="6">
        <f>INT(C2259)</f>
        <v/>
      </c>
    </row>
    <row r="2260">
      <c r="A2260" s="7" t="inlineStr">
        <is>
          <t>DRE09</t>
        </is>
      </c>
      <c r="B2260" s="8" t="n">
        <v>46083.75</v>
      </c>
      <c r="C2260" s="8" t="n">
        <v>46084.25</v>
      </c>
      <c r="D2260" s="9">
        <f>(C2260-B2260)*24</f>
        <v/>
      </c>
      <c r="E2260" s="10">
        <f>IF(AND(HOUR(B2260)&gt;=6,HOUR(B2260)&lt;18),"Day Shift","Night Shift")</f>
        <v/>
      </c>
      <c r="F2260" s="11">
        <f>INT(B2260)</f>
        <v/>
      </c>
      <c r="G2260" s="11">
        <f>INT(C2260)</f>
        <v/>
      </c>
    </row>
    <row r="2261">
      <c r="A2261" s="2" t="inlineStr">
        <is>
          <t>DRE09</t>
        </is>
      </c>
      <c r="B2261" s="3" t="n">
        <v>46084.25</v>
      </c>
      <c r="C2261" s="3" t="n">
        <v>46084.75</v>
      </c>
      <c r="D2261" s="4">
        <f>(C2261-B2261)*24</f>
        <v/>
      </c>
      <c r="E2261" s="5">
        <f>IF(AND(HOUR(B2261)&gt;=6,HOUR(B2261)&lt;18),"Day Shift","Night Shift")</f>
        <v/>
      </c>
      <c r="F2261" s="6">
        <f>INT(B2261)</f>
        <v/>
      </c>
      <c r="G2261" s="6">
        <f>INT(C2261)</f>
        <v/>
      </c>
    </row>
    <row r="2262">
      <c r="A2262" s="7" t="inlineStr">
        <is>
          <t>DRE09</t>
        </is>
      </c>
      <c r="B2262" s="8" t="n">
        <v>46084.75</v>
      </c>
      <c r="C2262" s="8" t="n">
        <v>46085.25</v>
      </c>
      <c r="D2262" s="9">
        <f>(C2262-B2262)*24</f>
        <v/>
      </c>
      <c r="E2262" s="10">
        <f>IF(AND(HOUR(B2262)&gt;=6,HOUR(B2262)&lt;18),"Day Shift","Night Shift")</f>
        <v/>
      </c>
      <c r="F2262" s="11">
        <f>INT(B2262)</f>
        <v/>
      </c>
      <c r="G2262" s="11">
        <f>INT(C2262)</f>
        <v/>
      </c>
    </row>
    <row r="2263">
      <c r="A2263" s="2" t="inlineStr">
        <is>
          <t>DRE09</t>
        </is>
      </c>
      <c r="B2263" s="3" t="n">
        <v>46085.25</v>
      </c>
      <c r="C2263" s="3" t="n">
        <v>46085.75</v>
      </c>
      <c r="D2263" s="4">
        <f>(C2263-B2263)*24</f>
        <v/>
      </c>
      <c r="E2263" s="5">
        <f>IF(AND(HOUR(B2263)&gt;=6,HOUR(B2263)&lt;18),"Day Shift","Night Shift")</f>
        <v/>
      </c>
      <c r="F2263" s="6">
        <f>INT(B2263)</f>
        <v/>
      </c>
      <c r="G2263" s="6">
        <f>INT(C2263)</f>
        <v/>
      </c>
    </row>
    <row r="2264">
      <c r="A2264" s="7" t="inlineStr">
        <is>
          <t>DRE09</t>
        </is>
      </c>
      <c r="B2264" s="8" t="n">
        <v>46085.75</v>
      </c>
      <c r="C2264" s="8" t="n">
        <v>46086.03751157408</v>
      </c>
      <c r="D2264" s="9">
        <f>(C2264-B2264)*24</f>
        <v/>
      </c>
      <c r="E2264" s="10">
        <f>IF(AND(HOUR(B2264)&gt;=6,HOUR(B2264)&lt;18),"Day Shift","Night Shift")</f>
        <v/>
      </c>
      <c r="F2264" s="11">
        <f>INT(B2264)</f>
        <v/>
      </c>
      <c r="G2264" s="11">
        <f>INT(C2264)</f>
        <v/>
      </c>
    </row>
    <row r="2265">
      <c r="A2265" s="2" t="inlineStr">
        <is>
          <t>EXD51</t>
        </is>
      </c>
      <c r="B2265" s="3" t="n">
        <v>46075.45827546297</v>
      </c>
      <c r="C2265" s="3" t="n">
        <v>46075.75</v>
      </c>
      <c r="D2265" s="4">
        <f>(C2265-B2265)*24</f>
        <v/>
      </c>
      <c r="E2265" s="5">
        <f>IF(AND(HOUR(B2265)&gt;=6,HOUR(B2265)&lt;18),"Day Shift","Night Shift")</f>
        <v/>
      </c>
      <c r="F2265" s="6">
        <f>INT(B2265)</f>
        <v/>
      </c>
      <c r="G2265" s="6">
        <f>INT(C2265)</f>
        <v/>
      </c>
    </row>
    <row r="2266">
      <c r="A2266" s="7" t="inlineStr">
        <is>
          <t>EXD51</t>
        </is>
      </c>
      <c r="B2266" s="8" t="n">
        <v>46075.75</v>
      </c>
      <c r="C2266" s="8" t="n">
        <v>46076.25</v>
      </c>
      <c r="D2266" s="9">
        <f>(C2266-B2266)*24</f>
        <v/>
      </c>
      <c r="E2266" s="10">
        <f>IF(AND(HOUR(B2266)&gt;=6,HOUR(B2266)&lt;18),"Day Shift","Night Shift")</f>
        <v/>
      </c>
      <c r="F2266" s="11">
        <f>INT(B2266)</f>
        <v/>
      </c>
      <c r="G2266" s="11">
        <f>INT(C2266)</f>
        <v/>
      </c>
    </row>
    <row r="2267">
      <c r="A2267" s="2" t="inlineStr">
        <is>
          <t>EXD51</t>
        </is>
      </c>
      <c r="B2267" s="3" t="n">
        <v>46076.25</v>
      </c>
      <c r="C2267" s="3" t="n">
        <v>46076.55645833333</v>
      </c>
      <c r="D2267" s="4">
        <f>(C2267-B2267)*24</f>
        <v/>
      </c>
      <c r="E2267" s="5">
        <f>IF(AND(HOUR(B2267)&gt;=6,HOUR(B2267)&lt;18),"Day Shift","Night Shift")</f>
        <v/>
      </c>
      <c r="F2267" s="6">
        <f>INT(B2267)</f>
        <v/>
      </c>
      <c r="G2267" s="6">
        <f>INT(C2267)</f>
        <v/>
      </c>
    </row>
    <row r="2268">
      <c r="A2268" s="2" t="inlineStr">
        <is>
          <t>SHE36</t>
        </is>
      </c>
      <c r="B2268" s="3" t="n">
        <v>46075.48370370371</v>
      </c>
      <c r="C2268" s="3" t="n">
        <v>46075.75</v>
      </c>
      <c r="D2268" s="4">
        <f>(C2268-B2268)*24</f>
        <v/>
      </c>
      <c r="E2268" s="5">
        <f>IF(AND(HOUR(B2268)&gt;=6,HOUR(B2268)&lt;18),"Day Shift","Night Shift")</f>
        <v/>
      </c>
      <c r="F2268" s="6">
        <f>INT(B2268)</f>
        <v/>
      </c>
      <c r="G2268" s="6">
        <f>INT(C2268)</f>
        <v/>
      </c>
    </row>
    <row r="2269">
      <c r="A2269" s="7" t="inlineStr">
        <is>
          <t>SHE36</t>
        </is>
      </c>
      <c r="B2269" s="8" t="n">
        <v>46075.75</v>
      </c>
      <c r="C2269" s="8" t="n">
        <v>46076.25</v>
      </c>
      <c r="D2269" s="9">
        <f>(C2269-B2269)*24</f>
        <v/>
      </c>
      <c r="E2269" s="10">
        <f>IF(AND(HOUR(B2269)&gt;=6,HOUR(B2269)&lt;18),"Day Shift","Night Shift")</f>
        <v/>
      </c>
      <c r="F2269" s="11">
        <f>INT(B2269)</f>
        <v/>
      </c>
      <c r="G2269" s="11">
        <f>INT(C2269)</f>
        <v/>
      </c>
    </row>
    <row r="2270">
      <c r="A2270" s="2" t="inlineStr">
        <is>
          <t>SHE36</t>
        </is>
      </c>
      <c r="B2270" s="3" t="n">
        <v>46076.25</v>
      </c>
      <c r="C2270" s="3" t="n">
        <v>46076.54827546296</v>
      </c>
      <c r="D2270" s="4">
        <f>(C2270-B2270)*24</f>
        <v/>
      </c>
      <c r="E2270" s="5">
        <f>IF(AND(HOUR(B2270)&gt;=6,HOUR(B2270)&lt;18),"Day Shift","Night Shift")</f>
        <v/>
      </c>
      <c r="F2270" s="6">
        <f>INT(B2270)</f>
        <v/>
      </c>
      <c r="G2270" s="6">
        <f>INT(C2270)</f>
        <v/>
      </c>
    </row>
    <row r="2271">
      <c r="A2271" s="2" t="inlineStr">
        <is>
          <t>EXD73</t>
        </is>
      </c>
      <c r="B2271" s="3" t="n">
        <v>46075.54392361111</v>
      </c>
      <c r="C2271" s="3" t="n">
        <v>46075.75</v>
      </c>
      <c r="D2271" s="4">
        <f>(C2271-B2271)*24</f>
        <v/>
      </c>
      <c r="E2271" s="5">
        <f>IF(AND(HOUR(B2271)&gt;=6,HOUR(B2271)&lt;18),"Day Shift","Night Shift")</f>
        <v/>
      </c>
      <c r="F2271" s="6">
        <f>INT(B2271)</f>
        <v/>
      </c>
      <c r="G2271" s="6">
        <f>INT(C2271)</f>
        <v/>
      </c>
    </row>
    <row r="2272">
      <c r="A2272" s="7" t="inlineStr">
        <is>
          <t>EXD73</t>
        </is>
      </c>
      <c r="B2272" s="8" t="n">
        <v>46075.75</v>
      </c>
      <c r="C2272" s="8" t="n">
        <v>46076.25</v>
      </c>
      <c r="D2272" s="9">
        <f>(C2272-B2272)*24</f>
        <v/>
      </c>
      <c r="E2272" s="10">
        <f>IF(AND(HOUR(B2272)&gt;=6,HOUR(B2272)&lt;18),"Day Shift","Night Shift")</f>
        <v/>
      </c>
      <c r="F2272" s="11">
        <f>INT(B2272)</f>
        <v/>
      </c>
      <c r="G2272" s="11">
        <f>INT(C2272)</f>
        <v/>
      </c>
    </row>
    <row r="2273">
      <c r="A2273" s="2" t="inlineStr">
        <is>
          <t>EXD73</t>
        </is>
      </c>
      <c r="B2273" s="3" t="n">
        <v>46076.25</v>
      </c>
      <c r="C2273" s="3" t="n">
        <v>46076.75</v>
      </c>
      <c r="D2273" s="4">
        <f>(C2273-B2273)*24</f>
        <v/>
      </c>
      <c r="E2273" s="5">
        <f>IF(AND(HOUR(B2273)&gt;=6,HOUR(B2273)&lt;18),"Day Shift","Night Shift")</f>
        <v/>
      </c>
      <c r="F2273" s="6">
        <f>INT(B2273)</f>
        <v/>
      </c>
      <c r="G2273" s="6">
        <f>INT(C2273)</f>
        <v/>
      </c>
    </row>
    <row r="2274">
      <c r="A2274" s="7" t="inlineStr">
        <is>
          <t>EXD73</t>
        </is>
      </c>
      <c r="B2274" s="8" t="n">
        <v>46076.75</v>
      </c>
      <c r="C2274" s="8" t="n">
        <v>46077.25</v>
      </c>
      <c r="D2274" s="9">
        <f>(C2274-B2274)*24</f>
        <v/>
      </c>
      <c r="E2274" s="10">
        <f>IF(AND(HOUR(B2274)&gt;=6,HOUR(B2274)&lt;18),"Day Shift","Night Shift")</f>
        <v/>
      </c>
      <c r="F2274" s="11">
        <f>INT(B2274)</f>
        <v/>
      </c>
      <c r="G2274" s="11">
        <f>INT(C2274)</f>
        <v/>
      </c>
    </row>
    <row r="2275">
      <c r="A2275" s="2" t="inlineStr">
        <is>
          <t>EXD73</t>
        </is>
      </c>
      <c r="B2275" s="3" t="n">
        <v>46077.25</v>
      </c>
      <c r="C2275" s="3" t="n">
        <v>46077.75</v>
      </c>
      <c r="D2275" s="4">
        <f>(C2275-B2275)*24</f>
        <v/>
      </c>
      <c r="E2275" s="5">
        <f>IF(AND(HOUR(B2275)&gt;=6,HOUR(B2275)&lt;18),"Day Shift","Night Shift")</f>
        <v/>
      </c>
      <c r="F2275" s="6">
        <f>INT(B2275)</f>
        <v/>
      </c>
      <c r="G2275" s="6">
        <f>INT(C2275)</f>
        <v/>
      </c>
    </row>
    <row r="2276">
      <c r="A2276" s="7" t="inlineStr">
        <is>
          <t>EXD73</t>
        </is>
      </c>
      <c r="B2276" s="8" t="n">
        <v>46077.75</v>
      </c>
      <c r="C2276" s="8" t="n">
        <v>46078.25</v>
      </c>
      <c r="D2276" s="9">
        <f>(C2276-B2276)*24</f>
        <v/>
      </c>
      <c r="E2276" s="10">
        <f>IF(AND(HOUR(B2276)&gt;=6,HOUR(B2276)&lt;18),"Day Shift","Night Shift")</f>
        <v/>
      </c>
      <c r="F2276" s="11">
        <f>INT(B2276)</f>
        <v/>
      </c>
      <c r="G2276" s="11">
        <f>INT(C2276)</f>
        <v/>
      </c>
    </row>
    <row r="2277">
      <c r="A2277" s="2" t="inlineStr">
        <is>
          <t>EXD73</t>
        </is>
      </c>
      <c r="B2277" s="3" t="n">
        <v>46078.25</v>
      </c>
      <c r="C2277" s="3" t="n">
        <v>46078.75</v>
      </c>
      <c r="D2277" s="4">
        <f>(C2277-B2277)*24</f>
        <v/>
      </c>
      <c r="E2277" s="5">
        <f>IF(AND(HOUR(B2277)&gt;=6,HOUR(B2277)&lt;18),"Day Shift","Night Shift")</f>
        <v/>
      </c>
      <c r="F2277" s="6">
        <f>INT(B2277)</f>
        <v/>
      </c>
      <c r="G2277" s="6">
        <f>INT(C2277)</f>
        <v/>
      </c>
    </row>
    <row r="2278">
      <c r="A2278" s="7" t="inlineStr">
        <is>
          <t>EXD73</t>
        </is>
      </c>
      <c r="B2278" s="8" t="n">
        <v>46078.75</v>
      </c>
      <c r="C2278" s="8" t="n">
        <v>46079.25</v>
      </c>
      <c r="D2278" s="9">
        <f>(C2278-B2278)*24</f>
        <v/>
      </c>
      <c r="E2278" s="10">
        <f>IF(AND(HOUR(B2278)&gt;=6,HOUR(B2278)&lt;18),"Day Shift","Night Shift")</f>
        <v/>
      </c>
      <c r="F2278" s="11">
        <f>INT(B2278)</f>
        <v/>
      </c>
      <c r="G2278" s="11">
        <f>INT(C2278)</f>
        <v/>
      </c>
    </row>
    <row r="2279">
      <c r="A2279" s="2" t="inlineStr">
        <is>
          <t>EXD73</t>
        </is>
      </c>
      <c r="B2279" s="3" t="n">
        <v>46079.25</v>
      </c>
      <c r="C2279" s="3" t="n">
        <v>46079.75</v>
      </c>
      <c r="D2279" s="4">
        <f>(C2279-B2279)*24</f>
        <v/>
      </c>
      <c r="E2279" s="5">
        <f>IF(AND(HOUR(B2279)&gt;=6,HOUR(B2279)&lt;18),"Day Shift","Night Shift")</f>
        <v/>
      </c>
      <c r="F2279" s="6">
        <f>INT(B2279)</f>
        <v/>
      </c>
      <c r="G2279" s="6">
        <f>INT(C2279)</f>
        <v/>
      </c>
    </row>
    <row r="2280">
      <c r="A2280" s="7" t="inlineStr">
        <is>
          <t>EXD73</t>
        </is>
      </c>
      <c r="B2280" s="8" t="n">
        <v>46079.75</v>
      </c>
      <c r="C2280" s="8" t="n">
        <v>46080.25</v>
      </c>
      <c r="D2280" s="9">
        <f>(C2280-B2280)*24</f>
        <v/>
      </c>
      <c r="E2280" s="10">
        <f>IF(AND(HOUR(B2280)&gt;=6,HOUR(B2280)&lt;18),"Day Shift","Night Shift")</f>
        <v/>
      </c>
      <c r="F2280" s="11">
        <f>INT(B2280)</f>
        <v/>
      </c>
      <c r="G2280" s="11">
        <f>INT(C2280)</f>
        <v/>
      </c>
    </row>
    <row r="2281">
      <c r="A2281" s="2" t="inlineStr">
        <is>
          <t>EXD73</t>
        </is>
      </c>
      <c r="B2281" s="3" t="n">
        <v>46080.25</v>
      </c>
      <c r="C2281" s="3" t="n">
        <v>46080.25505787037</v>
      </c>
      <c r="D2281" s="4">
        <f>(C2281-B2281)*24</f>
        <v/>
      </c>
      <c r="E2281" s="5">
        <f>IF(AND(HOUR(B2281)&gt;=6,HOUR(B2281)&lt;18),"Day Shift","Night Shift")</f>
        <v/>
      </c>
      <c r="F2281" s="6">
        <f>INT(B2281)</f>
        <v/>
      </c>
      <c r="G2281" s="6">
        <f>INT(C2281)</f>
        <v/>
      </c>
    </row>
    <row r="2282">
      <c r="A2282" s="2" t="inlineStr">
        <is>
          <t>EXD55</t>
        </is>
      </c>
      <c r="B2282" s="3" t="n">
        <v>46075.65284722222</v>
      </c>
      <c r="C2282" s="3" t="n">
        <v>46075.75</v>
      </c>
      <c r="D2282" s="4">
        <f>(C2282-B2282)*24</f>
        <v/>
      </c>
      <c r="E2282" s="5">
        <f>IF(AND(HOUR(B2282)&gt;=6,HOUR(B2282)&lt;18),"Day Shift","Night Shift")</f>
        <v/>
      </c>
      <c r="F2282" s="6">
        <f>INT(B2282)</f>
        <v/>
      </c>
      <c r="G2282" s="6">
        <f>INT(C2282)</f>
        <v/>
      </c>
    </row>
    <row r="2283">
      <c r="A2283" s="7" t="inlineStr">
        <is>
          <t>EXD55</t>
        </is>
      </c>
      <c r="B2283" s="8" t="n">
        <v>46075.75</v>
      </c>
      <c r="C2283" s="8" t="n">
        <v>46075.83503472222</v>
      </c>
      <c r="D2283" s="9">
        <f>(C2283-B2283)*24</f>
        <v/>
      </c>
      <c r="E2283" s="10">
        <f>IF(AND(HOUR(B2283)&gt;=6,HOUR(B2283)&lt;18),"Day Shift","Night Shift")</f>
        <v/>
      </c>
      <c r="F2283" s="11">
        <f>INT(B2283)</f>
        <v/>
      </c>
      <c r="G2283" s="11">
        <f>INT(C2283)</f>
        <v/>
      </c>
    </row>
    <row r="2284">
      <c r="A2284" s="2" t="inlineStr">
        <is>
          <t>EXD100</t>
        </is>
      </c>
      <c r="B2284" s="3" t="n">
        <v>46075.7071875</v>
      </c>
      <c r="C2284" s="3" t="n">
        <v>46075.75</v>
      </c>
      <c r="D2284" s="4">
        <f>(C2284-B2284)*24</f>
        <v/>
      </c>
      <c r="E2284" s="5">
        <f>IF(AND(HOUR(B2284)&gt;=6,HOUR(B2284)&lt;18),"Day Shift","Night Shift")</f>
        <v/>
      </c>
      <c r="F2284" s="6">
        <f>INT(B2284)</f>
        <v/>
      </c>
      <c r="G2284" s="6">
        <f>INT(C2284)</f>
        <v/>
      </c>
    </row>
    <row r="2285">
      <c r="A2285" s="7" t="inlineStr">
        <is>
          <t>EXD100</t>
        </is>
      </c>
      <c r="B2285" s="8" t="n">
        <v>46075.75</v>
      </c>
      <c r="C2285" s="8" t="n">
        <v>46076.25</v>
      </c>
      <c r="D2285" s="9">
        <f>(C2285-B2285)*24</f>
        <v/>
      </c>
      <c r="E2285" s="10">
        <f>IF(AND(HOUR(B2285)&gt;=6,HOUR(B2285)&lt;18),"Day Shift","Night Shift")</f>
        <v/>
      </c>
      <c r="F2285" s="11">
        <f>INT(B2285)</f>
        <v/>
      </c>
      <c r="G2285" s="11">
        <f>INT(C2285)</f>
        <v/>
      </c>
    </row>
    <row r="2286">
      <c r="A2286" s="2" t="inlineStr">
        <is>
          <t>EXD100</t>
        </is>
      </c>
      <c r="B2286" s="3" t="n">
        <v>46076.25</v>
      </c>
      <c r="C2286" s="3" t="n">
        <v>46076.52523148148</v>
      </c>
      <c r="D2286" s="4">
        <f>(C2286-B2286)*24</f>
        <v/>
      </c>
      <c r="E2286" s="5">
        <f>IF(AND(HOUR(B2286)&gt;=6,HOUR(B2286)&lt;18),"Day Shift","Night Shift")</f>
        <v/>
      </c>
      <c r="F2286" s="6">
        <f>INT(B2286)</f>
        <v/>
      </c>
      <c r="G2286" s="6">
        <f>INT(C2286)</f>
        <v/>
      </c>
    </row>
    <row r="2287">
      <c r="A2287" s="2" t="inlineStr">
        <is>
          <t>EXD61</t>
        </is>
      </c>
      <c r="B2287" s="3" t="n">
        <v>46075.73456018518</v>
      </c>
      <c r="C2287" s="3" t="n">
        <v>46075.75</v>
      </c>
      <c r="D2287" s="4">
        <f>(C2287-B2287)*24</f>
        <v/>
      </c>
      <c r="E2287" s="5">
        <f>IF(AND(HOUR(B2287)&gt;=6,HOUR(B2287)&lt;18),"Day Shift","Night Shift")</f>
        <v/>
      </c>
      <c r="F2287" s="6">
        <f>INT(B2287)</f>
        <v/>
      </c>
      <c r="G2287" s="6">
        <f>INT(C2287)</f>
        <v/>
      </c>
    </row>
    <row r="2288">
      <c r="A2288" s="7" t="inlineStr">
        <is>
          <t>EXD61</t>
        </is>
      </c>
      <c r="B2288" s="8" t="n">
        <v>46075.75</v>
      </c>
      <c r="C2288" s="8" t="n">
        <v>46075.95895833334</v>
      </c>
      <c r="D2288" s="9">
        <f>(C2288-B2288)*24</f>
        <v/>
      </c>
      <c r="E2288" s="10">
        <f>IF(AND(HOUR(B2288)&gt;=6,HOUR(B2288)&lt;18),"Day Shift","Night Shift")</f>
        <v/>
      </c>
      <c r="F2288" s="11">
        <f>INT(B2288)</f>
        <v/>
      </c>
      <c r="G2288" s="11">
        <f>INT(C2288)</f>
        <v/>
      </c>
    </row>
    <row r="2289">
      <c r="A2289" s="7" t="inlineStr">
        <is>
          <t>EXD55</t>
        </is>
      </c>
      <c r="B2289" s="8" t="n">
        <v>46075.83503472222</v>
      </c>
      <c r="C2289" s="8" t="n">
        <v>46076.02444444445</v>
      </c>
      <c r="D2289" s="9">
        <f>(C2289-B2289)*24</f>
        <v/>
      </c>
      <c r="E2289" s="10">
        <f>IF(AND(HOUR(B2289)&gt;=6,HOUR(B2289)&lt;18),"Day Shift","Night Shift")</f>
        <v/>
      </c>
      <c r="F2289" s="11">
        <f>INT(B2289)</f>
        <v/>
      </c>
      <c r="G2289" s="11">
        <f>INT(C2289)</f>
        <v/>
      </c>
    </row>
    <row r="2290">
      <c r="A2290" s="7" t="inlineStr">
        <is>
          <t>EDD1932;EDD2541;EDD812</t>
        </is>
      </c>
      <c r="B2290" s="8" t="n">
        <v>46075.88564814815</v>
      </c>
      <c r="C2290" s="8" t="n">
        <v>46076.24141203704</v>
      </c>
      <c r="D2290" s="9">
        <f>(C2290-B2290)*24</f>
        <v/>
      </c>
      <c r="E2290" s="10">
        <f>IF(AND(HOUR(B2290)&gt;=6,HOUR(B2290)&lt;18),"Day Shift","Night Shift")</f>
        <v/>
      </c>
      <c r="F2290" s="11">
        <f>INT(B2290)</f>
        <v/>
      </c>
      <c r="G2290" s="11">
        <f>INT(C2290)</f>
        <v/>
      </c>
    </row>
    <row r="2291">
      <c r="A2291" s="7" t="inlineStr">
        <is>
          <t>LDW265</t>
        </is>
      </c>
      <c r="B2291" s="8" t="n">
        <v>46075.89072916667</v>
      </c>
      <c r="C2291" s="8" t="n">
        <v>46076.25</v>
      </c>
      <c r="D2291" s="9">
        <f>(C2291-B2291)*24</f>
        <v/>
      </c>
      <c r="E2291" s="10">
        <f>IF(AND(HOUR(B2291)&gt;=6,HOUR(B2291)&lt;18),"Day Shift","Night Shift")</f>
        <v/>
      </c>
      <c r="F2291" s="11">
        <f>INT(B2291)</f>
        <v/>
      </c>
      <c r="G2291" s="11">
        <f>INT(C2291)</f>
        <v/>
      </c>
    </row>
    <row r="2292">
      <c r="A2292" s="2" t="inlineStr">
        <is>
          <t>LDW265</t>
        </is>
      </c>
      <c r="B2292" s="3" t="n">
        <v>46076.25</v>
      </c>
      <c r="C2292" s="3" t="n">
        <v>46076.5434837963</v>
      </c>
      <c r="D2292" s="4">
        <f>(C2292-B2292)*24</f>
        <v/>
      </c>
      <c r="E2292" s="5">
        <f>IF(AND(HOUR(B2292)&gt;=6,HOUR(B2292)&lt;18),"Day Shift","Night Shift")</f>
        <v/>
      </c>
      <c r="F2292" s="6">
        <f>INT(B2292)</f>
        <v/>
      </c>
      <c r="G2292" s="6">
        <f>INT(C2292)</f>
        <v/>
      </c>
    </row>
    <row r="2293">
      <c r="A2293" s="7" t="inlineStr">
        <is>
          <t>EXD407</t>
        </is>
      </c>
      <c r="B2293" s="8" t="n">
        <v>46075.91831018519</v>
      </c>
      <c r="C2293" s="8" t="n">
        <v>46076.25</v>
      </c>
      <c r="D2293" s="9">
        <f>(C2293-B2293)*24</f>
        <v/>
      </c>
      <c r="E2293" s="10">
        <f>IF(AND(HOUR(B2293)&gt;=6,HOUR(B2293)&lt;18),"Day Shift","Night Shift")</f>
        <v/>
      </c>
      <c r="F2293" s="11">
        <f>INT(B2293)</f>
        <v/>
      </c>
      <c r="G2293" s="11">
        <f>INT(C2293)</f>
        <v/>
      </c>
    </row>
    <row r="2294">
      <c r="A2294" s="2" t="inlineStr">
        <is>
          <t>EXD407</t>
        </is>
      </c>
      <c r="B2294" s="3" t="n">
        <v>46076.25</v>
      </c>
      <c r="C2294" s="3" t="n">
        <v>46076.47368055556</v>
      </c>
      <c r="D2294" s="4">
        <f>(C2294-B2294)*24</f>
        <v/>
      </c>
      <c r="E2294" s="5">
        <f>IF(AND(HOUR(B2294)&gt;=6,HOUR(B2294)&lt;18),"Day Shift","Night Shift")</f>
        <v/>
      </c>
      <c r="F2294" s="6">
        <f>INT(B2294)</f>
        <v/>
      </c>
      <c r="G2294" s="6">
        <f>INT(C2294)</f>
        <v/>
      </c>
    </row>
    <row r="2295">
      <c r="A2295" s="7" t="inlineStr">
        <is>
          <t>EDD2134;EDD2541</t>
        </is>
      </c>
      <c r="B2295" s="8" t="n">
        <v>46075.92311342592</v>
      </c>
      <c r="C2295" s="8" t="n">
        <v>46076.25</v>
      </c>
      <c r="D2295" s="9">
        <f>(C2295-B2295)*24</f>
        <v/>
      </c>
      <c r="E2295" s="10">
        <f>IF(AND(HOUR(B2295)&gt;=6,HOUR(B2295)&lt;18),"Day Shift","Night Shift")</f>
        <v/>
      </c>
      <c r="F2295" s="11">
        <f>INT(B2295)</f>
        <v/>
      </c>
      <c r="G2295" s="11">
        <f>INT(C2295)</f>
        <v/>
      </c>
    </row>
    <row r="2296">
      <c r="A2296" s="2" t="inlineStr">
        <is>
          <t>EDD2134;EDD2541</t>
        </is>
      </c>
      <c r="B2296" s="3" t="n">
        <v>46076.25</v>
      </c>
      <c r="C2296" s="3" t="n">
        <v>46076.56008101852</v>
      </c>
      <c r="D2296" s="4">
        <f>(C2296-B2296)*24</f>
        <v/>
      </c>
      <c r="E2296" s="5">
        <f>IF(AND(HOUR(B2296)&gt;=6,HOUR(B2296)&lt;18),"Day Shift","Night Shift")</f>
        <v/>
      </c>
      <c r="F2296" s="6">
        <f>INT(B2296)</f>
        <v/>
      </c>
      <c r="G2296" s="6">
        <f>INT(C2296)</f>
        <v/>
      </c>
    </row>
    <row r="2297">
      <c r="A2297" s="7" t="inlineStr">
        <is>
          <t>EXD61</t>
        </is>
      </c>
      <c r="B2297" s="8" t="n">
        <v>46075.95912037037</v>
      </c>
      <c r="C2297" s="8" t="n">
        <v>46076.25</v>
      </c>
      <c r="D2297" s="9">
        <f>(C2297-B2297)*24</f>
        <v/>
      </c>
      <c r="E2297" s="10">
        <f>IF(AND(HOUR(B2297)&gt;=6,HOUR(B2297)&lt;18),"Day Shift","Night Shift")</f>
        <v/>
      </c>
      <c r="F2297" s="11">
        <f>INT(B2297)</f>
        <v/>
      </c>
      <c r="G2297" s="11">
        <f>INT(C2297)</f>
        <v/>
      </c>
    </row>
    <row r="2298">
      <c r="A2298" s="2" t="inlineStr">
        <is>
          <t>EXD61</t>
        </is>
      </c>
      <c r="B2298" s="3" t="n">
        <v>46076.25</v>
      </c>
      <c r="C2298" s="3" t="n">
        <v>46076.66229166667</v>
      </c>
      <c r="D2298" s="4">
        <f>(C2298-B2298)*24</f>
        <v/>
      </c>
      <c r="E2298" s="5">
        <f>IF(AND(HOUR(B2298)&gt;=6,HOUR(B2298)&lt;18),"Day Shift","Night Shift")</f>
        <v/>
      </c>
      <c r="F2298" s="6">
        <f>INT(B2298)</f>
        <v/>
      </c>
      <c r="G2298" s="6">
        <f>INT(C2298)</f>
        <v/>
      </c>
    </row>
    <row r="2299">
      <c r="A2299" s="7" t="inlineStr">
        <is>
          <t>EDD175</t>
        </is>
      </c>
      <c r="B2299" s="8" t="n">
        <v>46076.01432870371</v>
      </c>
      <c r="C2299" s="8" t="n">
        <v>46076.25</v>
      </c>
      <c r="D2299" s="9">
        <f>(C2299-B2299)*24</f>
        <v/>
      </c>
      <c r="E2299" s="10">
        <f>IF(AND(HOUR(B2299)&gt;=6,HOUR(B2299)&lt;18),"Day Shift","Night Shift")</f>
        <v/>
      </c>
      <c r="F2299" s="11">
        <f>INT(B2299)</f>
        <v/>
      </c>
      <c r="G2299" s="11">
        <f>INT(C2299)</f>
        <v/>
      </c>
    </row>
    <row r="2300">
      <c r="A2300" s="2" t="inlineStr">
        <is>
          <t>EDD175</t>
        </is>
      </c>
      <c r="B2300" s="3" t="n">
        <v>46076.25</v>
      </c>
      <c r="C2300" s="3" t="n">
        <v>46076.53554398148</v>
      </c>
      <c r="D2300" s="4">
        <f>(C2300-B2300)*24</f>
        <v/>
      </c>
      <c r="E2300" s="5">
        <f>IF(AND(HOUR(B2300)&gt;=6,HOUR(B2300)&lt;18),"Day Shift","Night Shift")</f>
        <v/>
      </c>
      <c r="F2300" s="6">
        <f>INT(B2300)</f>
        <v/>
      </c>
      <c r="G2300" s="6">
        <f>INT(C2300)</f>
        <v/>
      </c>
    </row>
    <row r="2301">
      <c r="A2301" s="7" t="inlineStr">
        <is>
          <t>EXD55</t>
        </is>
      </c>
      <c r="B2301" s="8" t="n">
        <v>46076.02444444445</v>
      </c>
      <c r="C2301" s="8" t="n">
        <v>46076.25</v>
      </c>
      <c r="D2301" s="9">
        <f>(C2301-B2301)*24</f>
        <v/>
      </c>
      <c r="E2301" s="10">
        <f>IF(AND(HOUR(B2301)&gt;=6,HOUR(B2301)&lt;18),"Day Shift","Night Shift")</f>
        <v/>
      </c>
      <c r="F2301" s="11">
        <f>INT(B2301)</f>
        <v/>
      </c>
      <c r="G2301" s="11">
        <f>INT(C2301)</f>
        <v/>
      </c>
    </row>
    <row r="2302">
      <c r="A2302" s="2" t="inlineStr">
        <is>
          <t>EXD55</t>
        </is>
      </c>
      <c r="B2302" s="3" t="n">
        <v>46076.25</v>
      </c>
      <c r="C2302" s="3" t="n">
        <v>46076.75</v>
      </c>
      <c r="D2302" s="4">
        <f>(C2302-B2302)*24</f>
        <v/>
      </c>
      <c r="E2302" s="5">
        <f>IF(AND(HOUR(B2302)&gt;=6,HOUR(B2302)&lt;18),"Day Shift","Night Shift")</f>
        <v/>
      </c>
      <c r="F2302" s="6">
        <f>INT(B2302)</f>
        <v/>
      </c>
      <c r="G2302" s="6">
        <f>INT(C2302)</f>
        <v/>
      </c>
    </row>
    <row r="2303">
      <c r="A2303" s="7" t="inlineStr">
        <is>
          <t>EXD55</t>
        </is>
      </c>
      <c r="B2303" s="8" t="n">
        <v>46076.75</v>
      </c>
      <c r="C2303" s="8" t="n">
        <v>46077.25</v>
      </c>
      <c r="D2303" s="9">
        <f>(C2303-B2303)*24</f>
        <v/>
      </c>
      <c r="E2303" s="10">
        <f>IF(AND(HOUR(B2303)&gt;=6,HOUR(B2303)&lt;18),"Day Shift","Night Shift")</f>
        <v/>
      </c>
      <c r="F2303" s="11">
        <f>INT(B2303)</f>
        <v/>
      </c>
      <c r="G2303" s="11">
        <f>INT(C2303)</f>
        <v/>
      </c>
    </row>
    <row r="2304">
      <c r="A2304" s="2" t="inlineStr">
        <is>
          <t>EXD55</t>
        </is>
      </c>
      <c r="B2304" s="3" t="n">
        <v>46077.25</v>
      </c>
      <c r="C2304" s="3" t="n">
        <v>46077.42265046296</v>
      </c>
      <c r="D2304" s="4">
        <f>(C2304-B2304)*24</f>
        <v/>
      </c>
      <c r="E2304" s="5">
        <f>IF(AND(HOUR(B2304)&gt;=6,HOUR(B2304)&lt;18),"Day Shift","Night Shift")</f>
        <v/>
      </c>
      <c r="F2304" s="6">
        <f>INT(B2304)</f>
        <v/>
      </c>
      <c r="G2304" s="6">
        <f>INT(C2304)</f>
        <v/>
      </c>
    </row>
    <row r="2305">
      <c r="A2305" s="7" t="inlineStr">
        <is>
          <t>DRE42</t>
        </is>
      </c>
      <c r="B2305" s="8" t="n">
        <v>46076.0952662037</v>
      </c>
      <c r="C2305" s="8" t="n">
        <v>46076.25</v>
      </c>
      <c r="D2305" s="9">
        <f>(C2305-B2305)*24</f>
        <v/>
      </c>
      <c r="E2305" s="10">
        <f>IF(AND(HOUR(B2305)&gt;=6,HOUR(B2305)&lt;18),"Day Shift","Night Shift")</f>
        <v/>
      </c>
      <c r="F2305" s="11">
        <f>INT(B2305)</f>
        <v/>
      </c>
      <c r="G2305" s="11">
        <f>INT(C2305)</f>
        <v/>
      </c>
    </row>
    <row r="2306">
      <c r="A2306" s="2" t="inlineStr">
        <is>
          <t>DRE42</t>
        </is>
      </c>
      <c r="B2306" s="3" t="n">
        <v>46076.25</v>
      </c>
      <c r="C2306" s="3" t="n">
        <v>46076.75</v>
      </c>
      <c r="D2306" s="4">
        <f>(C2306-B2306)*24</f>
        <v/>
      </c>
      <c r="E2306" s="5">
        <f>IF(AND(HOUR(B2306)&gt;=6,HOUR(B2306)&lt;18),"Day Shift","Night Shift")</f>
        <v/>
      </c>
      <c r="F2306" s="6">
        <f>INT(B2306)</f>
        <v/>
      </c>
      <c r="G2306" s="6">
        <f>INT(C2306)</f>
        <v/>
      </c>
    </row>
    <row r="2307">
      <c r="A2307" s="7" t="inlineStr">
        <is>
          <t>DRE42</t>
        </is>
      </c>
      <c r="B2307" s="8" t="n">
        <v>46076.75</v>
      </c>
      <c r="C2307" s="8" t="n">
        <v>46077.25</v>
      </c>
      <c r="D2307" s="9">
        <f>(C2307-B2307)*24</f>
        <v/>
      </c>
      <c r="E2307" s="10">
        <f>IF(AND(HOUR(B2307)&gt;=6,HOUR(B2307)&lt;18),"Day Shift","Night Shift")</f>
        <v/>
      </c>
      <c r="F2307" s="11">
        <f>INT(B2307)</f>
        <v/>
      </c>
      <c r="G2307" s="11">
        <f>INT(C2307)</f>
        <v/>
      </c>
    </row>
    <row r="2308">
      <c r="A2308" s="2" t="inlineStr">
        <is>
          <t>DRE42</t>
        </is>
      </c>
      <c r="B2308" s="3" t="n">
        <v>46077.25</v>
      </c>
      <c r="C2308" s="3" t="n">
        <v>46077.75</v>
      </c>
      <c r="D2308" s="4">
        <f>(C2308-B2308)*24</f>
        <v/>
      </c>
      <c r="E2308" s="5">
        <f>IF(AND(HOUR(B2308)&gt;=6,HOUR(B2308)&lt;18),"Day Shift","Night Shift")</f>
        <v/>
      </c>
      <c r="F2308" s="6">
        <f>INT(B2308)</f>
        <v/>
      </c>
      <c r="G2308" s="6">
        <f>INT(C2308)</f>
        <v/>
      </c>
    </row>
    <row r="2309">
      <c r="A2309" s="7" t="inlineStr">
        <is>
          <t>DRE42</t>
        </is>
      </c>
      <c r="B2309" s="8" t="n">
        <v>46077.75</v>
      </c>
      <c r="C2309" s="8" t="n">
        <v>46077.91302083333</v>
      </c>
      <c r="D2309" s="9">
        <f>(C2309-B2309)*24</f>
        <v/>
      </c>
      <c r="E2309" s="10">
        <f>IF(AND(HOUR(B2309)&gt;=6,HOUR(B2309)&lt;18),"Day Shift","Night Shift")</f>
        <v/>
      </c>
      <c r="F2309" s="11">
        <f>INT(B2309)</f>
        <v/>
      </c>
      <c r="G2309" s="11">
        <f>INT(C2309)</f>
        <v/>
      </c>
    </row>
    <row r="2310">
      <c r="A2310" s="7" t="inlineStr">
        <is>
          <t>EXD409</t>
        </is>
      </c>
      <c r="B2310" s="8" t="n">
        <v>46076.11175925926</v>
      </c>
      <c r="C2310" s="8" t="n">
        <v>46076.25</v>
      </c>
      <c r="D2310" s="9">
        <f>(C2310-B2310)*24</f>
        <v/>
      </c>
      <c r="E2310" s="10">
        <f>IF(AND(HOUR(B2310)&gt;=6,HOUR(B2310)&lt;18),"Day Shift","Night Shift")</f>
        <v/>
      </c>
      <c r="F2310" s="11">
        <f>INT(B2310)</f>
        <v/>
      </c>
      <c r="G2310" s="11">
        <f>INT(C2310)</f>
        <v/>
      </c>
    </row>
    <row r="2311">
      <c r="A2311" s="2" t="inlineStr">
        <is>
          <t>EXD409</t>
        </is>
      </c>
      <c r="B2311" s="3" t="n">
        <v>46076.25</v>
      </c>
      <c r="C2311" s="3" t="n">
        <v>46076.75</v>
      </c>
      <c r="D2311" s="4">
        <f>(C2311-B2311)*24</f>
        <v/>
      </c>
      <c r="E2311" s="5">
        <f>IF(AND(HOUR(B2311)&gt;=6,HOUR(B2311)&lt;18),"Day Shift","Night Shift")</f>
        <v/>
      </c>
      <c r="F2311" s="6">
        <f>INT(B2311)</f>
        <v/>
      </c>
      <c r="G2311" s="6">
        <f>INT(C2311)</f>
        <v/>
      </c>
    </row>
    <row r="2312">
      <c r="A2312" s="7" t="inlineStr">
        <is>
          <t>EXD409</t>
        </is>
      </c>
      <c r="B2312" s="8" t="n">
        <v>46076.75</v>
      </c>
      <c r="C2312" s="8" t="n">
        <v>46077.25</v>
      </c>
      <c r="D2312" s="9">
        <f>(C2312-B2312)*24</f>
        <v/>
      </c>
      <c r="E2312" s="10">
        <f>IF(AND(HOUR(B2312)&gt;=6,HOUR(B2312)&lt;18),"Day Shift","Night Shift")</f>
        <v/>
      </c>
      <c r="F2312" s="11">
        <f>INT(B2312)</f>
        <v/>
      </c>
      <c r="G2312" s="11">
        <f>INT(C2312)</f>
        <v/>
      </c>
    </row>
    <row r="2313">
      <c r="A2313" s="2" t="inlineStr">
        <is>
          <t>EXD409</t>
        </is>
      </c>
      <c r="B2313" s="3" t="n">
        <v>46077.25</v>
      </c>
      <c r="C2313" s="3" t="n">
        <v>46077.75</v>
      </c>
      <c r="D2313" s="4">
        <f>(C2313-B2313)*24</f>
        <v/>
      </c>
      <c r="E2313" s="5">
        <f>IF(AND(HOUR(B2313)&gt;=6,HOUR(B2313)&lt;18),"Day Shift","Night Shift")</f>
        <v/>
      </c>
      <c r="F2313" s="6">
        <f>INT(B2313)</f>
        <v/>
      </c>
      <c r="G2313" s="6">
        <f>INT(C2313)</f>
        <v/>
      </c>
    </row>
    <row r="2314">
      <c r="A2314" s="7" t="inlineStr">
        <is>
          <t>EXD409</t>
        </is>
      </c>
      <c r="B2314" s="8" t="n">
        <v>46077.75</v>
      </c>
      <c r="C2314" s="8" t="n">
        <v>46077.9165162037</v>
      </c>
      <c r="D2314" s="9">
        <f>(C2314-B2314)*24</f>
        <v/>
      </c>
      <c r="E2314" s="10">
        <f>IF(AND(HOUR(B2314)&gt;=6,HOUR(B2314)&lt;18),"Day Shift","Night Shift")</f>
        <v/>
      </c>
      <c r="F2314" s="11">
        <f>INT(B2314)</f>
        <v/>
      </c>
      <c r="G2314" s="11">
        <f>INT(C2314)</f>
        <v/>
      </c>
    </row>
    <row r="2315">
      <c r="A2315" s="7" t="inlineStr">
        <is>
          <t>Blast Crew</t>
        </is>
      </c>
      <c r="B2315" s="8" t="n">
        <v>46076.18251157407</v>
      </c>
      <c r="C2315" s="8" t="n">
        <v>46076.25</v>
      </c>
      <c r="D2315" s="9">
        <f>(C2315-B2315)*24</f>
        <v/>
      </c>
      <c r="E2315" s="10">
        <f>IF(AND(HOUR(B2315)&gt;=6,HOUR(B2315)&lt;18),"Day Shift","Night Shift")</f>
        <v/>
      </c>
      <c r="F2315" s="11">
        <f>INT(B2315)</f>
        <v/>
      </c>
      <c r="G2315" s="11">
        <f>INT(C2315)</f>
        <v/>
      </c>
    </row>
    <row r="2316">
      <c r="A2316" s="2" t="inlineStr">
        <is>
          <t>Blast Crew</t>
        </is>
      </c>
      <c r="B2316" s="3" t="n">
        <v>46076.25</v>
      </c>
      <c r="C2316" s="3" t="n">
        <v>46076.3509837963</v>
      </c>
      <c r="D2316" s="4">
        <f>(C2316-B2316)*24</f>
        <v/>
      </c>
      <c r="E2316" s="5">
        <f>IF(AND(HOUR(B2316)&gt;=6,HOUR(B2316)&lt;18),"Day Shift","Night Shift")</f>
        <v/>
      </c>
      <c r="F2316" s="6">
        <f>INT(B2316)</f>
        <v/>
      </c>
      <c r="G2316" s="6">
        <f>INT(C2316)</f>
        <v/>
      </c>
    </row>
    <row r="2317">
      <c r="A2317" s="2" t="inlineStr">
        <is>
          <t>EDD812;EDD1932</t>
        </is>
      </c>
      <c r="B2317" s="3" t="n">
        <v>46076.25625</v>
      </c>
      <c r="C2317" s="3" t="n">
        <v>46076.58236111111</v>
      </c>
      <c r="D2317" s="4">
        <f>(C2317-B2317)*24</f>
        <v/>
      </c>
      <c r="E2317" s="5">
        <f>IF(AND(HOUR(B2317)&gt;=6,HOUR(B2317)&lt;18),"Day Shift","Night Shift")</f>
        <v/>
      </c>
      <c r="F2317" s="6">
        <f>INT(B2317)</f>
        <v/>
      </c>
      <c r="G2317" s="6">
        <f>INT(C2317)</f>
        <v/>
      </c>
    </row>
    <row r="2318">
      <c r="A2318" s="2" t="inlineStr">
        <is>
          <t>EXD408</t>
        </is>
      </c>
      <c r="B2318" s="3" t="n">
        <v>46076.44854166666</v>
      </c>
      <c r="C2318" s="3" t="n">
        <v>46076.75</v>
      </c>
      <c r="D2318" s="4">
        <f>(C2318-B2318)*24</f>
        <v/>
      </c>
      <c r="E2318" s="5">
        <f>IF(AND(HOUR(B2318)&gt;=6,HOUR(B2318)&lt;18),"Day Shift","Night Shift")</f>
        <v/>
      </c>
      <c r="F2318" s="6">
        <f>INT(B2318)</f>
        <v/>
      </c>
      <c r="G2318" s="6">
        <f>INT(C2318)</f>
        <v/>
      </c>
    </row>
    <row r="2319">
      <c r="A2319" s="7" t="inlineStr">
        <is>
          <t>EXD408</t>
        </is>
      </c>
      <c r="B2319" s="8" t="n">
        <v>46076.75</v>
      </c>
      <c r="C2319" s="8" t="n">
        <v>46076.82708333333</v>
      </c>
      <c r="D2319" s="9">
        <f>(C2319-B2319)*24</f>
        <v/>
      </c>
      <c r="E2319" s="10">
        <f>IF(AND(HOUR(B2319)&gt;=6,HOUR(B2319)&lt;18),"Day Shift","Night Shift")</f>
        <v/>
      </c>
      <c r="F2319" s="11">
        <f>INT(B2319)</f>
        <v/>
      </c>
      <c r="G2319" s="11">
        <f>INT(C2319)</f>
        <v/>
      </c>
    </row>
    <row r="2320">
      <c r="A2320" s="2" t="inlineStr">
        <is>
          <t>EXD98</t>
        </is>
      </c>
      <c r="B2320" s="3" t="n">
        <v>46076.44854166666</v>
      </c>
      <c r="C2320" s="3" t="n">
        <v>46076.75</v>
      </c>
      <c r="D2320" s="4">
        <f>(C2320-B2320)*24</f>
        <v/>
      </c>
      <c r="E2320" s="5">
        <f>IF(AND(HOUR(B2320)&gt;=6,HOUR(B2320)&lt;18),"Day Shift","Night Shift")</f>
        <v/>
      </c>
      <c r="F2320" s="6">
        <f>INT(B2320)</f>
        <v/>
      </c>
      <c r="G2320" s="6">
        <f>INT(C2320)</f>
        <v/>
      </c>
    </row>
    <row r="2321">
      <c r="A2321" s="7" t="inlineStr">
        <is>
          <t>EXD98</t>
        </is>
      </c>
      <c r="B2321" s="8" t="n">
        <v>46076.75</v>
      </c>
      <c r="C2321" s="8" t="n">
        <v>46077.25</v>
      </c>
      <c r="D2321" s="9">
        <f>(C2321-B2321)*24</f>
        <v/>
      </c>
      <c r="E2321" s="10">
        <f>IF(AND(HOUR(B2321)&gt;=6,HOUR(B2321)&lt;18),"Day Shift","Night Shift")</f>
        <v/>
      </c>
      <c r="F2321" s="11">
        <f>INT(B2321)</f>
        <v/>
      </c>
      <c r="G2321" s="11">
        <f>INT(C2321)</f>
        <v/>
      </c>
    </row>
    <row r="2322">
      <c r="A2322" s="2" t="inlineStr">
        <is>
          <t>EXD98</t>
        </is>
      </c>
      <c r="B2322" s="3" t="n">
        <v>46077.25</v>
      </c>
      <c r="C2322" s="3" t="n">
        <v>46077.2953125</v>
      </c>
      <c r="D2322" s="4">
        <f>(C2322-B2322)*24</f>
        <v/>
      </c>
      <c r="E2322" s="5">
        <f>IF(AND(HOUR(B2322)&gt;=6,HOUR(B2322)&lt;18),"Day Shift","Night Shift")</f>
        <v/>
      </c>
      <c r="F2322" s="6">
        <f>INT(B2322)</f>
        <v/>
      </c>
      <c r="G2322" s="6">
        <f>INT(C2322)</f>
        <v/>
      </c>
    </row>
    <row r="2323">
      <c r="A2323" s="2" t="inlineStr">
        <is>
          <t>EXD407</t>
        </is>
      </c>
      <c r="B2323" s="3" t="n">
        <v>46076.48752314815</v>
      </c>
      <c r="C2323" s="3" t="n">
        <v>46076.75</v>
      </c>
      <c r="D2323" s="4">
        <f>(C2323-B2323)*24</f>
        <v/>
      </c>
      <c r="E2323" s="5">
        <f>IF(AND(HOUR(B2323)&gt;=6,HOUR(B2323)&lt;18),"Day Shift","Night Shift")</f>
        <v/>
      </c>
      <c r="F2323" s="6">
        <f>INT(B2323)</f>
        <v/>
      </c>
      <c r="G2323" s="6">
        <f>INT(C2323)</f>
        <v/>
      </c>
    </row>
    <row r="2324">
      <c r="A2324" s="7" t="inlineStr">
        <is>
          <t>EXD407</t>
        </is>
      </c>
      <c r="B2324" s="8" t="n">
        <v>46076.75</v>
      </c>
      <c r="C2324" s="8" t="n">
        <v>46077.25</v>
      </c>
      <c r="D2324" s="9">
        <f>(C2324-B2324)*24</f>
        <v/>
      </c>
      <c r="E2324" s="10">
        <f>IF(AND(HOUR(B2324)&gt;=6,HOUR(B2324)&lt;18),"Day Shift","Night Shift")</f>
        <v/>
      </c>
      <c r="F2324" s="11">
        <f>INT(B2324)</f>
        <v/>
      </c>
      <c r="G2324" s="11">
        <f>INT(C2324)</f>
        <v/>
      </c>
    </row>
    <row r="2325">
      <c r="A2325" s="2" t="inlineStr">
        <is>
          <t>EXD407</t>
        </is>
      </c>
      <c r="B2325" s="3" t="n">
        <v>46077.25</v>
      </c>
      <c r="C2325" s="3" t="n">
        <v>46077.75</v>
      </c>
      <c r="D2325" s="4">
        <f>(C2325-B2325)*24</f>
        <v/>
      </c>
      <c r="E2325" s="5">
        <f>IF(AND(HOUR(B2325)&gt;=6,HOUR(B2325)&lt;18),"Day Shift","Night Shift")</f>
        <v/>
      </c>
      <c r="F2325" s="6">
        <f>INT(B2325)</f>
        <v/>
      </c>
      <c r="G2325" s="6">
        <f>INT(C2325)</f>
        <v/>
      </c>
    </row>
    <row r="2326">
      <c r="A2326" s="7" t="inlineStr">
        <is>
          <t>EXD407</t>
        </is>
      </c>
      <c r="B2326" s="8" t="n">
        <v>46077.75</v>
      </c>
      <c r="C2326" s="8" t="n">
        <v>46078.25</v>
      </c>
      <c r="D2326" s="9">
        <f>(C2326-B2326)*24</f>
        <v/>
      </c>
      <c r="E2326" s="10">
        <f>IF(AND(HOUR(B2326)&gt;=6,HOUR(B2326)&lt;18),"Day Shift","Night Shift")</f>
        <v/>
      </c>
      <c r="F2326" s="11">
        <f>INT(B2326)</f>
        <v/>
      </c>
      <c r="G2326" s="11">
        <f>INT(C2326)</f>
        <v/>
      </c>
    </row>
    <row r="2327">
      <c r="A2327" s="2" t="inlineStr">
        <is>
          <t>EXD407</t>
        </is>
      </c>
      <c r="B2327" s="3" t="n">
        <v>46078.25</v>
      </c>
      <c r="C2327" s="3" t="n">
        <v>46078.75</v>
      </c>
      <c r="D2327" s="4">
        <f>(C2327-B2327)*24</f>
        <v/>
      </c>
      <c r="E2327" s="5">
        <f>IF(AND(HOUR(B2327)&gt;=6,HOUR(B2327)&lt;18),"Day Shift","Night Shift")</f>
        <v/>
      </c>
      <c r="F2327" s="6">
        <f>INT(B2327)</f>
        <v/>
      </c>
      <c r="G2327" s="6">
        <f>INT(C2327)</f>
        <v/>
      </c>
    </row>
    <row r="2328">
      <c r="A2328" s="7" t="inlineStr">
        <is>
          <t>EXD407</t>
        </is>
      </c>
      <c r="B2328" s="8" t="n">
        <v>46078.75</v>
      </c>
      <c r="C2328" s="8" t="n">
        <v>46079.17550925926</v>
      </c>
      <c r="D2328" s="9">
        <f>(C2328-B2328)*24</f>
        <v/>
      </c>
      <c r="E2328" s="10">
        <f>IF(AND(HOUR(B2328)&gt;=6,HOUR(B2328)&lt;18),"Day Shift","Night Shift")</f>
        <v/>
      </c>
      <c r="F2328" s="11">
        <f>INT(B2328)</f>
        <v/>
      </c>
      <c r="G2328" s="11">
        <f>INT(C2328)</f>
        <v/>
      </c>
    </row>
    <row r="2329">
      <c r="A2329" s="2" t="inlineStr">
        <is>
          <t>EXD52</t>
        </is>
      </c>
      <c r="B2329" s="3" t="n">
        <v>46076.49140046296</v>
      </c>
      <c r="C2329" s="3" t="n">
        <v>46076.75</v>
      </c>
      <c r="D2329" s="4">
        <f>(C2329-B2329)*24</f>
        <v/>
      </c>
      <c r="E2329" s="5">
        <f>IF(AND(HOUR(B2329)&gt;=6,HOUR(B2329)&lt;18),"Day Shift","Night Shift")</f>
        <v/>
      </c>
      <c r="F2329" s="6">
        <f>INT(B2329)</f>
        <v/>
      </c>
      <c r="G2329" s="6">
        <f>INT(C2329)</f>
        <v/>
      </c>
    </row>
    <row r="2330">
      <c r="A2330" s="7" t="inlineStr">
        <is>
          <t>EXD52</t>
        </is>
      </c>
      <c r="B2330" s="8" t="n">
        <v>46076.75</v>
      </c>
      <c r="C2330" s="8" t="n">
        <v>46077.25</v>
      </c>
      <c r="D2330" s="9">
        <f>(C2330-B2330)*24</f>
        <v/>
      </c>
      <c r="E2330" s="10">
        <f>IF(AND(HOUR(B2330)&gt;=6,HOUR(B2330)&lt;18),"Day Shift","Night Shift")</f>
        <v/>
      </c>
      <c r="F2330" s="11">
        <f>INT(B2330)</f>
        <v/>
      </c>
      <c r="G2330" s="11">
        <f>INT(C2330)</f>
        <v/>
      </c>
    </row>
    <row r="2331">
      <c r="A2331" s="2" t="inlineStr">
        <is>
          <t>EXD52</t>
        </is>
      </c>
      <c r="B2331" s="3" t="n">
        <v>46077.25</v>
      </c>
      <c r="C2331" s="3" t="n">
        <v>46077.75</v>
      </c>
      <c r="D2331" s="4">
        <f>(C2331-B2331)*24</f>
        <v/>
      </c>
      <c r="E2331" s="5">
        <f>IF(AND(HOUR(B2331)&gt;=6,HOUR(B2331)&lt;18),"Day Shift","Night Shift")</f>
        <v/>
      </c>
      <c r="F2331" s="6">
        <f>INT(B2331)</f>
        <v/>
      </c>
      <c r="G2331" s="6">
        <f>INT(C2331)</f>
        <v/>
      </c>
    </row>
    <row r="2332">
      <c r="A2332" s="7" t="inlineStr">
        <is>
          <t>EXD52</t>
        </is>
      </c>
      <c r="B2332" s="8" t="n">
        <v>46077.75</v>
      </c>
      <c r="C2332" s="8" t="n">
        <v>46078.25</v>
      </c>
      <c r="D2332" s="9">
        <f>(C2332-B2332)*24</f>
        <v/>
      </c>
      <c r="E2332" s="10">
        <f>IF(AND(HOUR(B2332)&gt;=6,HOUR(B2332)&lt;18),"Day Shift","Night Shift")</f>
        <v/>
      </c>
      <c r="F2332" s="11">
        <f>INT(B2332)</f>
        <v/>
      </c>
      <c r="G2332" s="11">
        <f>INT(C2332)</f>
        <v/>
      </c>
    </row>
    <row r="2333">
      <c r="A2333" s="2" t="inlineStr">
        <is>
          <t>EXD52</t>
        </is>
      </c>
      <c r="B2333" s="3" t="n">
        <v>46078.25</v>
      </c>
      <c r="C2333" s="3" t="n">
        <v>46078.75</v>
      </c>
      <c r="D2333" s="4">
        <f>(C2333-B2333)*24</f>
        <v/>
      </c>
      <c r="E2333" s="5">
        <f>IF(AND(HOUR(B2333)&gt;=6,HOUR(B2333)&lt;18),"Day Shift","Night Shift")</f>
        <v/>
      </c>
      <c r="F2333" s="6">
        <f>INT(B2333)</f>
        <v/>
      </c>
      <c r="G2333" s="6">
        <f>INT(C2333)</f>
        <v/>
      </c>
    </row>
    <row r="2334">
      <c r="A2334" s="7" t="inlineStr">
        <is>
          <t>EXD52</t>
        </is>
      </c>
      <c r="B2334" s="8" t="n">
        <v>46078.75</v>
      </c>
      <c r="C2334" s="8" t="n">
        <v>46079.25</v>
      </c>
      <c r="D2334" s="9">
        <f>(C2334-B2334)*24</f>
        <v/>
      </c>
      <c r="E2334" s="10">
        <f>IF(AND(HOUR(B2334)&gt;=6,HOUR(B2334)&lt;18),"Day Shift","Night Shift")</f>
        <v/>
      </c>
      <c r="F2334" s="11">
        <f>INT(B2334)</f>
        <v/>
      </c>
      <c r="G2334" s="11">
        <f>INT(C2334)</f>
        <v/>
      </c>
    </row>
    <row r="2335">
      <c r="A2335" s="2" t="inlineStr">
        <is>
          <t>EXD52</t>
        </is>
      </c>
      <c r="B2335" s="3" t="n">
        <v>46079.25</v>
      </c>
      <c r="C2335" s="3" t="n">
        <v>46079.60292824074</v>
      </c>
      <c r="D2335" s="4">
        <f>(C2335-B2335)*24</f>
        <v/>
      </c>
      <c r="E2335" s="5">
        <f>IF(AND(HOUR(B2335)&gt;=6,HOUR(B2335)&lt;18),"Day Shift","Night Shift")</f>
        <v/>
      </c>
      <c r="F2335" s="6">
        <f>INT(B2335)</f>
        <v/>
      </c>
      <c r="G2335" s="6">
        <f>INT(C2335)</f>
        <v/>
      </c>
    </row>
    <row r="2336">
      <c r="A2336" s="2" t="inlineStr">
        <is>
          <t>EXD100</t>
        </is>
      </c>
      <c r="B2336" s="3" t="n">
        <v>46076.52523148148</v>
      </c>
      <c r="C2336" s="3" t="n">
        <v>46076.75</v>
      </c>
      <c r="D2336" s="4">
        <f>(C2336-B2336)*24</f>
        <v/>
      </c>
      <c r="E2336" s="5">
        <f>IF(AND(HOUR(B2336)&gt;=6,HOUR(B2336)&lt;18),"Day Shift","Night Shift")</f>
        <v/>
      </c>
      <c r="F2336" s="6">
        <f>INT(B2336)</f>
        <v/>
      </c>
      <c r="G2336" s="6">
        <f>INT(C2336)</f>
        <v/>
      </c>
    </row>
    <row r="2337">
      <c r="A2337" s="7" t="inlineStr">
        <is>
          <t>EXD100</t>
        </is>
      </c>
      <c r="B2337" s="8" t="n">
        <v>46076.75</v>
      </c>
      <c r="C2337" s="8" t="n">
        <v>46076.94539351852</v>
      </c>
      <c r="D2337" s="9">
        <f>(C2337-B2337)*24</f>
        <v/>
      </c>
      <c r="E2337" s="10">
        <f>IF(AND(HOUR(B2337)&gt;=6,HOUR(B2337)&lt;18),"Day Shift","Night Shift")</f>
        <v/>
      </c>
      <c r="F2337" s="11">
        <f>INT(B2337)</f>
        <v/>
      </c>
      <c r="G2337" s="11">
        <f>INT(C2337)</f>
        <v/>
      </c>
    </row>
    <row r="2338">
      <c r="A2338" s="2" t="inlineStr">
        <is>
          <t>EDD175</t>
        </is>
      </c>
      <c r="B2338" s="3" t="n">
        <v>46076.54515046296</v>
      </c>
      <c r="C2338" s="3" t="n">
        <v>46076.72293981481</v>
      </c>
      <c r="D2338" s="4">
        <f>(C2338-B2338)*24</f>
        <v/>
      </c>
      <c r="E2338" s="5">
        <f>IF(AND(HOUR(B2338)&gt;=6,HOUR(B2338)&lt;18),"Day Shift","Night Shift")</f>
        <v/>
      </c>
      <c r="F2338" s="6">
        <f>INT(B2338)</f>
        <v/>
      </c>
      <c r="G2338" s="6">
        <f>INT(C2338)</f>
        <v/>
      </c>
    </row>
    <row r="2339">
      <c r="A2339" s="2" t="inlineStr">
        <is>
          <t>SHE36</t>
        </is>
      </c>
      <c r="B2339" s="3" t="n">
        <v>46076.54827546296</v>
      </c>
      <c r="C2339" s="3" t="n">
        <v>46076.75</v>
      </c>
      <c r="D2339" s="4">
        <f>(C2339-B2339)*24</f>
        <v/>
      </c>
      <c r="E2339" s="5">
        <f>IF(AND(HOUR(B2339)&gt;=6,HOUR(B2339)&lt;18),"Day Shift","Night Shift")</f>
        <v/>
      </c>
      <c r="F2339" s="6">
        <f>INT(B2339)</f>
        <v/>
      </c>
      <c r="G2339" s="6">
        <f>INT(C2339)</f>
        <v/>
      </c>
    </row>
    <row r="2340">
      <c r="A2340" s="7" t="inlineStr">
        <is>
          <t>SHE36</t>
        </is>
      </c>
      <c r="B2340" s="8" t="n">
        <v>46076.75</v>
      </c>
      <c r="C2340" s="8" t="n">
        <v>46077.25</v>
      </c>
      <c r="D2340" s="9">
        <f>(C2340-B2340)*24</f>
        <v/>
      </c>
      <c r="E2340" s="10">
        <f>IF(AND(HOUR(B2340)&gt;=6,HOUR(B2340)&lt;18),"Day Shift","Night Shift")</f>
        <v/>
      </c>
      <c r="F2340" s="11">
        <f>INT(B2340)</f>
        <v/>
      </c>
      <c r="G2340" s="11">
        <f>INT(C2340)</f>
        <v/>
      </c>
    </row>
    <row r="2341">
      <c r="A2341" s="2" t="inlineStr">
        <is>
          <t>SHE36</t>
        </is>
      </c>
      <c r="B2341" s="3" t="n">
        <v>46077.25</v>
      </c>
      <c r="C2341" s="3" t="n">
        <v>46077.38780092593</v>
      </c>
      <c r="D2341" s="4">
        <f>(C2341-B2341)*24</f>
        <v/>
      </c>
      <c r="E2341" s="5">
        <f>IF(AND(HOUR(B2341)&gt;=6,HOUR(B2341)&lt;18),"Day Shift","Night Shift")</f>
        <v/>
      </c>
      <c r="F2341" s="6">
        <f>INT(B2341)</f>
        <v/>
      </c>
      <c r="G2341" s="6">
        <f>INT(C2341)</f>
        <v/>
      </c>
    </row>
    <row r="2342">
      <c r="A2342" s="2" t="inlineStr">
        <is>
          <t>EXD101</t>
        </is>
      </c>
      <c r="B2342" s="3" t="n">
        <v>46076.55388888889</v>
      </c>
      <c r="C2342" s="3" t="n">
        <v>46076.75</v>
      </c>
      <c r="D2342" s="4">
        <f>(C2342-B2342)*24</f>
        <v/>
      </c>
      <c r="E2342" s="5">
        <f>IF(AND(HOUR(B2342)&gt;=6,HOUR(B2342)&lt;18),"Day Shift","Night Shift")</f>
        <v/>
      </c>
      <c r="F2342" s="6">
        <f>INT(B2342)</f>
        <v/>
      </c>
      <c r="G2342" s="6">
        <f>INT(C2342)</f>
        <v/>
      </c>
    </row>
    <row r="2343">
      <c r="A2343" s="7" t="inlineStr">
        <is>
          <t>EXD101</t>
        </is>
      </c>
      <c r="B2343" s="8" t="n">
        <v>46076.75</v>
      </c>
      <c r="C2343" s="8" t="n">
        <v>46076.9102662037</v>
      </c>
      <c r="D2343" s="9">
        <f>(C2343-B2343)*24</f>
        <v/>
      </c>
      <c r="E2343" s="10">
        <f>IF(AND(HOUR(B2343)&gt;=6,HOUR(B2343)&lt;18),"Day Shift","Night Shift")</f>
        <v/>
      </c>
      <c r="F2343" s="11">
        <f>INT(B2343)</f>
        <v/>
      </c>
      <c r="G2343" s="11">
        <f>INT(C2343)</f>
        <v/>
      </c>
    </row>
    <row r="2344">
      <c r="A2344" s="2" t="inlineStr">
        <is>
          <t>EDD2134;EDD2541</t>
        </is>
      </c>
      <c r="B2344" s="3" t="n">
        <v>46076.56008101852</v>
      </c>
      <c r="C2344" s="3" t="n">
        <v>46076.75</v>
      </c>
      <c r="D2344" s="4">
        <f>(C2344-B2344)*24</f>
        <v/>
      </c>
      <c r="E2344" s="5">
        <f>IF(AND(HOUR(B2344)&gt;=6,HOUR(B2344)&lt;18),"Day Shift","Night Shift")</f>
        <v/>
      </c>
      <c r="F2344" s="6">
        <f>INT(B2344)</f>
        <v/>
      </c>
      <c r="G2344" s="6">
        <f>INT(C2344)</f>
        <v/>
      </c>
    </row>
    <row r="2345">
      <c r="A2345" s="7" t="inlineStr">
        <is>
          <t>EDD2134;EDD2541</t>
        </is>
      </c>
      <c r="B2345" s="8" t="n">
        <v>46076.75</v>
      </c>
      <c r="C2345" s="8" t="n">
        <v>46076.9100925926</v>
      </c>
      <c r="D2345" s="9">
        <f>(C2345-B2345)*24</f>
        <v/>
      </c>
      <c r="E2345" s="10">
        <f>IF(AND(HOUR(B2345)&gt;=6,HOUR(B2345)&lt;18),"Day Shift","Night Shift")</f>
        <v/>
      </c>
      <c r="F2345" s="11">
        <f>INT(B2345)</f>
        <v/>
      </c>
      <c r="G2345" s="11">
        <f>INT(C2345)</f>
        <v/>
      </c>
    </row>
    <row r="2346">
      <c r="A2346" s="2" t="inlineStr">
        <is>
          <t>EXD56</t>
        </is>
      </c>
      <c r="B2346" s="3" t="n">
        <v>46076.57295138889</v>
      </c>
      <c r="C2346" s="3" t="n">
        <v>46076.75</v>
      </c>
      <c r="D2346" s="4">
        <f>(C2346-B2346)*24</f>
        <v/>
      </c>
      <c r="E2346" s="5">
        <f>IF(AND(HOUR(B2346)&gt;=6,HOUR(B2346)&lt;18),"Day Shift","Night Shift")</f>
        <v/>
      </c>
      <c r="F2346" s="6">
        <f>INT(B2346)</f>
        <v/>
      </c>
      <c r="G2346" s="6">
        <f>INT(C2346)</f>
        <v/>
      </c>
    </row>
    <row r="2347">
      <c r="A2347" s="7" t="inlineStr">
        <is>
          <t>EXD56</t>
        </is>
      </c>
      <c r="B2347" s="8" t="n">
        <v>46076.75</v>
      </c>
      <c r="C2347" s="8" t="n">
        <v>46077.25</v>
      </c>
      <c r="D2347" s="9">
        <f>(C2347-B2347)*24</f>
        <v/>
      </c>
      <c r="E2347" s="10">
        <f>IF(AND(HOUR(B2347)&gt;=6,HOUR(B2347)&lt;18),"Day Shift","Night Shift")</f>
        <v/>
      </c>
      <c r="F2347" s="11">
        <f>INT(B2347)</f>
        <v/>
      </c>
      <c r="G2347" s="11">
        <f>INT(C2347)</f>
        <v/>
      </c>
    </row>
    <row r="2348">
      <c r="A2348" s="2" t="inlineStr">
        <is>
          <t>EXD56</t>
        </is>
      </c>
      <c r="B2348" s="3" t="n">
        <v>46077.25</v>
      </c>
      <c r="C2348" s="3" t="n">
        <v>46077.5906712963</v>
      </c>
      <c r="D2348" s="4">
        <f>(C2348-B2348)*24</f>
        <v/>
      </c>
      <c r="E2348" s="5">
        <f>IF(AND(HOUR(B2348)&gt;=6,HOUR(B2348)&lt;18),"Day Shift","Night Shift")</f>
        <v/>
      </c>
      <c r="F2348" s="6">
        <f>INT(B2348)</f>
        <v/>
      </c>
      <c r="G2348" s="6">
        <f>INT(C2348)</f>
        <v/>
      </c>
    </row>
    <row r="2349">
      <c r="A2349" s="2" t="inlineStr">
        <is>
          <t>LDW265</t>
        </is>
      </c>
      <c r="B2349" s="3" t="n">
        <v>46076.57900462963</v>
      </c>
      <c r="C2349" s="3" t="n">
        <v>46076.75</v>
      </c>
      <c r="D2349" s="4">
        <f>(C2349-B2349)*24</f>
        <v/>
      </c>
      <c r="E2349" s="5">
        <f>IF(AND(HOUR(B2349)&gt;=6,HOUR(B2349)&lt;18),"Day Shift","Night Shift")</f>
        <v/>
      </c>
      <c r="F2349" s="6">
        <f>INT(B2349)</f>
        <v/>
      </c>
      <c r="G2349" s="6">
        <f>INT(C2349)</f>
        <v/>
      </c>
    </row>
    <row r="2350">
      <c r="A2350" s="7" t="inlineStr">
        <is>
          <t>LDW265</t>
        </is>
      </c>
      <c r="B2350" s="8" t="n">
        <v>46076.75</v>
      </c>
      <c r="C2350" s="8" t="n">
        <v>46077.25</v>
      </c>
      <c r="D2350" s="9">
        <f>(C2350-B2350)*24</f>
        <v/>
      </c>
      <c r="E2350" s="10">
        <f>IF(AND(HOUR(B2350)&gt;=6,HOUR(B2350)&lt;18),"Day Shift","Night Shift")</f>
        <v/>
      </c>
      <c r="F2350" s="11">
        <f>INT(B2350)</f>
        <v/>
      </c>
      <c r="G2350" s="11">
        <f>INT(C2350)</f>
        <v/>
      </c>
    </row>
    <row r="2351">
      <c r="A2351" s="2" t="inlineStr">
        <is>
          <t>LDW265</t>
        </is>
      </c>
      <c r="B2351" s="3" t="n">
        <v>46077.25</v>
      </c>
      <c r="C2351" s="3" t="n">
        <v>46077.6049537037</v>
      </c>
      <c r="D2351" s="4">
        <f>(C2351-B2351)*24</f>
        <v/>
      </c>
      <c r="E2351" s="5">
        <f>IF(AND(HOUR(B2351)&gt;=6,HOUR(B2351)&lt;18),"Day Shift","Night Shift")</f>
        <v/>
      </c>
      <c r="F2351" s="6">
        <f>INT(B2351)</f>
        <v/>
      </c>
      <c r="G2351" s="6">
        <f>INT(C2351)</f>
        <v/>
      </c>
    </row>
    <row r="2352">
      <c r="A2352" s="2" t="inlineStr">
        <is>
          <t>EDD1932</t>
        </is>
      </c>
      <c r="B2352" s="3" t="n">
        <v>46076.58236111111</v>
      </c>
      <c r="C2352" s="3" t="n">
        <v>46076.75</v>
      </c>
      <c r="D2352" s="4">
        <f>(C2352-B2352)*24</f>
        <v/>
      </c>
      <c r="E2352" s="5">
        <f>IF(AND(HOUR(B2352)&gt;=6,HOUR(B2352)&lt;18),"Day Shift","Night Shift")</f>
        <v/>
      </c>
      <c r="F2352" s="6">
        <f>INT(B2352)</f>
        <v/>
      </c>
      <c r="G2352" s="6">
        <f>INT(C2352)</f>
        <v/>
      </c>
    </row>
    <row r="2353">
      <c r="A2353" s="7" t="inlineStr">
        <is>
          <t>EDD1932</t>
        </is>
      </c>
      <c r="B2353" s="8" t="n">
        <v>46076.75</v>
      </c>
      <c r="C2353" s="8" t="n">
        <v>46077.22060185186</v>
      </c>
      <c r="D2353" s="9">
        <f>(C2353-B2353)*24</f>
        <v/>
      </c>
      <c r="E2353" s="10">
        <f>IF(AND(HOUR(B2353)&gt;=6,HOUR(B2353)&lt;18),"Day Shift","Night Shift")</f>
        <v/>
      </c>
      <c r="F2353" s="11">
        <f>INT(B2353)</f>
        <v/>
      </c>
      <c r="G2353" s="11">
        <f>INT(C2353)</f>
        <v/>
      </c>
    </row>
    <row r="2354">
      <c r="A2354" s="2" t="inlineStr">
        <is>
          <t>EDD812</t>
        </is>
      </c>
      <c r="B2354" s="3" t="n">
        <v>46076.58236111111</v>
      </c>
      <c r="C2354" s="3" t="n">
        <v>46076.75</v>
      </c>
      <c r="D2354" s="4">
        <f>(C2354-B2354)*24</f>
        <v/>
      </c>
      <c r="E2354" s="5">
        <f>IF(AND(HOUR(B2354)&gt;=6,HOUR(B2354)&lt;18),"Day Shift","Night Shift")</f>
        <v/>
      </c>
      <c r="F2354" s="6">
        <f>INT(B2354)</f>
        <v/>
      </c>
      <c r="G2354" s="6">
        <f>INT(C2354)</f>
        <v/>
      </c>
    </row>
    <row r="2355">
      <c r="A2355" s="7" t="inlineStr">
        <is>
          <t>EDD812</t>
        </is>
      </c>
      <c r="B2355" s="8" t="n">
        <v>46076.75</v>
      </c>
      <c r="C2355" s="8" t="n">
        <v>46077.20945601852</v>
      </c>
      <c r="D2355" s="9">
        <f>(C2355-B2355)*24</f>
        <v/>
      </c>
      <c r="E2355" s="10">
        <f>IF(AND(HOUR(B2355)&gt;=6,HOUR(B2355)&lt;18),"Day Shift","Night Shift")</f>
        <v/>
      </c>
      <c r="F2355" s="11">
        <f>INT(B2355)</f>
        <v/>
      </c>
      <c r="G2355" s="11">
        <f>INT(C2355)</f>
        <v/>
      </c>
    </row>
    <row r="2356">
      <c r="A2356" s="2" t="inlineStr">
        <is>
          <t>EDD175</t>
        </is>
      </c>
      <c r="B2356" s="3" t="n">
        <v>46076.72293981481</v>
      </c>
      <c r="C2356" s="3" t="n">
        <v>46076.75</v>
      </c>
      <c r="D2356" s="4">
        <f>(C2356-B2356)*24</f>
        <v/>
      </c>
      <c r="E2356" s="5">
        <f>IF(AND(HOUR(B2356)&gt;=6,HOUR(B2356)&lt;18),"Day Shift","Night Shift")</f>
        <v/>
      </c>
      <c r="F2356" s="6">
        <f>INT(B2356)</f>
        <v/>
      </c>
      <c r="G2356" s="6">
        <f>INT(C2356)</f>
        <v/>
      </c>
    </row>
    <row r="2357">
      <c r="A2357" s="7" t="inlineStr">
        <is>
          <t>EDD175</t>
        </is>
      </c>
      <c r="B2357" s="8" t="n">
        <v>46076.75</v>
      </c>
      <c r="C2357" s="8" t="n">
        <v>46077.03555555556</v>
      </c>
      <c r="D2357" s="9">
        <f>(C2357-B2357)*24</f>
        <v/>
      </c>
      <c r="E2357" s="10">
        <f>IF(AND(HOUR(B2357)&gt;=6,HOUR(B2357)&lt;18),"Day Shift","Night Shift")</f>
        <v/>
      </c>
      <c r="F2357" s="11">
        <f>INT(B2357)</f>
        <v/>
      </c>
      <c r="G2357" s="11">
        <f>INT(C2357)</f>
        <v/>
      </c>
    </row>
    <row r="2358">
      <c r="A2358" s="7" t="inlineStr">
        <is>
          <t>EXD51</t>
        </is>
      </c>
      <c r="B2358" s="8" t="n">
        <v>46076.81587962963</v>
      </c>
      <c r="C2358" s="8" t="n">
        <v>46077.25</v>
      </c>
      <c r="D2358" s="9">
        <f>(C2358-B2358)*24</f>
        <v/>
      </c>
      <c r="E2358" s="10">
        <f>IF(AND(HOUR(B2358)&gt;=6,HOUR(B2358)&lt;18),"Day Shift","Night Shift")</f>
        <v/>
      </c>
      <c r="F2358" s="11">
        <f>INT(B2358)</f>
        <v/>
      </c>
      <c r="G2358" s="11">
        <f>INT(C2358)</f>
        <v/>
      </c>
    </row>
    <row r="2359">
      <c r="A2359" s="2" t="inlineStr">
        <is>
          <t>EXD51</t>
        </is>
      </c>
      <c r="B2359" s="3" t="n">
        <v>46077.25</v>
      </c>
      <c r="C2359" s="3" t="n">
        <v>46077.51113425926</v>
      </c>
      <c r="D2359" s="4">
        <f>(C2359-B2359)*24</f>
        <v/>
      </c>
      <c r="E2359" s="5">
        <f>IF(AND(HOUR(B2359)&gt;=6,HOUR(B2359)&lt;18),"Day Shift","Night Shift")</f>
        <v/>
      </c>
      <c r="F2359" s="6">
        <f>INT(B2359)</f>
        <v/>
      </c>
      <c r="G2359" s="6">
        <f>INT(C2359)</f>
        <v/>
      </c>
    </row>
    <row r="2360">
      <c r="A2360" s="7" t="inlineStr">
        <is>
          <t>EXD408</t>
        </is>
      </c>
      <c r="B2360" s="8" t="n">
        <v>46076.82712962963</v>
      </c>
      <c r="C2360" s="8" t="n">
        <v>46077.1371412037</v>
      </c>
      <c r="D2360" s="9">
        <f>(C2360-B2360)*24</f>
        <v/>
      </c>
      <c r="E2360" s="10">
        <f>IF(AND(HOUR(B2360)&gt;=6,HOUR(B2360)&lt;18),"Day Shift","Night Shift")</f>
        <v/>
      </c>
      <c r="F2360" s="11">
        <f>INT(B2360)</f>
        <v/>
      </c>
      <c r="G2360" s="11">
        <f>INT(C2360)</f>
        <v/>
      </c>
    </row>
    <row r="2361">
      <c r="A2361" s="7" t="inlineStr">
        <is>
          <t>EDD2134;EDD2541</t>
        </is>
      </c>
      <c r="B2361" s="8" t="n">
        <v>46076.9100925926</v>
      </c>
      <c r="C2361" s="8" t="n">
        <v>46077.20186342593</v>
      </c>
      <c r="D2361" s="9">
        <f>(C2361-B2361)*24</f>
        <v/>
      </c>
      <c r="E2361" s="10">
        <f>IF(AND(HOUR(B2361)&gt;=6,HOUR(B2361)&lt;18),"Day Shift","Night Shift")</f>
        <v/>
      </c>
      <c r="F2361" s="11">
        <f>INT(B2361)</f>
        <v/>
      </c>
      <c r="G2361" s="11">
        <f>INT(C2361)</f>
        <v/>
      </c>
    </row>
    <row r="2362">
      <c r="A2362" s="7" t="inlineStr">
        <is>
          <t>EXD101</t>
        </is>
      </c>
      <c r="B2362" s="8" t="n">
        <v>46076.91092592593</v>
      </c>
      <c r="C2362" s="8" t="n">
        <v>46077.25</v>
      </c>
      <c r="D2362" s="9">
        <f>(C2362-B2362)*24</f>
        <v/>
      </c>
      <c r="E2362" s="10">
        <f>IF(AND(HOUR(B2362)&gt;=6,HOUR(B2362)&lt;18),"Day Shift","Night Shift")</f>
        <v/>
      </c>
      <c r="F2362" s="11">
        <f>INT(B2362)</f>
        <v/>
      </c>
      <c r="G2362" s="11">
        <f>INT(C2362)</f>
        <v/>
      </c>
    </row>
    <row r="2363">
      <c r="A2363" s="2" t="inlineStr">
        <is>
          <t>EXD101</t>
        </is>
      </c>
      <c r="B2363" s="3" t="n">
        <v>46077.25</v>
      </c>
      <c r="C2363" s="3" t="n">
        <v>46077.75</v>
      </c>
      <c r="D2363" s="4">
        <f>(C2363-B2363)*24</f>
        <v/>
      </c>
      <c r="E2363" s="5">
        <f>IF(AND(HOUR(B2363)&gt;=6,HOUR(B2363)&lt;18),"Day Shift","Night Shift")</f>
        <v/>
      </c>
      <c r="F2363" s="6">
        <f>INT(B2363)</f>
        <v/>
      </c>
      <c r="G2363" s="6">
        <f>INT(C2363)</f>
        <v/>
      </c>
    </row>
    <row r="2364">
      <c r="A2364" s="7" t="inlineStr">
        <is>
          <t>EXD101</t>
        </is>
      </c>
      <c r="B2364" s="8" t="n">
        <v>46077.75</v>
      </c>
      <c r="C2364" s="8" t="n">
        <v>46078.25</v>
      </c>
      <c r="D2364" s="9">
        <f>(C2364-B2364)*24</f>
        <v/>
      </c>
      <c r="E2364" s="10">
        <f>IF(AND(HOUR(B2364)&gt;=6,HOUR(B2364)&lt;18),"Day Shift","Night Shift")</f>
        <v/>
      </c>
      <c r="F2364" s="11">
        <f>INT(B2364)</f>
        <v/>
      </c>
      <c r="G2364" s="11">
        <f>INT(C2364)</f>
        <v/>
      </c>
    </row>
    <row r="2365">
      <c r="A2365" s="2" t="inlineStr">
        <is>
          <t>EXD101</t>
        </is>
      </c>
      <c r="B2365" s="3" t="n">
        <v>46078.25</v>
      </c>
      <c r="C2365" s="3" t="n">
        <v>46078.75</v>
      </c>
      <c r="D2365" s="4">
        <f>(C2365-B2365)*24</f>
        <v/>
      </c>
      <c r="E2365" s="5">
        <f>IF(AND(HOUR(B2365)&gt;=6,HOUR(B2365)&lt;18),"Day Shift","Night Shift")</f>
        <v/>
      </c>
      <c r="F2365" s="6">
        <f>INT(B2365)</f>
        <v/>
      </c>
      <c r="G2365" s="6">
        <f>INT(C2365)</f>
        <v/>
      </c>
    </row>
    <row r="2366">
      <c r="A2366" s="7" t="inlineStr">
        <is>
          <t>EXD101</t>
        </is>
      </c>
      <c r="B2366" s="8" t="n">
        <v>46078.75</v>
      </c>
      <c r="C2366" s="8" t="n">
        <v>46079.25</v>
      </c>
      <c r="D2366" s="9">
        <f>(C2366-B2366)*24</f>
        <v/>
      </c>
      <c r="E2366" s="10">
        <f>IF(AND(HOUR(B2366)&gt;=6,HOUR(B2366)&lt;18),"Day Shift","Night Shift")</f>
        <v/>
      </c>
      <c r="F2366" s="11">
        <f>INT(B2366)</f>
        <v/>
      </c>
      <c r="G2366" s="11">
        <f>INT(C2366)</f>
        <v/>
      </c>
    </row>
    <row r="2367">
      <c r="A2367" s="2" t="inlineStr">
        <is>
          <t>EXD101</t>
        </is>
      </c>
      <c r="B2367" s="3" t="n">
        <v>46079.25</v>
      </c>
      <c r="C2367" s="3" t="n">
        <v>46079.30537037037</v>
      </c>
      <c r="D2367" s="4">
        <f>(C2367-B2367)*24</f>
        <v/>
      </c>
      <c r="E2367" s="5">
        <f>IF(AND(HOUR(B2367)&gt;=6,HOUR(B2367)&lt;18),"Day Shift","Night Shift")</f>
        <v/>
      </c>
      <c r="F2367" s="6">
        <f>INT(B2367)</f>
        <v/>
      </c>
      <c r="G2367" s="6">
        <f>INT(C2367)</f>
        <v/>
      </c>
    </row>
    <row r="2368">
      <c r="A2368" s="7" t="inlineStr">
        <is>
          <t>EXD100</t>
        </is>
      </c>
      <c r="B2368" s="8" t="n">
        <v>46076.94539351852</v>
      </c>
      <c r="C2368" s="8" t="n">
        <v>46077.25</v>
      </c>
      <c r="D2368" s="9">
        <f>(C2368-B2368)*24</f>
        <v/>
      </c>
      <c r="E2368" s="10">
        <f>IF(AND(HOUR(B2368)&gt;=6,HOUR(B2368)&lt;18),"Day Shift","Night Shift")</f>
        <v/>
      </c>
      <c r="F2368" s="11">
        <f>INT(B2368)</f>
        <v/>
      </c>
      <c r="G2368" s="11">
        <f>INT(C2368)</f>
        <v/>
      </c>
    </row>
    <row r="2369">
      <c r="A2369" s="2" t="inlineStr">
        <is>
          <t>EXD100</t>
        </is>
      </c>
      <c r="B2369" s="3" t="n">
        <v>46077.25</v>
      </c>
      <c r="C2369" s="3" t="n">
        <v>46077.57659722222</v>
      </c>
      <c r="D2369" s="4">
        <f>(C2369-B2369)*24</f>
        <v/>
      </c>
      <c r="E2369" s="5">
        <f>IF(AND(HOUR(B2369)&gt;=6,HOUR(B2369)&lt;18),"Day Shift","Night Shift")</f>
        <v/>
      </c>
      <c r="F2369" s="6">
        <f>INT(B2369)</f>
        <v/>
      </c>
      <c r="G2369" s="6">
        <f>INT(C2369)</f>
        <v/>
      </c>
    </row>
    <row r="2370">
      <c r="A2370" s="7" t="inlineStr">
        <is>
          <t>EXD60</t>
        </is>
      </c>
      <c r="B2370" s="8" t="n">
        <v>46076.95109953704</v>
      </c>
      <c r="C2370" s="8" t="n">
        <v>46077.25</v>
      </c>
      <c r="D2370" s="9">
        <f>(C2370-B2370)*24</f>
        <v/>
      </c>
      <c r="E2370" s="10">
        <f>IF(AND(HOUR(B2370)&gt;=6,HOUR(B2370)&lt;18),"Day Shift","Night Shift")</f>
        <v/>
      </c>
      <c r="F2370" s="11">
        <f>INT(B2370)</f>
        <v/>
      </c>
      <c r="G2370" s="11">
        <f>INT(C2370)</f>
        <v/>
      </c>
    </row>
    <row r="2371">
      <c r="A2371" s="2" t="inlineStr">
        <is>
          <t>EXD60</t>
        </is>
      </c>
      <c r="B2371" s="3" t="n">
        <v>46077.25</v>
      </c>
      <c r="C2371" s="3" t="n">
        <v>46077.75</v>
      </c>
      <c r="D2371" s="4">
        <f>(C2371-B2371)*24</f>
        <v/>
      </c>
      <c r="E2371" s="5">
        <f>IF(AND(HOUR(B2371)&gt;=6,HOUR(B2371)&lt;18),"Day Shift","Night Shift")</f>
        <v/>
      </c>
      <c r="F2371" s="6">
        <f>INT(B2371)</f>
        <v/>
      </c>
      <c r="G2371" s="6">
        <f>INT(C2371)</f>
        <v/>
      </c>
    </row>
    <row r="2372">
      <c r="A2372" s="7" t="inlineStr">
        <is>
          <t>EXD60</t>
        </is>
      </c>
      <c r="B2372" s="8" t="n">
        <v>46077.75</v>
      </c>
      <c r="C2372" s="8" t="n">
        <v>46078.25</v>
      </c>
      <c r="D2372" s="9">
        <f>(C2372-B2372)*24</f>
        <v/>
      </c>
      <c r="E2372" s="10">
        <f>IF(AND(HOUR(B2372)&gt;=6,HOUR(B2372)&lt;18),"Day Shift","Night Shift")</f>
        <v/>
      </c>
      <c r="F2372" s="11">
        <f>INT(B2372)</f>
        <v/>
      </c>
      <c r="G2372" s="11">
        <f>INT(C2372)</f>
        <v/>
      </c>
    </row>
    <row r="2373">
      <c r="A2373" s="2" t="inlineStr">
        <is>
          <t>EXD60</t>
        </is>
      </c>
      <c r="B2373" s="3" t="n">
        <v>46078.25</v>
      </c>
      <c r="C2373" s="3" t="n">
        <v>46078.43755787037</v>
      </c>
      <c r="D2373" s="4">
        <f>(C2373-B2373)*24</f>
        <v/>
      </c>
      <c r="E2373" s="5">
        <f>IF(AND(HOUR(B2373)&gt;=6,HOUR(B2373)&lt;18),"Day Shift","Night Shift")</f>
        <v/>
      </c>
      <c r="F2373" s="6">
        <f>INT(B2373)</f>
        <v/>
      </c>
      <c r="G2373" s="6">
        <f>INT(C2373)</f>
        <v/>
      </c>
    </row>
    <row r="2374">
      <c r="A2374" s="7" t="inlineStr">
        <is>
          <t>EDD175</t>
        </is>
      </c>
      <c r="B2374" s="8" t="n">
        <v>46077.03555555556</v>
      </c>
      <c r="C2374" s="8" t="n">
        <v>46077.25</v>
      </c>
      <c r="D2374" s="9">
        <f>(C2374-B2374)*24</f>
        <v/>
      </c>
      <c r="E2374" s="10">
        <f>IF(AND(HOUR(B2374)&gt;=6,HOUR(B2374)&lt;18),"Day Shift","Night Shift")</f>
        <v/>
      </c>
      <c r="F2374" s="11">
        <f>INT(B2374)</f>
        <v/>
      </c>
      <c r="G2374" s="11">
        <f>INT(C2374)</f>
        <v/>
      </c>
    </row>
    <row r="2375">
      <c r="A2375" s="2" t="inlineStr">
        <is>
          <t>EDD175</t>
        </is>
      </c>
      <c r="B2375" s="3" t="n">
        <v>46077.25</v>
      </c>
      <c r="C2375" s="3" t="n">
        <v>46077.36340277778</v>
      </c>
      <c r="D2375" s="4">
        <f>(C2375-B2375)*24</f>
        <v/>
      </c>
      <c r="E2375" s="5">
        <f>IF(AND(HOUR(B2375)&gt;=6,HOUR(B2375)&lt;18),"Day Shift","Night Shift")</f>
        <v/>
      </c>
      <c r="F2375" s="6">
        <f>INT(B2375)</f>
        <v/>
      </c>
      <c r="G2375" s="6">
        <f>INT(C2375)</f>
        <v/>
      </c>
    </row>
    <row r="2376">
      <c r="A2376" s="7" t="inlineStr">
        <is>
          <t>EXD61</t>
        </is>
      </c>
      <c r="B2376" s="8" t="n">
        <v>46077.05513888889</v>
      </c>
      <c r="C2376" s="8" t="n">
        <v>46077.25</v>
      </c>
      <c r="D2376" s="9">
        <f>(C2376-B2376)*24</f>
        <v/>
      </c>
      <c r="E2376" s="10">
        <f>IF(AND(HOUR(B2376)&gt;=6,HOUR(B2376)&lt;18),"Day Shift","Night Shift")</f>
        <v/>
      </c>
      <c r="F2376" s="11">
        <f>INT(B2376)</f>
        <v/>
      </c>
      <c r="G2376" s="11">
        <f>INT(C2376)</f>
        <v/>
      </c>
    </row>
    <row r="2377">
      <c r="A2377" s="2" t="inlineStr">
        <is>
          <t>EXD61</t>
        </is>
      </c>
      <c r="B2377" s="3" t="n">
        <v>46077.25</v>
      </c>
      <c r="C2377" s="3" t="n">
        <v>46077.66873842593</v>
      </c>
      <c r="D2377" s="4">
        <f>(C2377-B2377)*24</f>
        <v/>
      </c>
      <c r="E2377" s="5">
        <f>IF(AND(HOUR(B2377)&gt;=6,HOUR(B2377)&lt;18),"Day Shift","Night Shift")</f>
        <v/>
      </c>
      <c r="F2377" s="6">
        <f>INT(B2377)</f>
        <v/>
      </c>
      <c r="G2377" s="6">
        <f>INT(C2377)</f>
        <v/>
      </c>
    </row>
    <row r="2378">
      <c r="A2378" s="7" t="inlineStr">
        <is>
          <t>EXD408</t>
        </is>
      </c>
      <c r="B2378" s="8" t="n">
        <v>46077.13719907407</v>
      </c>
      <c r="C2378" s="8" t="n">
        <v>46077.25</v>
      </c>
      <c r="D2378" s="9">
        <f>(C2378-B2378)*24</f>
        <v/>
      </c>
      <c r="E2378" s="10">
        <f>IF(AND(HOUR(B2378)&gt;=6,HOUR(B2378)&lt;18),"Day Shift","Night Shift")</f>
        <v/>
      </c>
      <c r="F2378" s="11">
        <f>INT(B2378)</f>
        <v/>
      </c>
      <c r="G2378" s="11">
        <f>INT(C2378)</f>
        <v/>
      </c>
    </row>
    <row r="2379">
      <c r="A2379" s="2" t="inlineStr">
        <is>
          <t>EXD408</t>
        </is>
      </c>
      <c r="B2379" s="3" t="n">
        <v>46077.25</v>
      </c>
      <c r="C2379" s="3" t="n">
        <v>46077.75</v>
      </c>
      <c r="D2379" s="4">
        <f>(C2379-B2379)*24</f>
        <v/>
      </c>
      <c r="E2379" s="5">
        <f>IF(AND(HOUR(B2379)&gt;=6,HOUR(B2379)&lt;18),"Day Shift","Night Shift")</f>
        <v/>
      </c>
      <c r="F2379" s="6">
        <f>INT(B2379)</f>
        <v/>
      </c>
      <c r="G2379" s="6">
        <f>INT(C2379)</f>
        <v/>
      </c>
    </row>
    <row r="2380">
      <c r="A2380" s="7" t="inlineStr">
        <is>
          <t>EXD408</t>
        </is>
      </c>
      <c r="B2380" s="8" t="n">
        <v>46077.75</v>
      </c>
      <c r="C2380" s="8" t="n">
        <v>46077.9020949074</v>
      </c>
      <c r="D2380" s="9">
        <f>(C2380-B2380)*24</f>
        <v/>
      </c>
      <c r="E2380" s="10">
        <f>IF(AND(HOUR(B2380)&gt;=6,HOUR(B2380)&lt;18),"Day Shift","Night Shift")</f>
        <v/>
      </c>
      <c r="F2380" s="11">
        <f>INT(B2380)</f>
        <v/>
      </c>
      <c r="G2380" s="11">
        <f>INT(C2380)</f>
        <v/>
      </c>
    </row>
    <row r="2381">
      <c r="A2381" s="7" t="inlineStr">
        <is>
          <t>EDD2134;EDD2541</t>
        </is>
      </c>
      <c r="B2381" s="8" t="n">
        <v>46077.20186342593</v>
      </c>
      <c r="C2381" s="8" t="n">
        <v>46077.25</v>
      </c>
      <c r="D2381" s="9">
        <f>(C2381-B2381)*24</f>
        <v/>
      </c>
      <c r="E2381" s="10">
        <f>IF(AND(HOUR(B2381)&gt;=6,HOUR(B2381)&lt;18),"Day Shift","Night Shift")</f>
        <v/>
      </c>
      <c r="F2381" s="11">
        <f>INT(B2381)</f>
        <v/>
      </c>
      <c r="G2381" s="11">
        <f>INT(C2381)</f>
        <v/>
      </c>
    </row>
    <row r="2382">
      <c r="A2382" s="2" t="inlineStr">
        <is>
          <t>EDD2134;EDD2541</t>
        </is>
      </c>
      <c r="B2382" s="3" t="n">
        <v>46077.25</v>
      </c>
      <c r="C2382" s="3" t="n">
        <v>46077.45618055556</v>
      </c>
      <c r="D2382" s="4">
        <f>(C2382-B2382)*24</f>
        <v/>
      </c>
      <c r="E2382" s="5">
        <f>IF(AND(HOUR(B2382)&gt;=6,HOUR(B2382)&lt;18),"Day Shift","Night Shift")</f>
        <v/>
      </c>
      <c r="F2382" s="6">
        <f>INT(B2382)</f>
        <v/>
      </c>
      <c r="G2382" s="6">
        <f>INT(C2382)</f>
        <v/>
      </c>
    </row>
    <row r="2383">
      <c r="A2383" s="7" t="inlineStr">
        <is>
          <t>EDD812</t>
        </is>
      </c>
      <c r="B2383" s="8" t="n">
        <v>46077.20945601852</v>
      </c>
      <c r="C2383" s="8" t="n">
        <v>46077.25</v>
      </c>
      <c r="D2383" s="9">
        <f>(C2383-B2383)*24</f>
        <v/>
      </c>
      <c r="E2383" s="10">
        <f>IF(AND(HOUR(B2383)&gt;=6,HOUR(B2383)&lt;18),"Day Shift","Night Shift")</f>
        <v/>
      </c>
      <c r="F2383" s="11">
        <f>INT(B2383)</f>
        <v/>
      </c>
      <c r="G2383" s="11">
        <f>INT(C2383)</f>
        <v/>
      </c>
    </row>
    <row r="2384">
      <c r="A2384" s="2" t="inlineStr">
        <is>
          <t>EDD812</t>
        </is>
      </c>
      <c r="B2384" s="3" t="n">
        <v>46077.25</v>
      </c>
      <c r="C2384" s="3" t="n">
        <v>46077.75</v>
      </c>
      <c r="D2384" s="4">
        <f>(C2384-B2384)*24</f>
        <v/>
      </c>
      <c r="E2384" s="5">
        <f>IF(AND(HOUR(B2384)&gt;=6,HOUR(B2384)&lt;18),"Day Shift","Night Shift")</f>
        <v/>
      </c>
      <c r="F2384" s="6">
        <f>INT(B2384)</f>
        <v/>
      </c>
      <c r="G2384" s="6">
        <f>INT(C2384)</f>
        <v/>
      </c>
    </row>
    <row r="2385">
      <c r="A2385" s="7" t="inlineStr">
        <is>
          <t>EDD812</t>
        </is>
      </c>
      <c r="B2385" s="8" t="n">
        <v>46077.75</v>
      </c>
      <c r="C2385" s="8" t="n">
        <v>46077.87207175926</v>
      </c>
      <c r="D2385" s="9">
        <f>(C2385-B2385)*24</f>
        <v/>
      </c>
      <c r="E2385" s="10">
        <f>IF(AND(HOUR(B2385)&gt;=6,HOUR(B2385)&lt;18),"Day Shift","Night Shift")</f>
        <v/>
      </c>
      <c r="F2385" s="11">
        <f>INT(B2385)</f>
        <v/>
      </c>
      <c r="G2385" s="11">
        <f>INT(C2385)</f>
        <v/>
      </c>
    </row>
    <row r="2386">
      <c r="A2386" s="7" t="inlineStr">
        <is>
          <t>EDD1932</t>
        </is>
      </c>
      <c r="B2386" s="8" t="n">
        <v>46077.22060185186</v>
      </c>
      <c r="C2386" s="8" t="n">
        <v>46077.25</v>
      </c>
      <c r="D2386" s="9">
        <f>(C2386-B2386)*24</f>
        <v/>
      </c>
      <c r="E2386" s="10">
        <f>IF(AND(HOUR(B2386)&gt;=6,HOUR(B2386)&lt;18),"Day Shift","Night Shift")</f>
        <v/>
      </c>
      <c r="F2386" s="11">
        <f>INT(B2386)</f>
        <v/>
      </c>
      <c r="G2386" s="11">
        <f>INT(C2386)</f>
        <v/>
      </c>
    </row>
    <row r="2387">
      <c r="A2387" s="2" t="inlineStr">
        <is>
          <t>EDD1932</t>
        </is>
      </c>
      <c r="B2387" s="3" t="n">
        <v>46077.25</v>
      </c>
      <c r="C2387" s="3" t="n">
        <v>46077.75</v>
      </c>
      <c r="D2387" s="4">
        <f>(C2387-B2387)*24</f>
        <v/>
      </c>
      <c r="E2387" s="5">
        <f>IF(AND(HOUR(B2387)&gt;=6,HOUR(B2387)&lt;18),"Day Shift","Night Shift")</f>
        <v/>
      </c>
      <c r="F2387" s="6">
        <f>INT(B2387)</f>
        <v/>
      </c>
      <c r="G2387" s="6">
        <f>INT(C2387)</f>
        <v/>
      </c>
    </row>
    <row r="2388">
      <c r="A2388" s="7" t="inlineStr">
        <is>
          <t>EDD1932</t>
        </is>
      </c>
      <c r="B2388" s="8" t="n">
        <v>46077.75</v>
      </c>
      <c r="C2388" s="8" t="n">
        <v>46077.86664351852</v>
      </c>
      <c r="D2388" s="9">
        <f>(C2388-B2388)*24</f>
        <v/>
      </c>
      <c r="E2388" s="10">
        <f>IF(AND(HOUR(B2388)&gt;=6,HOUR(B2388)&lt;18),"Day Shift","Night Shift")</f>
        <v/>
      </c>
      <c r="F2388" s="11">
        <f>INT(B2388)</f>
        <v/>
      </c>
      <c r="G2388" s="11">
        <f>INT(C2388)</f>
        <v/>
      </c>
    </row>
    <row r="2389">
      <c r="A2389" s="2" t="inlineStr">
        <is>
          <t>EXD98</t>
        </is>
      </c>
      <c r="B2389" s="3" t="n">
        <v>46077.2953125</v>
      </c>
      <c r="C2389" s="3" t="n">
        <v>46077.75</v>
      </c>
      <c r="D2389" s="4">
        <f>(C2389-B2389)*24</f>
        <v/>
      </c>
      <c r="E2389" s="5">
        <f>IF(AND(HOUR(B2389)&gt;=6,HOUR(B2389)&lt;18),"Day Shift","Night Shift")</f>
        <v/>
      </c>
      <c r="F2389" s="6">
        <f>INT(B2389)</f>
        <v/>
      </c>
      <c r="G2389" s="6">
        <f>INT(C2389)</f>
        <v/>
      </c>
    </row>
    <row r="2390">
      <c r="A2390" s="7" t="inlineStr">
        <is>
          <t>EXD98</t>
        </is>
      </c>
      <c r="B2390" s="8" t="n">
        <v>46077.75</v>
      </c>
      <c r="C2390" s="8" t="n">
        <v>46078.05186342593</v>
      </c>
      <c r="D2390" s="9">
        <f>(C2390-B2390)*24</f>
        <v/>
      </c>
      <c r="E2390" s="10">
        <f>IF(AND(HOUR(B2390)&gt;=6,HOUR(B2390)&lt;18),"Day Shift","Night Shift")</f>
        <v/>
      </c>
      <c r="F2390" s="11">
        <f>INT(B2390)</f>
        <v/>
      </c>
      <c r="G2390" s="11">
        <f>INT(C2390)</f>
        <v/>
      </c>
    </row>
    <row r="2391">
      <c r="A2391" s="2" t="inlineStr">
        <is>
          <t>DRE12</t>
        </is>
      </c>
      <c r="B2391" s="3" t="n">
        <v>46077.34256944444</v>
      </c>
      <c r="C2391" s="3" t="n">
        <v>46077.75</v>
      </c>
      <c r="D2391" s="4">
        <f>(C2391-B2391)*24</f>
        <v/>
      </c>
      <c r="E2391" s="5">
        <f>IF(AND(HOUR(B2391)&gt;=6,HOUR(B2391)&lt;18),"Day Shift","Night Shift")</f>
        <v/>
      </c>
      <c r="F2391" s="6">
        <f>INT(B2391)</f>
        <v/>
      </c>
      <c r="G2391" s="6">
        <f>INT(C2391)</f>
        <v/>
      </c>
    </row>
    <row r="2392">
      <c r="A2392" s="7" t="inlineStr">
        <is>
          <t>DRE12</t>
        </is>
      </c>
      <c r="B2392" s="8" t="n">
        <v>46077.75</v>
      </c>
      <c r="C2392" s="8" t="n">
        <v>46078.25</v>
      </c>
      <c r="D2392" s="9">
        <f>(C2392-B2392)*24</f>
        <v/>
      </c>
      <c r="E2392" s="10">
        <f>IF(AND(HOUR(B2392)&gt;=6,HOUR(B2392)&lt;18),"Day Shift","Night Shift")</f>
        <v/>
      </c>
      <c r="F2392" s="11">
        <f>INT(B2392)</f>
        <v/>
      </c>
      <c r="G2392" s="11">
        <f>INT(C2392)</f>
        <v/>
      </c>
    </row>
    <row r="2393">
      <c r="A2393" s="2" t="inlineStr">
        <is>
          <t>DRE12</t>
        </is>
      </c>
      <c r="B2393" s="3" t="n">
        <v>46078.25</v>
      </c>
      <c r="C2393" s="3" t="n">
        <v>46078.75</v>
      </c>
      <c r="D2393" s="4">
        <f>(C2393-B2393)*24</f>
        <v/>
      </c>
      <c r="E2393" s="5">
        <f>IF(AND(HOUR(B2393)&gt;=6,HOUR(B2393)&lt;18),"Day Shift","Night Shift")</f>
        <v/>
      </c>
      <c r="F2393" s="6">
        <f>INT(B2393)</f>
        <v/>
      </c>
      <c r="G2393" s="6">
        <f>INT(C2393)</f>
        <v/>
      </c>
    </row>
    <row r="2394">
      <c r="A2394" s="7" t="inlineStr">
        <is>
          <t>DRE12</t>
        </is>
      </c>
      <c r="B2394" s="8" t="n">
        <v>46078.75</v>
      </c>
      <c r="C2394" s="8" t="n">
        <v>46079.25</v>
      </c>
      <c r="D2394" s="9">
        <f>(C2394-B2394)*24</f>
        <v/>
      </c>
      <c r="E2394" s="10">
        <f>IF(AND(HOUR(B2394)&gt;=6,HOUR(B2394)&lt;18),"Day Shift","Night Shift")</f>
        <v/>
      </c>
      <c r="F2394" s="11">
        <f>INT(B2394)</f>
        <v/>
      </c>
      <c r="G2394" s="11">
        <f>INT(C2394)</f>
        <v/>
      </c>
    </row>
    <row r="2395">
      <c r="A2395" s="2" t="inlineStr">
        <is>
          <t>DRE12</t>
        </is>
      </c>
      <c r="B2395" s="3" t="n">
        <v>46079.25</v>
      </c>
      <c r="C2395" s="3" t="n">
        <v>46079.75</v>
      </c>
      <c r="D2395" s="4">
        <f>(C2395-B2395)*24</f>
        <v/>
      </c>
      <c r="E2395" s="5">
        <f>IF(AND(HOUR(B2395)&gt;=6,HOUR(B2395)&lt;18),"Day Shift","Night Shift")</f>
        <v/>
      </c>
      <c r="F2395" s="6">
        <f>INT(B2395)</f>
        <v/>
      </c>
      <c r="G2395" s="6">
        <f>INT(C2395)</f>
        <v/>
      </c>
    </row>
    <row r="2396">
      <c r="A2396" s="7" t="inlineStr">
        <is>
          <t>DRE12</t>
        </is>
      </c>
      <c r="B2396" s="8" t="n">
        <v>46079.75</v>
      </c>
      <c r="C2396" s="8" t="n">
        <v>46080.25</v>
      </c>
      <c r="D2396" s="9">
        <f>(C2396-B2396)*24</f>
        <v/>
      </c>
      <c r="E2396" s="10">
        <f>IF(AND(HOUR(B2396)&gt;=6,HOUR(B2396)&lt;18),"Day Shift","Night Shift")</f>
        <v/>
      </c>
      <c r="F2396" s="11">
        <f>INT(B2396)</f>
        <v/>
      </c>
      <c r="G2396" s="11">
        <f>INT(C2396)</f>
        <v/>
      </c>
    </row>
    <row r="2397">
      <c r="A2397" s="2" t="inlineStr">
        <is>
          <t>DRE12</t>
        </is>
      </c>
      <c r="B2397" s="3" t="n">
        <v>46080.25</v>
      </c>
      <c r="C2397" s="3" t="n">
        <v>46080.75</v>
      </c>
      <c r="D2397" s="4">
        <f>(C2397-B2397)*24</f>
        <v/>
      </c>
      <c r="E2397" s="5">
        <f>IF(AND(HOUR(B2397)&gt;=6,HOUR(B2397)&lt;18),"Day Shift","Night Shift")</f>
        <v/>
      </c>
      <c r="F2397" s="6">
        <f>INT(B2397)</f>
        <v/>
      </c>
      <c r="G2397" s="6">
        <f>INT(C2397)</f>
        <v/>
      </c>
    </row>
    <row r="2398">
      <c r="A2398" s="7" t="inlineStr">
        <is>
          <t>DRE12</t>
        </is>
      </c>
      <c r="B2398" s="8" t="n">
        <v>46080.75</v>
      </c>
      <c r="C2398" s="8" t="n">
        <v>46081.25</v>
      </c>
      <c r="D2398" s="9">
        <f>(C2398-B2398)*24</f>
        <v/>
      </c>
      <c r="E2398" s="10">
        <f>IF(AND(HOUR(B2398)&gt;=6,HOUR(B2398)&lt;18),"Day Shift","Night Shift")</f>
        <v/>
      </c>
      <c r="F2398" s="11">
        <f>INT(B2398)</f>
        <v/>
      </c>
      <c r="G2398" s="11">
        <f>INT(C2398)</f>
        <v/>
      </c>
    </row>
    <row r="2399">
      <c r="A2399" s="2" t="inlineStr">
        <is>
          <t>DRE12</t>
        </is>
      </c>
      <c r="B2399" s="3" t="n">
        <v>46081.25</v>
      </c>
      <c r="C2399" s="3" t="n">
        <v>46081.47609953704</v>
      </c>
      <c r="D2399" s="4">
        <f>(C2399-B2399)*24</f>
        <v/>
      </c>
      <c r="E2399" s="5">
        <f>IF(AND(HOUR(B2399)&gt;=6,HOUR(B2399)&lt;18),"Day Shift","Night Shift")</f>
        <v/>
      </c>
      <c r="F2399" s="6">
        <f>INT(B2399)</f>
        <v/>
      </c>
      <c r="G2399" s="6">
        <f>INT(C2399)</f>
        <v/>
      </c>
    </row>
    <row r="2400">
      <c r="A2400" s="2" t="inlineStr">
        <is>
          <t>EDD175</t>
        </is>
      </c>
      <c r="B2400" s="3" t="n">
        <v>46077.36340277778</v>
      </c>
      <c r="C2400" s="3" t="n">
        <v>46077.70886574074</v>
      </c>
      <c r="D2400" s="4">
        <f>(C2400-B2400)*24</f>
        <v/>
      </c>
      <c r="E2400" s="5">
        <f>IF(AND(HOUR(B2400)&gt;=6,HOUR(B2400)&lt;18),"Day Shift","Night Shift")</f>
        <v/>
      </c>
      <c r="F2400" s="6">
        <f>INT(B2400)</f>
        <v/>
      </c>
      <c r="G2400" s="6">
        <f>INT(C2400)</f>
        <v/>
      </c>
    </row>
    <row r="2401">
      <c r="A2401" s="2" t="inlineStr">
        <is>
          <t>EXD55</t>
        </is>
      </c>
      <c r="B2401" s="3" t="n">
        <v>46077.42265046296</v>
      </c>
      <c r="C2401" s="3" t="n">
        <v>46077.75</v>
      </c>
      <c r="D2401" s="4">
        <f>(C2401-B2401)*24</f>
        <v/>
      </c>
      <c r="E2401" s="5">
        <f>IF(AND(HOUR(B2401)&gt;=6,HOUR(B2401)&lt;18),"Day Shift","Night Shift")</f>
        <v/>
      </c>
      <c r="F2401" s="6">
        <f>INT(B2401)</f>
        <v/>
      </c>
      <c r="G2401" s="6">
        <f>INT(C2401)</f>
        <v/>
      </c>
    </row>
    <row r="2402">
      <c r="A2402" s="7" t="inlineStr">
        <is>
          <t>EXD55</t>
        </is>
      </c>
      <c r="B2402" s="8" t="n">
        <v>46077.75</v>
      </c>
      <c r="C2402" s="8" t="n">
        <v>46078.00774305555</v>
      </c>
      <c r="D2402" s="9">
        <f>(C2402-B2402)*24</f>
        <v/>
      </c>
      <c r="E2402" s="10">
        <f>IF(AND(HOUR(B2402)&gt;=6,HOUR(B2402)&lt;18),"Day Shift","Night Shift")</f>
        <v/>
      </c>
      <c r="F2402" s="11">
        <f>INT(B2402)</f>
        <v/>
      </c>
      <c r="G2402" s="11">
        <f>INT(C2402)</f>
        <v/>
      </c>
    </row>
    <row r="2403">
      <c r="A2403" s="2" t="inlineStr">
        <is>
          <t>EDD2134;EDD2541</t>
        </is>
      </c>
      <c r="B2403" s="3" t="n">
        <v>46077.45618055556</v>
      </c>
      <c r="C2403" s="3" t="n">
        <v>46077.55304398148</v>
      </c>
      <c r="D2403" s="4">
        <f>(C2403-B2403)*24</f>
        <v/>
      </c>
      <c r="E2403" s="5">
        <f>IF(AND(HOUR(B2403)&gt;=6,HOUR(B2403)&lt;18),"Day Shift","Night Shift")</f>
        <v/>
      </c>
      <c r="F2403" s="6">
        <f>INT(B2403)</f>
        <v/>
      </c>
      <c r="G2403" s="6">
        <f>INT(C2403)</f>
        <v/>
      </c>
    </row>
    <row r="2404">
      <c r="A2404" s="2" t="inlineStr">
        <is>
          <t>SHE36</t>
        </is>
      </c>
      <c r="B2404" s="3" t="n">
        <v>46077.51872685185</v>
      </c>
      <c r="C2404" s="3" t="n">
        <v>46077.75</v>
      </c>
      <c r="D2404" s="4">
        <f>(C2404-B2404)*24</f>
        <v/>
      </c>
      <c r="E2404" s="5">
        <f>IF(AND(HOUR(B2404)&gt;=6,HOUR(B2404)&lt;18),"Day Shift","Night Shift")</f>
        <v/>
      </c>
      <c r="F2404" s="6">
        <f>INT(B2404)</f>
        <v/>
      </c>
      <c r="G2404" s="6">
        <f>INT(C2404)</f>
        <v/>
      </c>
    </row>
    <row r="2405">
      <c r="A2405" s="7" t="inlineStr">
        <is>
          <t>SHE36</t>
        </is>
      </c>
      <c r="B2405" s="8" t="n">
        <v>46077.75</v>
      </c>
      <c r="C2405" s="8" t="n">
        <v>46078.25</v>
      </c>
      <c r="D2405" s="9">
        <f>(C2405-B2405)*24</f>
        <v/>
      </c>
      <c r="E2405" s="10">
        <f>IF(AND(HOUR(B2405)&gt;=6,HOUR(B2405)&lt;18),"Day Shift","Night Shift")</f>
        <v/>
      </c>
      <c r="F2405" s="11">
        <f>INT(B2405)</f>
        <v/>
      </c>
      <c r="G2405" s="11">
        <f>INT(C2405)</f>
        <v/>
      </c>
    </row>
    <row r="2406">
      <c r="A2406" s="2" t="inlineStr">
        <is>
          <t>SHE36</t>
        </is>
      </c>
      <c r="B2406" s="3" t="n">
        <v>46078.25</v>
      </c>
      <c r="C2406" s="3" t="n">
        <v>46078.57997685186</v>
      </c>
      <c r="D2406" s="4">
        <f>(C2406-B2406)*24</f>
        <v/>
      </c>
      <c r="E2406" s="5">
        <f>IF(AND(HOUR(B2406)&gt;=6,HOUR(B2406)&lt;18),"Day Shift","Night Shift")</f>
        <v/>
      </c>
      <c r="F2406" s="6">
        <f>INT(B2406)</f>
        <v/>
      </c>
      <c r="G2406" s="6">
        <f>INT(C2406)</f>
        <v/>
      </c>
    </row>
    <row r="2407">
      <c r="A2407" s="2" t="inlineStr">
        <is>
          <t>EDD2134;EDD2541</t>
        </is>
      </c>
      <c r="B2407" s="3" t="n">
        <v>46077.55704861111</v>
      </c>
      <c r="C2407" s="3" t="n">
        <v>46077.75</v>
      </c>
      <c r="D2407" s="4">
        <f>(C2407-B2407)*24</f>
        <v/>
      </c>
      <c r="E2407" s="5">
        <f>IF(AND(HOUR(B2407)&gt;=6,HOUR(B2407)&lt;18),"Day Shift","Night Shift")</f>
        <v/>
      </c>
      <c r="F2407" s="6">
        <f>INT(B2407)</f>
        <v/>
      </c>
      <c r="G2407" s="6">
        <f>INT(C2407)</f>
        <v/>
      </c>
    </row>
    <row r="2408">
      <c r="A2408" s="7" t="inlineStr">
        <is>
          <t>EDD2134;EDD2541</t>
        </is>
      </c>
      <c r="B2408" s="8" t="n">
        <v>46077.75</v>
      </c>
      <c r="C2408" s="8" t="n">
        <v>46077.95944444444</v>
      </c>
      <c r="D2408" s="9">
        <f>(C2408-B2408)*24</f>
        <v/>
      </c>
      <c r="E2408" s="10">
        <f>IF(AND(HOUR(B2408)&gt;=6,HOUR(B2408)&lt;18),"Day Shift","Night Shift")</f>
        <v/>
      </c>
      <c r="F2408" s="11">
        <f>INT(B2408)</f>
        <v/>
      </c>
      <c r="G2408" s="11">
        <f>INT(C2408)</f>
        <v/>
      </c>
    </row>
    <row r="2409">
      <c r="A2409" s="2" t="inlineStr">
        <is>
          <t>Blast Crew</t>
        </is>
      </c>
      <c r="B2409" s="3" t="n">
        <v>46077.55878472222</v>
      </c>
      <c r="C2409" s="3" t="n">
        <v>46077.75</v>
      </c>
      <c r="D2409" s="4">
        <f>(C2409-B2409)*24</f>
        <v/>
      </c>
      <c r="E2409" s="5">
        <f>IF(AND(HOUR(B2409)&gt;=6,HOUR(B2409)&lt;18),"Day Shift","Night Shift")</f>
        <v/>
      </c>
      <c r="F2409" s="6">
        <f>INT(B2409)</f>
        <v/>
      </c>
      <c r="G2409" s="6">
        <f>INT(C2409)</f>
        <v/>
      </c>
    </row>
    <row r="2410">
      <c r="A2410" s="7" t="inlineStr">
        <is>
          <t>Blast Crew</t>
        </is>
      </c>
      <c r="B2410" s="8" t="n">
        <v>46077.75</v>
      </c>
      <c r="C2410" s="8" t="n">
        <v>46077.75951388889</v>
      </c>
      <c r="D2410" s="9">
        <f>(C2410-B2410)*24</f>
        <v/>
      </c>
      <c r="E2410" s="10">
        <f>IF(AND(HOUR(B2410)&gt;=6,HOUR(B2410)&lt;18),"Day Shift","Night Shift")</f>
        <v/>
      </c>
      <c r="F2410" s="11">
        <f>INT(B2410)</f>
        <v/>
      </c>
      <c r="G2410" s="11">
        <f>INT(C2410)</f>
        <v/>
      </c>
    </row>
    <row r="2411">
      <c r="A2411" s="2" t="inlineStr">
        <is>
          <t>EXD100</t>
        </is>
      </c>
      <c r="B2411" s="3" t="n">
        <v>46077.57659722222</v>
      </c>
      <c r="C2411" s="3" t="n">
        <v>46077.75</v>
      </c>
      <c r="D2411" s="4">
        <f>(C2411-B2411)*24</f>
        <v/>
      </c>
      <c r="E2411" s="5">
        <f>IF(AND(HOUR(B2411)&gt;=6,HOUR(B2411)&lt;18),"Day Shift","Night Shift")</f>
        <v/>
      </c>
      <c r="F2411" s="6">
        <f>INT(B2411)</f>
        <v/>
      </c>
      <c r="G2411" s="6">
        <f>INT(C2411)</f>
        <v/>
      </c>
    </row>
    <row r="2412">
      <c r="A2412" s="7" t="inlineStr">
        <is>
          <t>EXD100</t>
        </is>
      </c>
      <c r="B2412" s="8" t="n">
        <v>46077.75</v>
      </c>
      <c r="C2412" s="8" t="n">
        <v>46078.25</v>
      </c>
      <c r="D2412" s="9">
        <f>(C2412-B2412)*24</f>
        <v/>
      </c>
      <c r="E2412" s="10">
        <f>IF(AND(HOUR(B2412)&gt;=6,HOUR(B2412)&lt;18),"Day Shift","Night Shift")</f>
        <v/>
      </c>
      <c r="F2412" s="11">
        <f>INT(B2412)</f>
        <v/>
      </c>
      <c r="G2412" s="11">
        <f>INT(C2412)</f>
        <v/>
      </c>
    </row>
    <row r="2413">
      <c r="A2413" s="2" t="inlineStr">
        <is>
          <t>EXD100</t>
        </is>
      </c>
      <c r="B2413" s="3" t="n">
        <v>46078.25</v>
      </c>
      <c r="C2413" s="3" t="n">
        <v>46078.75</v>
      </c>
      <c r="D2413" s="4">
        <f>(C2413-B2413)*24</f>
        <v/>
      </c>
      <c r="E2413" s="5">
        <f>IF(AND(HOUR(B2413)&gt;=6,HOUR(B2413)&lt;18),"Day Shift","Night Shift")</f>
        <v/>
      </c>
      <c r="F2413" s="6">
        <f>INT(B2413)</f>
        <v/>
      </c>
      <c r="G2413" s="6">
        <f>INT(C2413)</f>
        <v/>
      </c>
    </row>
    <row r="2414">
      <c r="A2414" s="7" t="inlineStr">
        <is>
          <t>EXD100</t>
        </is>
      </c>
      <c r="B2414" s="8" t="n">
        <v>46078.75</v>
      </c>
      <c r="C2414" s="8" t="n">
        <v>46078.79436342593</v>
      </c>
      <c r="D2414" s="9">
        <f>(C2414-B2414)*24</f>
        <v/>
      </c>
      <c r="E2414" s="10">
        <f>IF(AND(HOUR(B2414)&gt;=6,HOUR(B2414)&lt;18),"Day Shift","Night Shift")</f>
        <v/>
      </c>
      <c r="F2414" s="11">
        <f>INT(B2414)</f>
        <v/>
      </c>
      <c r="G2414" s="11">
        <f>INT(C2414)</f>
        <v/>
      </c>
    </row>
    <row r="2415">
      <c r="A2415" s="2" t="inlineStr">
        <is>
          <t>DRE08</t>
        </is>
      </c>
      <c r="B2415" s="3" t="n">
        <v>46077.64045138889</v>
      </c>
      <c r="C2415" s="3" t="n">
        <v>46077.75</v>
      </c>
      <c r="D2415" s="4">
        <f>(C2415-B2415)*24</f>
        <v/>
      </c>
      <c r="E2415" s="5">
        <f>IF(AND(HOUR(B2415)&gt;=6,HOUR(B2415)&lt;18),"Day Shift","Night Shift")</f>
        <v/>
      </c>
      <c r="F2415" s="6">
        <f>INT(B2415)</f>
        <v/>
      </c>
      <c r="G2415" s="6">
        <f>INT(C2415)</f>
        <v/>
      </c>
    </row>
    <row r="2416">
      <c r="A2416" s="7" t="inlineStr">
        <is>
          <t>DRE08</t>
        </is>
      </c>
      <c r="B2416" s="8" t="n">
        <v>46077.75</v>
      </c>
      <c r="C2416" s="8" t="n">
        <v>46078.25</v>
      </c>
      <c r="D2416" s="9">
        <f>(C2416-B2416)*24</f>
        <v/>
      </c>
      <c r="E2416" s="10">
        <f>IF(AND(HOUR(B2416)&gt;=6,HOUR(B2416)&lt;18),"Day Shift","Night Shift")</f>
        <v/>
      </c>
      <c r="F2416" s="11">
        <f>INT(B2416)</f>
        <v/>
      </c>
      <c r="G2416" s="11">
        <f>INT(C2416)</f>
        <v/>
      </c>
    </row>
    <row r="2417">
      <c r="A2417" s="2" t="inlineStr">
        <is>
          <t>DRE08</t>
        </is>
      </c>
      <c r="B2417" s="3" t="n">
        <v>46078.25</v>
      </c>
      <c r="C2417" s="3" t="n">
        <v>46078.75</v>
      </c>
      <c r="D2417" s="4">
        <f>(C2417-B2417)*24</f>
        <v/>
      </c>
      <c r="E2417" s="5">
        <f>IF(AND(HOUR(B2417)&gt;=6,HOUR(B2417)&lt;18),"Day Shift","Night Shift")</f>
        <v/>
      </c>
      <c r="F2417" s="6">
        <f>INT(B2417)</f>
        <v/>
      </c>
      <c r="G2417" s="6">
        <f>INT(C2417)</f>
        <v/>
      </c>
    </row>
    <row r="2418">
      <c r="A2418" s="7" t="inlineStr">
        <is>
          <t>DRE08</t>
        </is>
      </c>
      <c r="B2418" s="8" t="n">
        <v>46078.75</v>
      </c>
      <c r="C2418" s="8" t="n">
        <v>46079.25</v>
      </c>
      <c r="D2418" s="9">
        <f>(C2418-B2418)*24</f>
        <v/>
      </c>
      <c r="E2418" s="10">
        <f>IF(AND(HOUR(B2418)&gt;=6,HOUR(B2418)&lt;18),"Day Shift","Night Shift")</f>
        <v/>
      </c>
      <c r="F2418" s="11">
        <f>INT(B2418)</f>
        <v/>
      </c>
      <c r="G2418" s="11">
        <f>INT(C2418)</f>
        <v/>
      </c>
    </row>
    <row r="2419">
      <c r="A2419" s="2" t="inlineStr">
        <is>
          <t>DRE08</t>
        </is>
      </c>
      <c r="B2419" s="3" t="n">
        <v>46079.25</v>
      </c>
      <c r="C2419" s="3" t="n">
        <v>46079.75</v>
      </c>
      <c r="D2419" s="4">
        <f>(C2419-B2419)*24</f>
        <v/>
      </c>
      <c r="E2419" s="5">
        <f>IF(AND(HOUR(B2419)&gt;=6,HOUR(B2419)&lt;18),"Day Shift","Night Shift")</f>
        <v/>
      </c>
      <c r="F2419" s="6">
        <f>INT(B2419)</f>
        <v/>
      </c>
      <c r="G2419" s="6">
        <f>INT(C2419)</f>
        <v/>
      </c>
    </row>
    <row r="2420">
      <c r="A2420" s="7" t="inlineStr">
        <is>
          <t>DRE08</t>
        </is>
      </c>
      <c r="B2420" s="8" t="n">
        <v>46079.75</v>
      </c>
      <c r="C2420" s="8" t="n">
        <v>46080.25</v>
      </c>
      <c r="D2420" s="9">
        <f>(C2420-B2420)*24</f>
        <v/>
      </c>
      <c r="E2420" s="10">
        <f>IF(AND(HOUR(B2420)&gt;=6,HOUR(B2420)&lt;18),"Day Shift","Night Shift")</f>
        <v/>
      </c>
      <c r="F2420" s="11">
        <f>INT(B2420)</f>
        <v/>
      </c>
      <c r="G2420" s="11">
        <f>INT(C2420)</f>
        <v/>
      </c>
    </row>
    <row r="2421">
      <c r="A2421" s="2" t="inlineStr">
        <is>
          <t>DRE08</t>
        </is>
      </c>
      <c r="B2421" s="3" t="n">
        <v>46080.25</v>
      </c>
      <c r="C2421" s="3" t="n">
        <v>46080.75</v>
      </c>
      <c r="D2421" s="4">
        <f>(C2421-B2421)*24</f>
        <v/>
      </c>
      <c r="E2421" s="5">
        <f>IF(AND(HOUR(B2421)&gt;=6,HOUR(B2421)&lt;18),"Day Shift","Night Shift")</f>
        <v/>
      </c>
      <c r="F2421" s="6">
        <f>INT(B2421)</f>
        <v/>
      </c>
      <c r="G2421" s="6">
        <f>INT(C2421)</f>
        <v/>
      </c>
    </row>
    <row r="2422">
      <c r="A2422" s="7" t="inlineStr">
        <is>
          <t>DRE08</t>
        </is>
      </c>
      <c r="B2422" s="8" t="n">
        <v>46080.75</v>
      </c>
      <c r="C2422" s="8" t="n">
        <v>46081.25</v>
      </c>
      <c r="D2422" s="9">
        <f>(C2422-B2422)*24</f>
        <v/>
      </c>
      <c r="E2422" s="10">
        <f>IF(AND(HOUR(B2422)&gt;=6,HOUR(B2422)&lt;18),"Day Shift","Night Shift")</f>
        <v/>
      </c>
      <c r="F2422" s="11">
        <f>INT(B2422)</f>
        <v/>
      </c>
      <c r="G2422" s="11">
        <f>INT(C2422)</f>
        <v/>
      </c>
    </row>
    <row r="2423">
      <c r="A2423" s="2" t="inlineStr">
        <is>
          <t>DRE08</t>
        </is>
      </c>
      <c r="B2423" s="3" t="n">
        <v>46081.25</v>
      </c>
      <c r="C2423" s="3" t="n">
        <v>46081.75</v>
      </c>
      <c r="D2423" s="4">
        <f>(C2423-B2423)*24</f>
        <v/>
      </c>
      <c r="E2423" s="5">
        <f>IF(AND(HOUR(B2423)&gt;=6,HOUR(B2423)&lt;18),"Day Shift","Night Shift")</f>
        <v/>
      </c>
      <c r="F2423" s="6">
        <f>INT(B2423)</f>
        <v/>
      </c>
      <c r="G2423" s="6">
        <f>INT(C2423)</f>
        <v/>
      </c>
    </row>
    <row r="2424">
      <c r="A2424" s="7" t="inlineStr">
        <is>
          <t>DRE08</t>
        </is>
      </c>
      <c r="B2424" s="8" t="n">
        <v>46081.75</v>
      </c>
      <c r="C2424" s="8" t="n">
        <v>46082.25</v>
      </c>
      <c r="D2424" s="9">
        <f>(C2424-B2424)*24</f>
        <v/>
      </c>
      <c r="E2424" s="10">
        <f>IF(AND(HOUR(B2424)&gt;=6,HOUR(B2424)&lt;18),"Day Shift","Night Shift")</f>
        <v/>
      </c>
      <c r="F2424" s="11">
        <f>INT(B2424)</f>
        <v/>
      </c>
      <c r="G2424" s="11">
        <f>INT(C2424)</f>
        <v/>
      </c>
    </row>
    <row r="2425">
      <c r="A2425" s="2" t="inlineStr">
        <is>
          <t>DRE08</t>
        </is>
      </c>
      <c r="B2425" s="3" t="n">
        <v>46082.25</v>
      </c>
      <c r="C2425" s="3" t="n">
        <v>46082.75</v>
      </c>
      <c r="D2425" s="4">
        <f>(C2425-B2425)*24</f>
        <v/>
      </c>
      <c r="E2425" s="5">
        <f>IF(AND(HOUR(B2425)&gt;=6,HOUR(B2425)&lt;18),"Day Shift","Night Shift")</f>
        <v/>
      </c>
      <c r="F2425" s="6">
        <f>INT(B2425)</f>
        <v/>
      </c>
      <c r="G2425" s="6">
        <f>INT(C2425)</f>
        <v/>
      </c>
    </row>
    <row r="2426">
      <c r="A2426" s="7" t="inlineStr">
        <is>
          <t>DRE08</t>
        </is>
      </c>
      <c r="B2426" s="8" t="n">
        <v>46082.75</v>
      </c>
      <c r="C2426" s="8" t="n">
        <v>46083.25</v>
      </c>
      <c r="D2426" s="9">
        <f>(C2426-B2426)*24</f>
        <v/>
      </c>
      <c r="E2426" s="10">
        <f>IF(AND(HOUR(B2426)&gt;=6,HOUR(B2426)&lt;18),"Day Shift","Night Shift")</f>
        <v/>
      </c>
      <c r="F2426" s="11">
        <f>INT(B2426)</f>
        <v/>
      </c>
      <c r="G2426" s="11">
        <f>INT(C2426)</f>
        <v/>
      </c>
    </row>
    <row r="2427">
      <c r="A2427" s="2" t="inlineStr">
        <is>
          <t>DRE08</t>
        </is>
      </c>
      <c r="B2427" s="3" t="n">
        <v>46083.25</v>
      </c>
      <c r="C2427" s="3" t="n">
        <v>46083.75</v>
      </c>
      <c r="D2427" s="4">
        <f>(C2427-B2427)*24</f>
        <v/>
      </c>
      <c r="E2427" s="5">
        <f>IF(AND(HOUR(B2427)&gt;=6,HOUR(B2427)&lt;18),"Day Shift","Night Shift")</f>
        <v/>
      </c>
      <c r="F2427" s="6">
        <f>INT(B2427)</f>
        <v/>
      </c>
      <c r="G2427" s="6">
        <f>INT(C2427)</f>
        <v/>
      </c>
    </row>
    <row r="2428">
      <c r="A2428" s="7" t="inlineStr">
        <is>
          <t>DRE08</t>
        </is>
      </c>
      <c r="B2428" s="8" t="n">
        <v>46083.75</v>
      </c>
      <c r="C2428" s="8" t="n">
        <v>46084.25</v>
      </c>
      <c r="D2428" s="9">
        <f>(C2428-B2428)*24</f>
        <v/>
      </c>
      <c r="E2428" s="10">
        <f>IF(AND(HOUR(B2428)&gt;=6,HOUR(B2428)&lt;18),"Day Shift","Night Shift")</f>
        <v/>
      </c>
      <c r="F2428" s="11">
        <f>INT(B2428)</f>
        <v/>
      </c>
      <c r="G2428" s="11">
        <f>INT(C2428)</f>
        <v/>
      </c>
    </row>
    <row r="2429">
      <c r="A2429" s="2" t="inlineStr">
        <is>
          <t>DRE08</t>
        </is>
      </c>
      <c r="B2429" s="3" t="n">
        <v>46084.25</v>
      </c>
      <c r="C2429" s="3" t="n">
        <v>46084.75</v>
      </c>
      <c r="D2429" s="4">
        <f>(C2429-B2429)*24</f>
        <v/>
      </c>
      <c r="E2429" s="5">
        <f>IF(AND(HOUR(B2429)&gt;=6,HOUR(B2429)&lt;18),"Day Shift","Night Shift")</f>
        <v/>
      </c>
      <c r="F2429" s="6">
        <f>INT(B2429)</f>
        <v/>
      </c>
      <c r="G2429" s="6">
        <f>INT(C2429)</f>
        <v/>
      </c>
    </row>
    <row r="2430">
      <c r="A2430" s="7" t="inlineStr">
        <is>
          <t>DRE08</t>
        </is>
      </c>
      <c r="B2430" s="8" t="n">
        <v>46084.75</v>
      </c>
      <c r="C2430" s="8" t="n">
        <v>46085.25</v>
      </c>
      <c r="D2430" s="9">
        <f>(C2430-B2430)*24</f>
        <v/>
      </c>
      <c r="E2430" s="10">
        <f>IF(AND(HOUR(B2430)&gt;=6,HOUR(B2430)&lt;18),"Day Shift","Night Shift")</f>
        <v/>
      </c>
      <c r="F2430" s="11">
        <f>INT(B2430)</f>
        <v/>
      </c>
      <c r="G2430" s="11">
        <f>INT(C2430)</f>
        <v/>
      </c>
    </row>
    <row r="2431">
      <c r="A2431" s="2" t="inlineStr">
        <is>
          <t>DRE08</t>
        </is>
      </c>
      <c r="B2431" s="3" t="n">
        <v>46085.25</v>
      </c>
      <c r="C2431" s="3" t="n">
        <v>46085.53047453704</v>
      </c>
      <c r="D2431" s="4">
        <f>(C2431-B2431)*24</f>
        <v/>
      </c>
      <c r="E2431" s="5">
        <f>IF(AND(HOUR(B2431)&gt;=6,HOUR(B2431)&lt;18),"Day Shift","Night Shift")</f>
        <v/>
      </c>
      <c r="F2431" s="6">
        <f>INT(B2431)</f>
        <v/>
      </c>
      <c r="G2431" s="6">
        <f>INT(C2431)</f>
        <v/>
      </c>
    </row>
    <row r="2432">
      <c r="A2432" s="2" t="inlineStr">
        <is>
          <t>EXD56</t>
        </is>
      </c>
      <c r="B2432" s="3" t="n">
        <v>46077.65693287037</v>
      </c>
      <c r="C2432" s="3" t="n">
        <v>46077.75</v>
      </c>
      <c r="D2432" s="4">
        <f>(C2432-B2432)*24</f>
        <v/>
      </c>
      <c r="E2432" s="5">
        <f>IF(AND(HOUR(B2432)&gt;=6,HOUR(B2432)&lt;18),"Day Shift","Night Shift")</f>
        <v/>
      </c>
      <c r="F2432" s="6">
        <f>INT(B2432)</f>
        <v/>
      </c>
      <c r="G2432" s="6">
        <f>INT(C2432)</f>
        <v/>
      </c>
    </row>
    <row r="2433">
      <c r="A2433" s="7" t="inlineStr">
        <is>
          <t>EXD56</t>
        </is>
      </c>
      <c r="B2433" s="8" t="n">
        <v>46077.75</v>
      </c>
      <c r="C2433" s="8" t="n">
        <v>46078.25</v>
      </c>
      <c r="D2433" s="9">
        <f>(C2433-B2433)*24</f>
        <v/>
      </c>
      <c r="E2433" s="10">
        <f>IF(AND(HOUR(B2433)&gt;=6,HOUR(B2433)&lt;18),"Day Shift","Night Shift")</f>
        <v/>
      </c>
      <c r="F2433" s="11">
        <f>INT(B2433)</f>
        <v/>
      </c>
      <c r="G2433" s="11">
        <f>INT(C2433)</f>
        <v/>
      </c>
    </row>
    <row r="2434">
      <c r="A2434" s="2" t="inlineStr">
        <is>
          <t>EXD56</t>
        </is>
      </c>
      <c r="B2434" s="3" t="n">
        <v>46078.25</v>
      </c>
      <c r="C2434" s="3" t="n">
        <v>46078.75</v>
      </c>
      <c r="D2434" s="4">
        <f>(C2434-B2434)*24</f>
        <v/>
      </c>
      <c r="E2434" s="5">
        <f>IF(AND(HOUR(B2434)&gt;=6,HOUR(B2434)&lt;18),"Day Shift","Night Shift")</f>
        <v/>
      </c>
      <c r="F2434" s="6">
        <f>INT(B2434)</f>
        <v/>
      </c>
      <c r="G2434" s="6">
        <f>INT(C2434)</f>
        <v/>
      </c>
    </row>
    <row r="2435">
      <c r="A2435" s="7" t="inlineStr">
        <is>
          <t>EXD56</t>
        </is>
      </c>
      <c r="B2435" s="8" t="n">
        <v>46078.75</v>
      </c>
      <c r="C2435" s="8" t="n">
        <v>46079.15143518519</v>
      </c>
      <c r="D2435" s="9">
        <f>(C2435-B2435)*24</f>
        <v/>
      </c>
      <c r="E2435" s="10">
        <f>IF(AND(HOUR(B2435)&gt;=6,HOUR(B2435)&lt;18),"Day Shift","Night Shift")</f>
        <v/>
      </c>
      <c r="F2435" s="11">
        <f>INT(B2435)</f>
        <v/>
      </c>
      <c r="G2435" s="11">
        <f>INT(C2435)</f>
        <v/>
      </c>
    </row>
    <row r="2436">
      <c r="A2436" s="2" t="inlineStr">
        <is>
          <t>EXD61</t>
        </is>
      </c>
      <c r="B2436" s="3" t="n">
        <v>46077.66873842593</v>
      </c>
      <c r="C2436" s="3" t="n">
        <v>46077.75</v>
      </c>
      <c r="D2436" s="4">
        <f>(C2436-B2436)*24</f>
        <v/>
      </c>
      <c r="E2436" s="5">
        <f>IF(AND(HOUR(B2436)&gt;=6,HOUR(B2436)&lt;18),"Day Shift","Night Shift")</f>
        <v/>
      </c>
      <c r="F2436" s="6">
        <f>INT(B2436)</f>
        <v/>
      </c>
      <c r="G2436" s="6">
        <f>INT(C2436)</f>
        <v/>
      </c>
    </row>
    <row r="2437">
      <c r="A2437" s="7" t="inlineStr">
        <is>
          <t>EXD61</t>
        </is>
      </c>
      <c r="B2437" s="8" t="n">
        <v>46077.75</v>
      </c>
      <c r="C2437" s="8" t="n">
        <v>46078.07947916666</v>
      </c>
      <c r="D2437" s="9">
        <f>(C2437-B2437)*24</f>
        <v/>
      </c>
      <c r="E2437" s="10">
        <f>IF(AND(HOUR(B2437)&gt;=6,HOUR(B2437)&lt;18),"Day Shift","Night Shift")</f>
        <v/>
      </c>
      <c r="F2437" s="11">
        <f>INT(B2437)</f>
        <v/>
      </c>
      <c r="G2437" s="11">
        <f>INT(C2437)</f>
        <v/>
      </c>
    </row>
    <row r="2438">
      <c r="A2438" s="2" t="inlineStr">
        <is>
          <t>EDD175</t>
        </is>
      </c>
      <c r="B2438" s="3" t="n">
        <v>46077.70886574074</v>
      </c>
      <c r="C2438" s="3" t="n">
        <v>46077.75</v>
      </c>
      <c r="D2438" s="4">
        <f>(C2438-B2438)*24</f>
        <v/>
      </c>
      <c r="E2438" s="5">
        <f>IF(AND(HOUR(B2438)&gt;=6,HOUR(B2438)&lt;18),"Day Shift","Night Shift")</f>
        <v/>
      </c>
      <c r="F2438" s="6">
        <f>INT(B2438)</f>
        <v/>
      </c>
      <c r="G2438" s="6">
        <f>INT(C2438)</f>
        <v/>
      </c>
    </row>
    <row r="2439">
      <c r="A2439" s="7" t="inlineStr">
        <is>
          <t>EDD175</t>
        </is>
      </c>
      <c r="B2439" s="8" t="n">
        <v>46077.75</v>
      </c>
      <c r="C2439" s="8" t="n">
        <v>46078.02060185185</v>
      </c>
      <c r="D2439" s="9">
        <f>(C2439-B2439)*24</f>
        <v/>
      </c>
      <c r="E2439" s="10">
        <f>IF(AND(HOUR(B2439)&gt;=6,HOUR(B2439)&lt;18),"Day Shift","Night Shift")</f>
        <v/>
      </c>
      <c r="F2439" s="11">
        <f>INT(B2439)</f>
        <v/>
      </c>
      <c r="G2439" s="11">
        <f>INT(C2439)</f>
        <v/>
      </c>
    </row>
    <row r="2440">
      <c r="A2440" s="7" t="inlineStr">
        <is>
          <t>Blast Crew</t>
        </is>
      </c>
      <c r="B2440" s="8" t="n">
        <v>46077.75951388889</v>
      </c>
      <c r="C2440" s="8" t="n">
        <v>46078.0122337963</v>
      </c>
      <c r="D2440" s="9">
        <f>(C2440-B2440)*24</f>
        <v/>
      </c>
      <c r="E2440" s="10">
        <f>IF(AND(HOUR(B2440)&gt;=6,HOUR(B2440)&lt;18),"Day Shift","Night Shift")</f>
        <v/>
      </c>
      <c r="F2440" s="11">
        <f>INT(B2440)</f>
        <v/>
      </c>
      <c r="G2440" s="11">
        <f>INT(C2440)</f>
        <v/>
      </c>
    </row>
    <row r="2441">
      <c r="A2441" s="7" t="inlineStr">
        <is>
          <t>EDD1932</t>
        </is>
      </c>
      <c r="B2441" s="8" t="n">
        <v>46077.86664351852</v>
      </c>
      <c r="C2441" s="8" t="n">
        <v>46078.25</v>
      </c>
      <c r="D2441" s="9">
        <f>(C2441-B2441)*24</f>
        <v/>
      </c>
      <c r="E2441" s="10">
        <f>IF(AND(HOUR(B2441)&gt;=6,HOUR(B2441)&lt;18),"Day Shift","Night Shift")</f>
        <v/>
      </c>
      <c r="F2441" s="11">
        <f>INT(B2441)</f>
        <v/>
      </c>
      <c r="G2441" s="11">
        <f>INT(C2441)</f>
        <v/>
      </c>
    </row>
    <row r="2442">
      <c r="A2442" s="2" t="inlineStr">
        <is>
          <t>EDD1932</t>
        </is>
      </c>
      <c r="B2442" s="3" t="n">
        <v>46078.25</v>
      </c>
      <c r="C2442" s="3" t="n">
        <v>46078.38502314815</v>
      </c>
      <c r="D2442" s="4">
        <f>(C2442-B2442)*24</f>
        <v/>
      </c>
      <c r="E2442" s="5">
        <f>IF(AND(HOUR(B2442)&gt;=6,HOUR(B2442)&lt;18),"Day Shift","Night Shift")</f>
        <v/>
      </c>
      <c r="F2442" s="6">
        <f>INT(B2442)</f>
        <v/>
      </c>
      <c r="G2442" s="6">
        <f>INT(C2442)</f>
        <v/>
      </c>
    </row>
    <row r="2443">
      <c r="A2443" s="7" t="inlineStr">
        <is>
          <t>EDD812;EDD1932</t>
        </is>
      </c>
      <c r="B2443" s="8" t="n">
        <v>46077.87207175926</v>
      </c>
      <c r="C2443" s="8" t="n">
        <v>46078.25</v>
      </c>
      <c r="D2443" s="9">
        <f>(C2443-B2443)*24</f>
        <v/>
      </c>
      <c r="E2443" s="10">
        <f>IF(AND(HOUR(B2443)&gt;=6,HOUR(B2443)&lt;18),"Day Shift","Night Shift")</f>
        <v/>
      </c>
      <c r="F2443" s="11">
        <f>INT(B2443)</f>
        <v/>
      </c>
      <c r="G2443" s="11">
        <f>INT(C2443)</f>
        <v/>
      </c>
    </row>
    <row r="2444">
      <c r="A2444" s="2" t="inlineStr">
        <is>
          <t>EDD812;EDD1932</t>
        </is>
      </c>
      <c r="B2444" s="3" t="n">
        <v>46078.25</v>
      </c>
      <c r="C2444" s="3" t="n">
        <v>46078.45333333333</v>
      </c>
      <c r="D2444" s="4">
        <f>(C2444-B2444)*24</f>
        <v/>
      </c>
      <c r="E2444" s="5">
        <f>IF(AND(HOUR(B2444)&gt;=6,HOUR(B2444)&lt;18),"Day Shift","Night Shift")</f>
        <v/>
      </c>
      <c r="F2444" s="6">
        <f>INT(B2444)</f>
        <v/>
      </c>
      <c r="G2444" s="6">
        <f>INT(C2444)</f>
        <v/>
      </c>
    </row>
    <row r="2445">
      <c r="A2445" s="7" t="inlineStr">
        <is>
          <t>EXD408</t>
        </is>
      </c>
      <c r="B2445" s="8" t="n">
        <v>46077.9024074074</v>
      </c>
      <c r="C2445" s="8" t="n">
        <v>46078.25</v>
      </c>
      <c r="D2445" s="9">
        <f>(C2445-B2445)*24</f>
        <v/>
      </c>
      <c r="E2445" s="10">
        <f>IF(AND(HOUR(B2445)&gt;=6,HOUR(B2445)&lt;18),"Day Shift","Night Shift")</f>
        <v/>
      </c>
      <c r="F2445" s="11">
        <f>INT(B2445)</f>
        <v/>
      </c>
      <c r="G2445" s="11">
        <f>INT(C2445)</f>
        <v/>
      </c>
    </row>
    <row r="2446">
      <c r="A2446" s="2" t="inlineStr">
        <is>
          <t>EXD408</t>
        </is>
      </c>
      <c r="B2446" s="3" t="n">
        <v>46078.25</v>
      </c>
      <c r="C2446" s="3" t="n">
        <v>46078.75</v>
      </c>
      <c r="D2446" s="4">
        <f>(C2446-B2446)*24</f>
        <v/>
      </c>
      <c r="E2446" s="5">
        <f>IF(AND(HOUR(B2446)&gt;=6,HOUR(B2446)&lt;18),"Day Shift","Night Shift")</f>
        <v/>
      </c>
      <c r="F2446" s="6">
        <f>INT(B2446)</f>
        <v/>
      </c>
      <c r="G2446" s="6">
        <f>INT(C2446)</f>
        <v/>
      </c>
    </row>
    <row r="2447">
      <c r="A2447" s="7" t="inlineStr">
        <is>
          <t>EXD408</t>
        </is>
      </c>
      <c r="B2447" s="8" t="n">
        <v>46078.75</v>
      </c>
      <c r="C2447" s="8" t="n">
        <v>46078.85604166667</v>
      </c>
      <c r="D2447" s="9">
        <f>(C2447-B2447)*24</f>
        <v/>
      </c>
      <c r="E2447" s="10">
        <f>IF(AND(HOUR(B2447)&gt;=6,HOUR(B2447)&lt;18),"Day Shift","Night Shift")</f>
        <v/>
      </c>
      <c r="F2447" s="11">
        <f>INT(B2447)</f>
        <v/>
      </c>
      <c r="G2447" s="11">
        <f>INT(C2447)</f>
        <v/>
      </c>
    </row>
    <row r="2448">
      <c r="A2448" s="7" t="inlineStr">
        <is>
          <t>EXD409</t>
        </is>
      </c>
      <c r="B2448" s="8" t="n">
        <v>46077.9165162037</v>
      </c>
      <c r="C2448" s="8" t="n">
        <v>46078.25</v>
      </c>
      <c r="D2448" s="9">
        <f>(C2448-B2448)*24</f>
        <v/>
      </c>
      <c r="E2448" s="10">
        <f>IF(AND(HOUR(B2448)&gt;=6,HOUR(B2448)&lt;18),"Day Shift","Night Shift")</f>
        <v/>
      </c>
      <c r="F2448" s="11">
        <f>INT(B2448)</f>
        <v/>
      </c>
      <c r="G2448" s="11">
        <f>INT(C2448)</f>
        <v/>
      </c>
    </row>
    <row r="2449">
      <c r="A2449" s="2" t="inlineStr">
        <is>
          <t>EXD409</t>
        </is>
      </c>
      <c r="B2449" s="3" t="n">
        <v>46078.25</v>
      </c>
      <c r="C2449" s="3" t="n">
        <v>46078.46643518518</v>
      </c>
      <c r="D2449" s="4">
        <f>(C2449-B2449)*24</f>
        <v/>
      </c>
      <c r="E2449" s="5">
        <f>IF(AND(HOUR(B2449)&gt;=6,HOUR(B2449)&lt;18),"Day Shift","Night Shift")</f>
        <v/>
      </c>
      <c r="F2449" s="6">
        <f>INT(B2449)</f>
        <v/>
      </c>
      <c r="G2449" s="6">
        <f>INT(C2449)</f>
        <v/>
      </c>
    </row>
    <row r="2450">
      <c r="A2450" s="7" t="inlineStr">
        <is>
          <t>EDD2134;EDD2541;EDD175</t>
        </is>
      </c>
      <c r="B2450" s="8" t="n">
        <v>46077.95944444444</v>
      </c>
      <c r="C2450" s="8" t="n">
        <v>46078.23378472222</v>
      </c>
      <c r="D2450" s="9">
        <f>(C2450-B2450)*24</f>
        <v/>
      </c>
      <c r="E2450" s="10">
        <f>IF(AND(HOUR(B2450)&gt;=6,HOUR(B2450)&lt;18),"Day Shift","Night Shift")</f>
        <v/>
      </c>
      <c r="F2450" s="11">
        <f>INT(B2450)</f>
        <v/>
      </c>
      <c r="G2450" s="11">
        <f>INT(C2450)</f>
        <v/>
      </c>
    </row>
    <row r="2451">
      <c r="A2451" s="7" t="inlineStr">
        <is>
          <t>Blast Crew</t>
        </is>
      </c>
      <c r="B2451" s="8" t="n">
        <v>46078.0122337963</v>
      </c>
      <c r="C2451" s="8" t="n">
        <v>46078.25</v>
      </c>
      <c r="D2451" s="9">
        <f>(C2451-B2451)*24</f>
        <v/>
      </c>
      <c r="E2451" s="10">
        <f>IF(AND(HOUR(B2451)&gt;=6,HOUR(B2451)&lt;18),"Day Shift","Night Shift")</f>
        <v/>
      </c>
      <c r="F2451" s="11">
        <f>INT(B2451)</f>
        <v/>
      </c>
      <c r="G2451" s="11">
        <f>INT(C2451)</f>
        <v/>
      </c>
    </row>
    <row r="2452">
      <c r="A2452" s="2" t="inlineStr">
        <is>
          <t>Blast Crew</t>
        </is>
      </c>
      <c r="B2452" s="3" t="n">
        <v>46078.25</v>
      </c>
      <c r="C2452" s="3" t="n">
        <v>46078.26305555556</v>
      </c>
      <c r="D2452" s="4">
        <f>(C2452-B2452)*24</f>
        <v/>
      </c>
      <c r="E2452" s="5">
        <f>IF(AND(HOUR(B2452)&gt;=6,HOUR(B2452)&lt;18),"Day Shift","Night Shift")</f>
        <v/>
      </c>
      <c r="F2452" s="6">
        <f>INT(B2452)</f>
        <v/>
      </c>
      <c r="G2452" s="6">
        <f>INT(C2452)</f>
        <v/>
      </c>
    </row>
    <row r="2453">
      <c r="A2453" s="7" t="inlineStr">
        <is>
          <t>EXD98</t>
        </is>
      </c>
      <c r="B2453" s="8" t="n">
        <v>46078.05186342593</v>
      </c>
      <c r="C2453" s="8" t="n">
        <v>46078.25</v>
      </c>
      <c r="D2453" s="9">
        <f>(C2453-B2453)*24</f>
        <v/>
      </c>
      <c r="E2453" s="10">
        <f>IF(AND(HOUR(B2453)&gt;=6,HOUR(B2453)&lt;18),"Day Shift","Night Shift")</f>
        <v/>
      </c>
      <c r="F2453" s="11">
        <f>INT(B2453)</f>
        <v/>
      </c>
      <c r="G2453" s="11">
        <f>INT(C2453)</f>
        <v/>
      </c>
    </row>
    <row r="2454">
      <c r="A2454" s="2" t="inlineStr">
        <is>
          <t>EXD98</t>
        </is>
      </c>
      <c r="B2454" s="3" t="n">
        <v>46078.25</v>
      </c>
      <c r="C2454" s="3" t="n">
        <v>46078.75</v>
      </c>
      <c r="D2454" s="4">
        <f>(C2454-B2454)*24</f>
        <v/>
      </c>
      <c r="E2454" s="5">
        <f>IF(AND(HOUR(B2454)&gt;=6,HOUR(B2454)&lt;18),"Day Shift","Night Shift")</f>
        <v/>
      </c>
      <c r="F2454" s="6">
        <f>INT(B2454)</f>
        <v/>
      </c>
      <c r="G2454" s="6">
        <f>INT(C2454)</f>
        <v/>
      </c>
    </row>
    <row r="2455">
      <c r="A2455" s="7" t="inlineStr">
        <is>
          <t>EXD98</t>
        </is>
      </c>
      <c r="B2455" s="8" t="n">
        <v>46078.75</v>
      </c>
      <c r="C2455" s="8" t="n">
        <v>46078.8596412037</v>
      </c>
      <c r="D2455" s="9">
        <f>(C2455-B2455)*24</f>
        <v/>
      </c>
      <c r="E2455" s="10">
        <f>IF(AND(HOUR(B2455)&gt;=6,HOUR(B2455)&lt;18),"Day Shift","Night Shift")</f>
        <v/>
      </c>
      <c r="F2455" s="11">
        <f>INT(B2455)</f>
        <v/>
      </c>
      <c r="G2455" s="11">
        <f>INT(C2455)</f>
        <v/>
      </c>
    </row>
    <row r="2456">
      <c r="A2456" s="7" t="inlineStr">
        <is>
          <t>EXD61</t>
        </is>
      </c>
      <c r="B2456" s="8" t="n">
        <v>46078.07947916666</v>
      </c>
      <c r="C2456" s="8" t="n">
        <v>46078.25</v>
      </c>
      <c r="D2456" s="9">
        <f>(C2456-B2456)*24</f>
        <v/>
      </c>
      <c r="E2456" s="10">
        <f>IF(AND(HOUR(B2456)&gt;=6,HOUR(B2456)&lt;18),"Day Shift","Night Shift")</f>
        <v/>
      </c>
      <c r="F2456" s="11">
        <f>INT(B2456)</f>
        <v/>
      </c>
      <c r="G2456" s="11">
        <f>INT(C2456)</f>
        <v/>
      </c>
    </row>
    <row r="2457">
      <c r="A2457" s="2" t="inlineStr">
        <is>
          <t>EXD61</t>
        </is>
      </c>
      <c r="B2457" s="3" t="n">
        <v>46078.25</v>
      </c>
      <c r="C2457" s="3" t="n">
        <v>46078.36434027777</v>
      </c>
      <c r="D2457" s="4">
        <f>(C2457-B2457)*24</f>
        <v/>
      </c>
      <c r="E2457" s="5">
        <f>IF(AND(HOUR(B2457)&gt;=6,HOUR(B2457)&lt;18),"Day Shift","Night Shift")</f>
        <v/>
      </c>
      <c r="F2457" s="6">
        <f>INT(B2457)</f>
        <v/>
      </c>
      <c r="G2457" s="6">
        <f>INT(C2457)</f>
        <v/>
      </c>
    </row>
    <row r="2458">
      <c r="A2458" s="7" t="inlineStr">
        <is>
          <t>EXD55</t>
        </is>
      </c>
      <c r="B2458" s="8" t="n">
        <v>46078.16171296296</v>
      </c>
      <c r="C2458" s="8" t="n">
        <v>46078.25</v>
      </c>
      <c r="D2458" s="9">
        <f>(C2458-B2458)*24</f>
        <v/>
      </c>
      <c r="E2458" s="10">
        <f>IF(AND(HOUR(B2458)&gt;=6,HOUR(B2458)&lt;18),"Day Shift","Night Shift")</f>
        <v/>
      </c>
      <c r="F2458" s="11">
        <f>INT(B2458)</f>
        <v/>
      </c>
      <c r="G2458" s="11">
        <f>INT(C2458)</f>
        <v/>
      </c>
    </row>
    <row r="2459">
      <c r="A2459" s="2" t="inlineStr">
        <is>
          <t>EXD55</t>
        </is>
      </c>
      <c r="B2459" s="3" t="n">
        <v>46078.25</v>
      </c>
      <c r="C2459" s="3" t="n">
        <v>46078.45730324074</v>
      </c>
      <c r="D2459" s="4">
        <f>(C2459-B2459)*24</f>
        <v/>
      </c>
      <c r="E2459" s="5">
        <f>IF(AND(HOUR(B2459)&gt;=6,HOUR(B2459)&lt;18),"Day Shift","Night Shift")</f>
        <v/>
      </c>
      <c r="F2459" s="6">
        <f>INT(B2459)</f>
        <v/>
      </c>
      <c r="G2459" s="6">
        <f>INT(C2459)</f>
        <v/>
      </c>
    </row>
    <row r="2460">
      <c r="A2460" s="7" t="inlineStr">
        <is>
          <t>DRE42</t>
        </is>
      </c>
      <c r="B2460" s="8" t="n">
        <v>46078.16302083333</v>
      </c>
      <c r="C2460" s="8" t="n">
        <v>46078.25</v>
      </c>
      <c r="D2460" s="9">
        <f>(C2460-B2460)*24</f>
        <v/>
      </c>
      <c r="E2460" s="10">
        <f>IF(AND(HOUR(B2460)&gt;=6,HOUR(B2460)&lt;18),"Day Shift","Night Shift")</f>
        <v/>
      </c>
      <c r="F2460" s="11">
        <f>INT(B2460)</f>
        <v/>
      </c>
      <c r="G2460" s="11">
        <f>INT(C2460)</f>
        <v/>
      </c>
    </row>
    <row r="2461">
      <c r="A2461" s="2" t="inlineStr">
        <is>
          <t>DRE42</t>
        </is>
      </c>
      <c r="B2461" s="3" t="n">
        <v>46078.25</v>
      </c>
      <c r="C2461" s="3" t="n">
        <v>46078.35025462963</v>
      </c>
      <c r="D2461" s="4">
        <f>(C2461-B2461)*24</f>
        <v/>
      </c>
      <c r="E2461" s="5">
        <f>IF(AND(HOUR(B2461)&gt;=6,HOUR(B2461)&lt;18),"Day Shift","Night Shift")</f>
        <v/>
      </c>
      <c r="F2461" s="6">
        <f>INT(B2461)</f>
        <v/>
      </c>
      <c r="G2461" s="6">
        <f>INT(C2461)</f>
        <v/>
      </c>
    </row>
    <row r="2462">
      <c r="A2462" s="7" t="inlineStr">
        <is>
          <t>EDD175;EDD2134;EDD2541</t>
        </is>
      </c>
      <c r="B2462" s="8" t="n">
        <v>46078.23378472222</v>
      </c>
      <c r="C2462" s="8" t="n">
        <v>46078.25</v>
      </c>
      <c r="D2462" s="9">
        <f>(C2462-B2462)*24</f>
        <v/>
      </c>
      <c r="E2462" s="10">
        <f>IF(AND(HOUR(B2462)&gt;=6,HOUR(B2462)&lt;18),"Day Shift","Night Shift")</f>
        <v/>
      </c>
      <c r="F2462" s="11">
        <f>INT(B2462)</f>
        <v/>
      </c>
      <c r="G2462" s="11">
        <f>INT(C2462)</f>
        <v/>
      </c>
    </row>
    <row r="2463">
      <c r="A2463" s="2" t="inlineStr">
        <is>
          <t>EDD175;EDD2134;EDD2541</t>
        </is>
      </c>
      <c r="B2463" s="3" t="n">
        <v>46078.25</v>
      </c>
      <c r="C2463" s="3" t="n">
        <v>46078.52633101852</v>
      </c>
      <c r="D2463" s="4">
        <f>(C2463-B2463)*24</f>
        <v/>
      </c>
      <c r="E2463" s="5">
        <f>IF(AND(HOUR(B2463)&gt;=6,HOUR(B2463)&lt;18),"Day Shift","Night Shift")</f>
        <v/>
      </c>
      <c r="F2463" s="6">
        <f>INT(B2463)</f>
        <v/>
      </c>
      <c r="G2463" s="6">
        <f>INT(C2463)</f>
        <v/>
      </c>
    </row>
    <row r="2464">
      <c r="A2464" s="2" t="inlineStr">
        <is>
          <t>Blast Crew</t>
        </is>
      </c>
      <c r="B2464" s="3" t="n">
        <v>46078.26305555556</v>
      </c>
      <c r="C2464" s="3" t="n">
        <v>46078.4727199074</v>
      </c>
      <c r="D2464" s="4">
        <f>(C2464-B2464)*24</f>
        <v/>
      </c>
      <c r="E2464" s="5">
        <f>IF(AND(HOUR(B2464)&gt;=6,HOUR(B2464)&lt;18),"Day Shift","Night Shift")</f>
        <v/>
      </c>
      <c r="F2464" s="6">
        <f>INT(B2464)</f>
        <v/>
      </c>
      <c r="G2464" s="6">
        <f>INT(C2464)</f>
        <v/>
      </c>
    </row>
    <row r="2465">
      <c r="A2465" s="2" t="inlineStr">
        <is>
          <t>DRE42</t>
        </is>
      </c>
      <c r="B2465" s="3" t="n">
        <v>46078.35025462963</v>
      </c>
      <c r="C2465" s="3" t="n">
        <v>46078.75</v>
      </c>
      <c r="D2465" s="4">
        <f>(C2465-B2465)*24</f>
        <v/>
      </c>
      <c r="E2465" s="5">
        <f>IF(AND(HOUR(B2465)&gt;=6,HOUR(B2465)&lt;18),"Day Shift","Night Shift")</f>
        <v/>
      </c>
      <c r="F2465" s="6">
        <f>INT(B2465)</f>
        <v/>
      </c>
      <c r="G2465" s="6">
        <f>INT(C2465)</f>
        <v/>
      </c>
    </row>
    <row r="2466">
      <c r="A2466" s="7" t="inlineStr">
        <is>
          <t>DRE42</t>
        </is>
      </c>
      <c r="B2466" s="8" t="n">
        <v>46078.75</v>
      </c>
      <c r="C2466" s="8" t="n">
        <v>46079.25</v>
      </c>
      <c r="D2466" s="9">
        <f>(C2466-B2466)*24</f>
        <v/>
      </c>
      <c r="E2466" s="10">
        <f>IF(AND(HOUR(B2466)&gt;=6,HOUR(B2466)&lt;18),"Day Shift","Night Shift")</f>
        <v/>
      </c>
      <c r="F2466" s="11">
        <f>INT(B2466)</f>
        <v/>
      </c>
      <c r="G2466" s="11">
        <f>INT(C2466)</f>
        <v/>
      </c>
    </row>
    <row r="2467">
      <c r="A2467" s="2" t="inlineStr">
        <is>
          <t>DRE42</t>
        </is>
      </c>
      <c r="B2467" s="3" t="n">
        <v>46079.25</v>
      </c>
      <c r="C2467" s="3" t="n">
        <v>46079.75</v>
      </c>
      <c r="D2467" s="4">
        <f>(C2467-B2467)*24</f>
        <v/>
      </c>
      <c r="E2467" s="5">
        <f>IF(AND(HOUR(B2467)&gt;=6,HOUR(B2467)&lt;18),"Day Shift","Night Shift")</f>
        <v/>
      </c>
      <c r="F2467" s="6">
        <f>INT(B2467)</f>
        <v/>
      </c>
      <c r="G2467" s="6">
        <f>INT(C2467)</f>
        <v/>
      </c>
    </row>
    <row r="2468">
      <c r="A2468" s="7" t="inlineStr">
        <is>
          <t>DRE42</t>
        </is>
      </c>
      <c r="B2468" s="8" t="n">
        <v>46079.75</v>
      </c>
      <c r="C2468" s="8" t="n">
        <v>46080.14688657408</v>
      </c>
      <c r="D2468" s="9">
        <f>(C2468-B2468)*24</f>
        <v/>
      </c>
      <c r="E2468" s="10">
        <f>IF(AND(HOUR(B2468)&gt;=6,HOUR(B2468)&lt;18),"Day Shift","Night Shift")</f>
        <v/>
      </c>
      <c r="F2468" s="11">
        <f>INT(B2468)</f>
        <v/>
      </c>
      <c r="G2468" s="11">
        <f>INT(C2468)</f>
        <v/>
      </c>
    </row>
    <row r="2469">
      <c r="A2469" s="2" t="inlineStr">
        <is>
          <t>EXD60</t>
        </is>
      </c>
      <c r="B2469" s="3" t="n">
        <v>46078.43793981482</v>
      </c>
      <c r="C2469" s="3" t="n">
        <v>46078.75</v>
      </c>
      <c r="D2469" s="4">
        <f>(C2469-B2469)*24</f>
        <v/>
      </c>
      <c r="E2469" s="5">
        <f>IF(AND(HOUR(B2469)&gt;=6,HOUR(B2469)&lt;18),"Day Shift","Night Shift")</f>
        <v/>
      </c>
      <c r="F2469" s="6">
        <f>INT(B2469)</f>
        <v/>
      </c>
      <c r="G2469" s="6">
        <f>INT(C2469)</f>
        <v/>
      </c>
    </row>
    <row r="2470">
      <c r="A2470" s="7" t="inlineStr">
        <is>
          <t>EXD60</t>
        </is>
      </c>
      <c r="B2470" s="8" t="n">
        <v>46078.75</v>
      </c>
      <c r="C2470" s="8" t="n">
        <v>46079.25</v>
      </c>
      <c r="D2470" s="9">
        <f>(C2470-B2470)*24</f>
        <v/>
      </c>
      <c r="E2470" s="10">
        <f>IF(AND(HOUR(B2470)&gt;=6,HOUR(B2470)&lt;18),"Day Shift","Night Shift")</f>
        <v/>
      </c>
      <c r="F2470" s="11">
        <f>INT(B2470)</f>
        <v/>
      </c>
      <c r="G2470" s="11">
        <f>INT(C2470)</f>
        <v/>
      </c>
    </row>
    <row r="2471">
      <c r="A2471" s="2" t="inlineStr">
        <is>
          <t>EXD60</t>
        </is>
      </c>
      <c r="B2471" s="3" t="n">
        <v>46079.25</v>
      </c>
      <c r="C2471" s="3" t="n">
        <v>46079.75</v>
      </c>
      <c r="D2471" s="4">
        <f>(C2471-B2471)*24</f>
        <v/>
      </c>
      <c r="E2471" s="5">
        <f>IF(AND(HOUR(B2471)&gt;=6,HOUR(B2471)&lt;18),"Day Shift","Night Shift")</f>
        <v/>
      </c>
      <c r="F2471" s="6">
        <f>INT(B2471)</f>
        <v/>
      </c>
      <c r="G2471" s="6">
        <f>INT(C2471)</f>
        <v/>
      </c>
    </row>
    <row r="2472">
      <c r="A2472" s="7" t="inlineStr">
        <is>
          <t>EXD60</t>
        </is>
      </c>
      <c r="B2472" s="8" t="n">
        <v>46079.75</v>
      </c>
      <c r="C2472" s="8" t="n">
        <v>46079.81126157408</v>
      </c>
      <c r="D2472" s="9">
        <f>(C2472-B2472)*24</f>
        <v/>
      </c>
      <c r="E2472" s="10">
        <f>IF(AND(HOUR(B2472)&gt;=6,HOUR(B2472)&lt;18),"Day Shift","Night Shift")</f>
        <v/>
      </c>
      <c r="F2472" s="11">
        <f>INT(B2472)</f>
        <v/>
      </c>
      <c r="G2472" s="11">
        <f>INT(C2472)</f>
        <v/>
      </c>
    </row>
    <row r="2473">
      <c r="A2473" s="2" t="inlineStr">
        <is>
          <t>EDD1932;EDD812</t>
        </is>
      </c>
      <c r="B2473" s="3" t="n">
        <v>46078.45333333333</v>
      </c>
      <c r="C2473" s="3" t="n">
        <v>46078.75</v>
      </c>
      <c r="D2473" s="4">
        <f>(C2473-B2473)*24</f>
        <v/>
      </c>
      <c r="E2473" s="5">
        <f>IF(AND(HOUR(B2473)&gt;=6,HOUR(B2473)&lt;18),"Day Shift","Night Shift")</f>
        <v/>
      </c>
      <c r="F2473" s="6">
        <f>INT(B2473)</f>
        <v/>
      </c>
      <c r="G2473" s="6">
        <f>INT(C2473)</f>
        <v/>
      </c>
    </row>
    <row r="2474">
      <c r="A2474" s="7" t="inlineStr">
        <is>
          <t>EDD1932;EDD812</t>
        </is>
      </c>
      <c r="B2474" s="8" t="n">
        <v>46078.75</v>
      </c>
      <c r="C2474" s="8" t="n">
        <v>46079.12952546297</v>
      </c>
      <c r="D2474" s="9">
        <f>(C2474-B2474)*24</f>
        <v/>
      </c>
      <c r="E2474" s="10">
        <f>IF(AND(HOUR(B2474)&gt;=6,HOUR(B2474)&lt;18),"Day Shift","Night Shift")</f>
        <v/>
      </c>
      <c r="F2474" s="11">
        <f>INT(B2474)</f>
        <v/>
      </c>
      <c r="G2474" s="11">
        <f>INT(C2474)</f>
        <v/>
      </c>
    </row>
    <row r="2475">
      <c r="A2475" s="2" t="inlineStr">
        <is>
          <t>EDD812</t>
        </is>
      </c>
      <c r="B2475" s="3" t="n">
        <v>46078.45333333333</v>
      </c>
      <c r="C2475" s="3" t="n">
        <v>46078.75</v>
      </c>
      <c r="D2475" s="4">
        <f>(C2475-B2475)*24</f>
        <v/>
      </c>
      <c r="E2475" s="5">
        <f>IF(AND(HOUR(B2475)&gt;=6,HOUR(B2475)&lt;18),"Day Shift","Night Shift")</f>
        <v/>
      </c>
      <c r="F2475" s="6">
        <f>INT(B2475)</f>
        <v/>
      </c>
      <c r="G2475" s="6">
        <f>INT(C2475)</f>
        <v/>
      </c>
    </row>
    <row r="2476">
      <c r="A2476" s="7" t="inlineStr">
        <is>
          <t>EDD812</t>
        </is>
      </c>
      <c r="B2476" s="8" t="n">
        <v>46078.75</v>
      </c>
      <c r="C2476" s="8" t="n">
        <v>46079.12197916667</v>
      </c>
      <c r="D2476" s="9">
        <f>(C2476-B2476)*24</f>
        <v/>
      </c>
      <c r="E2476" s="10">
        <f>IF(AND(HOUR(B2476)&gt;=6,HOUR(B2476)&lt;18),"Day Shift","Night Shift")</f>
        <v/>
      </c>
      <c r="F2476" s="11">
        <f>INT(B2476)</f>
        <v/>
      </c>
      <c r="G2476" s="11">
        <f>INT(C2476)</f>
        <v/>
      </c>
    </row>
    <row r="2477">
      <c r="A2477" s="2" t="inlineStr">
        <is>
          <t>EXD409</t>
        </is>
      </c>
      <c r="B2477" s="3" t="n">
        <v>46078.46643518518</v>
      </c>
      <c r="C2477" s="3" t="n">
        <v>46078.75</v>
      </c>
      <c r="D2477" s="4">
        <f>(C2477-B2477)*24</f>
        <v/>
      </c>
      <c r="E2477" s="5">
        <f>IF(AND(HOUR(B2477)&gt;=6,HOUR(B2477)&lt;18),"Day Shift","Night Shift")</f>
        <v/>
      </c>
      <c r="F2477" s="6">
        <f>INT(B2477)</f>
        <v/>
      </c>
      <c r="G2477" s="6">
        <f>INT(C2477)</f>
        <v/>
      </c>
    </row>
    <row r="2478">
      <c r="A2478" s="7" t="inlineStr">
        <is>
          <t>EXD409</t>
        </is>
      </c>
      <c r="B2478" s="8" t="n">
        <v>46078.75</v>
      </c>
      <c r="C2478" s="8" t="n">
        <v>46079.25</v>
      </c>
      <c r="D2478" s="9">
        <f>(C2478-B2478)*24</f>
        <v/>
      </c>
      <c r="E2478" s="10">
        <f>IF(AND(HOUR(B2478)&gt;=6,HOUR(B2478)&lt;18),"Day Shift","Night Shift")</f>
        <v/>
      </c>
      <c r="F2478" s="11">
        <f>INT(B2478)</f>
        <v/>
      </c>
      <c r="G2478" s="11">
        <f>INT(C2478)</f>
        <v/>
      </c>
    </row>
    <row r="2479">
      <c r="A2479" s="2" t="inlineStr">
        <is>
          <t>EXD409</t>
        </is>
      </c>
      <c r="B2479" s="3" t="n">
        <v>46079.25</v>
      </c>
      <c r="C2479" s="3" t="n">
        <v>46079.75</v>
      </c>
      <c r="D2479" s="4">
        <f>(C2479-B2479)*24</f>
        <v/>
      </c>
      <c r="E2479" s="5">
        <f>IF(AND(HOUR(B2479)&gt;=6,HOUR(B2479)&lt;18),"Day Shift","Night Shift")</f>
        <v/>
      </c>
      <c r="F2479" s="6">
        <f>INT(B2479)</f>
        <v/>
      </c>
      <c r="G2479" s="6">
        <f>INT(C2479)</f>
        <v/>
      </c>
    </row>
    <row r="2480">
      <c r="A2480" s="7" t="inlineStr">
        <is>
          <t>EXD409</t>
        </is>
      </c>
      <c r="B2480" s="8" t="n">
        <v>46079.75</v>
      </c>
      <c r="C2480" s="8" t="n">
        <v>46079.91335648148</v>
      </c>
      <c r="D2480" s="9">
        <f>(C2480-B2480)*24</f>
        <v/>
      </c>
      <c r="E2480" s="10">
        <f>IF(AND(HOUR(B2480)&gt;=6,HOUR(B2480)&lt;18),"Day Shift","Night Shift")</f>
        <v/>
      </c>
      <c r="F2480" s="11">
        <f>INT(B2480)</f>
        <v/>
      </c>
      <c r="G2480" s="11">
        <f>INT(C2480)</f>
        <v/>
      </c>
    </row>
    <row r="2481">
      <c r="A2481" s="2" t="inlineStr">
        <is>
          <t>EXD55</t>
        </is>
      </c>
      <c r="B2481" s="3" t="n">
        <v>46078.48699074074</v>
      </c>
      <c r="C2481" s="3" t="n">
        <v>46078.75</v>
      </c>
      <c r="D2481" s="4">
        <f>(C2481-B2481)*24</f>
        <v/>
      </c>
      <c r="E2481" s="5">
        <f>IF(AND(HOUR(B2481)&gt;=6,HOUR(B2481)&lt;18),"Day Shift","Night Shift")</f>
        <v/>
      </c>
      <c r="F2481" s="6">
        <f>INT(B2481)</f>
        <v/>
      </c>
      <c r="G2481" s="6">
        <f>INT(C2481)</f>
        <v/>
      </c>
    </row>
    <row r="2482">
      <c r="A2482" s="7" t="inlineStr">
        <is>
          <t>EXD55</t>
        </is>
      </c>
      <c r="B2482" s="8" t="n">
        <v>46078.75</v>
      </c>
      <c r="C2482" s="8" t="n">
        <v>46079.14678240741</v>
      </c>
      <c r="D2482" s="9">
        <f>(C2482-B2482)*24</f>
        <v/>
      </c>
      <c r="E2482" s="10">
        <f>IF(AND(HOUR(B2482)&gt;=6,HOUR(B2482)&lt;18),"Day Shift","Night Shift")</f>
        <v/>
      </c>
      <c r="F2482" s="11">
        <f>INT(B2482)</f>
        <v/>
      </c>
      <c r="G2482" s="11">
        <f>INT(C2482)</f>
        <v/>
      </c>
    </row>
    <row r="2483">
      <c r="A2483" s="2" t="inlineStr">
        <is>
          <t>EDD175;EDD2134;EDD2541</t>
        </is>
      </c>
      <c r="B2483" s="3" t="n">
        <v>46078.52633101852</v>
      </c>
      <c r="C2483" s="3" t="n">
        <v>46078.75</v>
      </c>
      <c r="D2483" s="4">
        <f>(C2483-B2483)*24</f>
        <v/>
      </c>
      <c r="E2483" s="5">
        <f>IF(AND(HOUR(B2483)&gt;=6,HOUR(B2483)&lt;18),"Day Shift","Night Shift")</f>
        <v/>
      </c>
      <c r="F2483" s="6">
        <f>INT(B2483)</f>
        <v/>
      </c>
      <c r="G2483" s="6">
        <f>INT(C2483)</f>
        <v/>
      </c>
    </row>
    <row r="2484">
      <c r="A2484" s="7" t="inlineStr">
        <is>
          <t>EDD175;EDD2134;EDD2541</t>
        </is>
      </c>
      <c r="B2484" s="8" t="n">
        <v>46078.75</v>
      </c>
      <c r="C2484" s="8" t="n">
        <v>46079.05989583334</v>
      </c>
      <c r="D2484" s="9">
        <f>(C2484-B2484)*24</f>
        <v/>
      </c>
      <c r="E2484" s="10">
        <f>IF(AND(HOUR(B2484)&gt;=6,HOUR(B2484)&lt;18),"Day Shift","Night Shift")</f>
        <v/>
      </c>
      <c r="F2484" s="11">
        <f>INT(B2484)</f>
        <v/>
      </c>
      <c r="G2484" s="11">
        <f>INT(C2484)</f>
        <v/>
      </c>
    </row>
    <row r="2485">
      <c r="A2485" s="2" t="inlineStr">
        <is>
          <t>SHE36</t>
        </is>
      </c>
      <c r="B2485" s="3" t="n">
        <v>46078.57997685186</v>
      </c>
      <c r="C2485" s="3" t="n">
        <v>46078.75</v>
      </c>
      <c r="D2485" s="4">
        <f>(C2485-B2485)*24</f>
        <v/>
      </c>
      <c r="E2485" s="5">
        <f>IF(AND(HOUR(B2485)&gt;=6,HOUR(B2485)&lt;18),"Day Shift","Night Shift")</f>
        <v/>
      </c>
      <c r="F2485" s="6">
        <f>INT(B2485)</f>
        <v/>
      </c>
      <c r="G2485" s="6">
        <f>INT(C2485)</f>
        <v/>
      </c>
    </row>
    <row r="2486">
      <c r="A2486" s="7" t="inlineStr">
        <is>
          <t>SHE36</t>
        </is>
      </c>
      <c r="B2486" s="8" t="n">
        <v>46078.75</v>
      </c>
      <c r="C2486" s="8" t="n">
        <v>46079.25</v>
      </c>
      <c r="D2486" s="9">
        <f>(C2486-B2486)*24</f>
        <v/>
      </c>
      <c r="E2486" s="10">
        <f>IF(AND(HOUR(B2486)&gt;=6,HOUR(B2486)&lt;18),"Day Shift","Night Shift")</f>
        <v/>
      </c>
      <c r="F2486" s="11">
        <f>INT(B2486)</f>
        <v/>
      </c>
      <c r="G2486" s="11">
        <f>INT(C2486)</f>
        <v/>
      </c>
    </row>
    <row r="2487">
      <c r="A2487" s="2" t="inlineStr">
        <is>
          <t>SHE36</t>
        </is>
      </c>
      <c r="B2487" s="3" t="n">
        <v>46079.25</v>
      </c>
      <c r="C2487" s="3" t="n">
        <v>46079.65524305555</v>
      </c>
      <c r="D2487" s="4">
        <f>(C2487-B2487)*24</f>
        <v/>
      </c>
      <c r="E2487" s="5">
        <f>IF(AND(HOUR(B2487)&gt;=6,HOUR(B2487)&lt;18),"Day Shift","Night Shift")</f>
        <v/>
      </c>
      <c r="F2487" s="6">
        <f>INT(B2487)</f>
        <v/>
      </c>
      <c r="G2487" s="6">
        <f>INT(C2487)</f>
        <v/>
      </c>
    </row>
    <row r="2488">
      <c r="A2488" s="2" t="inlineStr">
        <is>
          <t>EDD2541</t>
        </is>
      </c>
      <c r="B2488" s="3" t="n">
        <v>46078.58782407407</v>
      </c>
      <c r="C2488" s="3" t="n">
        <v>46078.75</v>
      </c>
      <c r="D2488" s="4">
        <f>(C2488-B2488)*24</f>
        <v/>
      </c>
      <c r="E2488" s="5">
        <f>IF(AND(HOUR(B2488)&gt;=6,HOUR(B2488)&lt;18),"Day Shift","Night Shift")</f>
        <v/>
      </c>
      <c r="F2488" s="6">
        <f>INT(B2488)</f>
        <v/>
      </c>
      <c r="G2488" s="6">
        <f>INT(C2488)</f>
        <v/>
      </c>
    </row>
    <row r="2489">
      <c r="A2489" s="7" t="inlineStr">
        <is>
          <t>EDD2541</t>
        </is>
      </c>
      <c r="B2489" s="8" t="n">
        <v>46078.75</v>
      </c>
      <c r="C2489" s="8" t="n">
        <v>46078.92824074074</v>
      </c>
      <c r="D2489" s="9">
        <f>(C2489-B2489)*24</f>
        <v/>
      </c>
      <c r="E2489" s="10">
        <f>IF(AND(HOUR(B2489)&gt;=6,HOUR(B2489)&lt;18),"Day Shift","Night Shift")</f>
        <v/>
      </c>
      <c r="F2489" s="11">
        <f>INT(B2489)</f>
        <v/>
      </c>
      <c r="G2489" s="11">
        <f>INT(C2489)</f>
        <v/>
      </c>
    </row>
    <row r="2490">
      <c r="A2490" s="7" t="inlineStr">
        <is>
          <t>EXD100</t>
        </is>
      </c>
      <c r="B2490" s="8" t="n">
        <v>46078.79436342593</v>
      </c>
      <c r="C2490" s="8" t="n">
        <v>46079.11855324074</v>
      </c>
      <c r="D2490" s="9">
        <f>(C2490-B2490)*24</f>
        <v/>
      </c>
      <c r="E2490" s="10">
        <f>IF(AND(HOUR(B2490)&gt;=6,HOUR(B2490)&lt;18),"Day Shift","Night Shift")</f>
        <v/>
      </c>
      <c r="F2490" s="11">
        <f>INT(B2490)</f>
        <v/>
      </c>
      <c r="G2490" s="11">
        <f>INT(C2490)</f>
        <v/>
      </c>
    </row>
    <row r="2491">
      <c r="A2491" s="7" t="inlineStr">
        <is>
          <t>EXD408</t>
        </is>
      </c>
      <c r="B2491" s="8" t="n">
        <v>46078.85653935185</v>
      </c>
      <c r="C2491" s="8" t="n">
        <v>46079.25</v>
      </c>
      <c r="D2491" s="9">
        <f>(C2491-B2491)*24</f>
        <v/>
      </c>
      <c r="E2491" s="10">
        <f>IF(AND(HOUR(B2491)&gt;=6,HOUR(B2491)&lt;18),"Day Shift","Night Shift")</f>
        <v/>
      </c>
      <c r="F2491" s="11">
        <f>INT(B2491)</f>
        <v/>
      </c>
      <c r="G2491" s="11">
        <f>INT(C2491)</f>
        <v/>
      </c>
    </row>
    <row r="2492">
      <c r="A2492" s="2" t="inlineStr">
        <is>
          <t>EXD408</t>
        </is>
      </c>
      <c r="B2492" s="3" t="n">
        <v>46079.25</v>
      </c>
      <c r="C2492" s="3" t="n">
        <v>46079.75</v>
      </c>
      <c r="D2492" s="4">
        <f>(C2492-B2492)*24</f>
        <v/>
      </c>
      <c r="E2492" s="5">
        <f>IF(AND(HOUR(B2492)&gt;=6,HOUR(B2492)&lt;18),"Day Shift","Night Shift")</f>
        <v/>
      </c>
      <c r="F2492" s="6">
        <f>INT(B2492)</f>
        <v/>
      </c>
      <c r="G2492" s="6">
        <f>INT(C2492)</f>
        <v/>
      </c>
    </row>
    <row r="2493">
      <c r="A2493" s="7" t="inlineStr">
        <is>
          <t>EXD408</t>
        </is>
      </c>
      <c r="B2493" s="8" t="n">
        <v>46079.75</v>
      </c>
      <c r="C2493" s="8" t="n">
        <v>46080.02560185185</v>
      </c>
      <c r="D2493" s="9">
        <f>(C2493-B2493)*24</f>
        <v/>
      </c>
      <c r="E2493" s="10">
        <f>IF(AND(HOUR(B2493)&gt;=6,HOUR(B2493)&lt;18),"Day Shift","Night Shift")</f>
        <v/>
      </c>
      <c r="F2493" s="11">
        <f>INT(B2493)</f>
        <v/>
      </c>
      <c r="G2493" s="11">
        <f>INT(C2493)</f>
        <v/>
      </c>
    </row>
    <row r="2494">
      <c r="A2494" s="7" t="inlineStr">
        <is>
          <t>EXD98</t>
        </is>
      </c>
      <c r="B2494" s="8" t="n">
        <v>46078.8596412037</v>
      </c>
      <c r="C2494" s="8" t="n">
        <v>46079.25</v>
      </c>
      <c r="D2494" s="9">
        <f>(C2494-B2494)*24</f>
        <v/>
      </c>
      <c r="E2494" s="10">
        <f>IF(AND(HOUR(B2494)&gt;=6,HOUR(B2494)&lt;18),"Day Shift","Night Shift")</f>
        <v/>
      </c>
      <c r="F2494" s="11">
        <f>INT(B2494)</f>
        <v/>
      </c>
      <c r="G2494" s="11">
        <f>INT(C2494)</f>
        <v/>
      </c>
    </row>
    <row r="2495">
      <c r="A2495" s="2" t="inlineStr">
        <is>
          <t>EXD98</t>
        </is>
      </c>
      <c r="B2495" s="3" t="n">
        <v>46079.25</v>
      </c>
      <c r="C2495" s="3" t="n">
        <v>46079.60357638889</v>
      </c>
      <c r="D2495" s="4">
        <f>(C2495-B2495)*24</f>
        <v/>
      </c>
      <c r="E2495" s="5">
        <f>IF(AND(HOUR(B2495)&gt;=6,HOUR(B2495)&lt;18),"Day Shift","Night Shift")</f>
        <v/>
      </c>
      <c r="F2495" s="6">
        <f>INT(B2495)</f>
        <v/>
      </c>
      <c r="G2495" s="6">
        <f>INT(C2495)</f>
        <v/>
      </c>
    </row>
    <row r="2496">
      <c r="A2496" s="7" t="inlineStr">
        <is>
          <t>EDD2541</t>
        </is>
      </c>
      <c r="B2496" s="8" t="n">
        <v>46078.92824074074</v>
      </c>
      <c r="C2496" s="8" t="n">
        <v>46079.25</v>
      </c>
      <c r="D2496" s="9">
        <f>(C2496-B2496)*24</f>
        <v/>
      </c>
      <c r="E2496" s="10">
        <f>IF(AND(HOUR(B2496)&gt;=6,HOUR(B2496)&lt;18),"Day Shift","Night Shift")</f>
        <v/>
      </c>
      <c r="F2496" s="11">
        <f>INT(B2496)</f>
        <v/>
      </c>
      <c r="G2496" s="11">
        <f>INT(C2496)</f>
        <v/>
      </c>
    </row>
    <row r="2497">
      <c r="A2497" s="2" t="inlineStr">
        <is>
          <t>EDD2541</t>
        </is>
      </c>
      <c r="B2497" s="3" t="n">
        <v>46079.25</v>
      </c>
      <c r="C2497" s="3" t="n">
        <v>46079.61440972222</v>
      </c>
      <c r="D2497" s="4">
        <f>(C2497-B2497)*24</f>
        <v/>
      </c>
      <c r="E2497" s="5">
        <f>IF(AND(HOUR(B2497)&gt;=6,HOUR(B2497)&lt;18),"Day Shift","Night Shift")</f>
        <v/>
      </c>
      <c r="F2497" s="6">
        <f>INT(B2497)</f>
        <v/>
      </c>
      <c r="G2497" s="6">
        <f>INT(C2497)</f>
        <v/>
      </c>
    </row>
    <row r="2498">
      <c r="A2498" s="7" t="inlineStr">
        <is>
          <t>EDD175;EDD2134</t>
        </is>
      </c>
      <c r="B2498" s="8" t="n">
        <v>46079.05989583334</v>
      </c>
      <c r="C2498" s="8" t="n">
        <v>46079.25</v>
      </c>
      <c r="D2498" s="9">
        <f>(C2498-B2498)*24</f>
        <v/>
      </c>
      <c r="E2498" s="10">
        <f>IF(AND(HOUR(B2498)&gt;=6,HOUR(B2498)&lt;18),"Day Shift","Night Shift")</f>
        <v/>
      </c>
      <c r="F2498" s="11">
        <f>INT(B2498)</f>
        <v/>
      </c>
      <c r="G2498" s="11">
        <f>INT(C2498)</f>
        <v/>
      </c>
    </row>
    <row r="2499">
      <c r="A2499" s="2" t="inlineStr">
        <is>
          <t>EDD175;EDD2134</t>
        </is>
      </c>
      <c r="B2499" s="3" t="n">
        <v>46079.25</v>
      </c>
      <c r="C2499" s="3" t="n">
        <v>46079.56981481481</v>
      </c>
      <c r="D2499" s="4">
        <f>(C2499-B2499)*24</f>
        <v/>
      </c>
      <c r="E2499" s="5">
        <f>IF(AND(HOUR(B2499)&gt;=6,HOUR(B2499)&lt;18),"Day Shift","Night Shift")</f>
        <v/>
      </c>
      <c r="F2499" s="6">
        <f>INT(B2499)</f>
        <v/>
      </c>
      <c r="G2499" s="6">
        <f>INT(C2499)</f>
        <v/>
      </c>
    </row>
    <row r="2500">
      <c r="A2500" s="7" t="inlineStr">
        <is>
          <t>EDD1932</t>
        </is>
      </c>
      <c r="B2500" s="8" t="n">
        <v>46079.12952546297</v>
      </c>
      <c r="C2500" s="8" t="n">
        <v>46079.25</v>
      </c>
      <c r="D2500" s="9">
        <f>(C2500-B2500)*24</f>
        <v/>
      </c>
      <c r="E2500" s="10">
        <f>IF(AND(HOUR(B2500)&gt;=6,HOUR(B2500)&lt;18),"Day Shift","Night Shift")</f>
        <v/>
      </c>
      <c r="F2500" s="11">
        <f>INT(B2500)</f>
        <v/>
      </c>
      <c r="G2500" s="11">
        <f>INT(C2500)</f>
        <v/>
      </c>
    </row>
    <row r="2501">
      <c r="A2501" s="2" t="inlineStr">
        <is>
          <t>EDD1932</t>
        </is>
      </c>
      <c r="B2501" s="3" t="n">
        <v>46079.25</v>
      </c>
      <c r="C2501" s="3" t="n">
        <v>46079.69893518519</v>
      </c>
      <c r="D2501" s="4">
        <f>(C2501-B2501)*24</f>
        <v/>
      </c>
      <c r="E2501" s="5">
        <f>IF(AND(HOUR(B2501)&gt;=6,HOUR(B2501)&lt;18),"Day Shift","Night Shift")</f>
        <v/>
      </c>
      <c r="F2501" s="6">
        <f>INT(B2501)</f>
        <v/>
      </c>
      <c r="G2501" s="6">
        <f>INT(C2501)</f>
        <v/>
      </c>
    </row>
    <row r="2502">
      <c r="A2502" s="7" t="inlineStr">
        <is>
          <t>EDD812;EDD1932</t>
        </is>
      </c>
      <c r="B2502" s="8" t="n">
        <v>46079.12952546297</v>
      </c>
      <c r="C2502" s="8" t="n">
        <v>46079.25</v>
      </c>
      <c r="D2502" s="9">
        <f>(C2502-B2502)*24</f>
        <v/>
      </c>
      <c r="E2502" s="10">
        <f>IF(AND(HOUR(B2502)&gt;=6,HOUR(B2502)&lt;18),"Day Shift","Night Shift")</f>
        <v/>
      </c>
      <c r="F2502" s="11">
        <f>INT(B2502)</f>
        <v/>
      </c>
      <c r="G2502" s="11">
        <f>INT(C2502)</f>
        <v/>
      </c>
    </row>
    <row r="2503">
      <c r="A2503" s="2" t="inlineStr">
        <is>
          <t>EDD812;EDD1932</t>
        </is>
      </c>
      <c r="B2503" s="3" t="n">
        <v>46079.25</v>
      </c>
      <c r="C2503" s="3" t="n">
        <v>46079.7178587963</v>
      </c>
      <c r="D2503" s="4">
        <f>(C2503-B2503)*24</f>
        <v/>
      </c>
      <c r="E2503" s="5">
        <f>IF(AND(HOUR(B2503)&gt;=6,HOUR(B2503)&lt;18),"Day Shift","Night Shift")</f>
        <v/>
      </c>
      <c r="F2503" s="6">
        <f>INT(B2503)</f>
        <v/>
      </c>
      <c r="G2503" s="6">
        <f>INT(C2503)</f>
        <v/>
      </c>
    </row>
    <row r="2504">
      <c r="A2504" s="7" t="inlineStr">
        <is>
          <t>EXD56</t>
        </is>
      </c>
      <c r="B2504" s="8" t="n">
        <v>46079.15143518519</v>
      </c>
      <c r="C2504" s="8" t="n">
        <v>46079.25</v>
      </c>
      <c r="D2504" s="9">
        <f>(C2504-B2504)*24</f>
        <v/>
      </c>
      <c r="E2504" s="10">
        <f>IF(AND(HOUR(B2504)&gt;=6,HOUR(B2504)&lt;18),"Day Shift","Night Shift")</f>
        <v/>
      </c>
      <c r="F2504" s="11">
        <f>INT(B2504)</f>
        <v/>
      </c>
      <c r="G2504" s="11">
        <f>INT(C2504)</f>
        <v/>
      </c>
    </row>
    <row r="2505">
      <c r="A2505" s="2" t="inlineStr">
        <is>
          <t>EXD56</t>
        </is>
      </c>
      <c r="B2505" s="3" t="n">
        <v>46079.25</v>
      </c>
      <c r="C2505" s="3" t="n">
        <v>46079.75</v>
      </c>
      <c r="D2505" s="4">
        <f>(C2505-B2505)*24</f>
        <v/>
      </c>
      <c r="E2505" s="5">
        <f>IF(AND(HOUR(B2505)&gt;=6,HOUR(B2505)&lt;18),"Day Shift","Night Shift")</f>
        <v/>
      </c>
      <c r="F2505" s="6">
        <f>INT(B2505)</f>
        <v/>
      </c>
      <c r="G2505" s="6">
        <f>INT(C2505)</f>
        <v/>
      </c>
    </row>
    <row r="2506">
      <c r="A2506" s="7" t="inlineStr">
        <is>
          <t>EXD56</t>
        </is>
      </c>
      <c r="B2506" s="8" t="n">
        <v>46079.75</v>
      </c>
      <c r="C2506" s="8" t="n">
        <v>46080.25</v>
      </c>
      <c r="D2506" s="9">
        <f>(C2506-B2506)*24</f>
        <v/>
      </c>
      <c r="E2506" s="10">
        <f>IF(AND(HOUR(B2506)&gt;=6,HOUR(B2506)&lt;18),"Day Shift","Night Shift")</f>
        <v/>
      </c>
      <c r="F2506" s="11">
        <f>INT(B2506)</f>
        <v/>
      </c>
      <c r="G2506" s="11">
        <f>INT(C2506)</f>
        <v/>
      </c>
    </row>
    <row r="2507">
      <c r="A2507" s="2" t="inlineStr">
        <is>
          <t>EXD56</t>
        </is>
      </c>
      <c r="B2507" s="3" t="n">
        <v>46080.25</v>
      </c>
      <c r="C2507" s="3" t="n">
        <v>46080.75</v>
      </c>
      <c r="D2507" s="4">
        <f>(C2507-B2507)*24</f>
        <v/>
      </c>
      <c r="E2507" s="5">
        <f>IF(AND(HOUR(B2507)&gt;=6,HOUR(B2507)&lt;18),"Day Shift","Night Shift")</f>
        <v/>
      </c>
      <c r="F2507" s="6">
        <f>INT(B2507)</f>
        <v/>
      </c>
      <c r="G2507" s="6">
        <f>INT(C2507)</f>
        <v/>
      </c>
    </row>
    <row r="2508">
      <c r="A2508" s="7" t="inlineStr">
        <is>
          <t>EXD56</t>
        </is>
      </c>
      <c r="B2508" s="8" t="n">
        <v>46080.75</v>
      </c>
      <c r="C2508" s="8" t="n">
        <v>46080.93278935185</v>
      </c>
      <c r="D2508" s="9">
        <f>(C2508-B2508)*24</f>
        <v/>
      </c>
      <c r="E2508" s="10">
        <f>IF(AND(HOUR(B2508)&gt;=6,HOUR(B2508)&lt;18),"Day Shift","Night Shift")</f>
        <v/>
      </c>
      <c r="F2508" s="11">
        <f>INT(B2508)</f>
        <v/>
      </c>
      <c r="G2508" s="11">
        <f>INT(C2508)</f>
        <v/>
      </c>
    </row>
    <row r="2509">
      <c r="A2509" s="7" t="inlineStr">
        <is>
          <t>EXD407</t>
        </is>
      </c>
      <c r="B2509" s="8" t="n">
        <v>46079.17550925926</v>
      </c>
      <c r="C2509" s="8" t="n">
        <v>46079.25</v>
      </c>
      <c r="D2509" s="9">
        <f>(C2509-B2509)*24</f>
        <v/>
      </c>
      <c r="E2509" s="10">
        <f>IF(AND(HOUR(B2509)&gt;=6,HOUR(B2509)&lt;18),"Day Shift","Night Shift")</f>
        <v/>
      </c>
      <c r="F2509" s="11">
        <f>INT(B2509)</f>
        <v/>
      </c>
      <c r="G2509" s="11">
        <f>INT(C2509)</f>
        <v/>
      </c>
    </row>
    <row r="2510">
      <c r="A2510" s="2" t="inlineStr">
        <is>
          <t>EXD407</t>
        </is>
      </c>
      <c r="B2510" s="3" t="n">
        <v>46079.25</v>
      </c>
      <c r="C2510" s="3" t="n">
        <v>46079.75</v>
      </c>
      <c r="D2510" s="4">
        <f>(C2510-B2510)*24</f>
        <v/>
      </c>
      <c r="E2510" s="5">
        <f>IF(AND(HOUR(B2510)&gt;=6,HOUR(B2510)&lt;18),"Day Shift","Night Shift")</f>
        <v/>
      </c>
      <c r="F2510" s="6">
        <f>INT(B2510)</f>
        <v/>
      </c>
      <c r="G2510" s="6">
        <f>INT(C2510)</f>
        <v/>
      </c>
    </row>
    <row r="2511">
      <c r="A2511" s="7" t="inlineStr">
        <is>
          <t>EXD407</t>
        </is>
      </c>
      <c r="B2511" s="8" t="n">
        <v>46079.75</v>
      </c>
      <c r="C2511" s="8" t="n">
        <v>46080.25</v>
      </c>
      <c r="D2511" s="9">
        <f>(C2511-B2511)*24</f>
        <v/>
      </c>
      <c r="E2511" s="10">
        <f>IF(AND(HOUR(B2511)&gt;=6,HOUR(B2511)&lt;18),"Day Shift","Night Shift")</f>
        <v/>
      </c>
      <c r="F2511" s="11">
        <f>INT(B2511)</f>
        <v/>
      </c>
      <c r="G2511" s="11">
        <f>INT(C2511)</f>
        <v/>
      </c>
    </row>
    <row r="2512">
      <c r="A2512" s="2" t="inlineStr">
        <is>
          <t>EXD407</t>
        </is>
      </c>
      <c r="B2512" s="3" t="n">
        <v>46080.25</v>
      </c>
      <c r="C2512" s="3" t="n">
        <v>46080.62626157407</v>
      </c>
      <c r="D2512" s="4">
        <f>(C2512-B2512)*24</f>
        <v/>
      </c>
      <c r="E2512" s="5">
        <f>IF(AND(HOUR(B2512)&gt;=6,HOUR(B2512)&lt;18),"Day Shift","Night Shift")</f>
        <v/>
      </c>
      <c r="F2512" s="6">
        <f>INT(B2512)</f>
        <v/>
      </c>
      <c r="G2512" s="6">
        <f>INT(C2512)</f>
        <v/>
      </c>
    </row>
    <row r="2513">
      <c r="A2513" s="7" t="inlineStr">
        <is>
          <t>EXD61</t>
        </is>
      </c>
      <c r="B2513" s="8" t="n">
        <v>46079.24399305556</v>
      </c>
      <c r="C2513" s="8" t="n">
        <v>46079.25</v>
      </c>
      <c r="D2513" s="9">
        <f>(C2513-B2513)*24</f>
        <v/>
      </c>
      <c r="E2513" s="10">
        <f>IF(AND(HOUR(B2513)&gt;=6,HOUR(B2513)&lt;18),"Day Shift","Night Shift")</f>
        <v/>
      </c>
      <c r="F2513" s="11">
        <f>INT(B2513)</f>
        <v/>
      </c>
      <c r="G2513" s="11">
        <f>INT(C2513)</f>
        <v/>
      </c>
    </row>
    <row r="2514">
      <c r="A2514" s="2" t="inlineStr">
        <is>
          <t>EXD61</t>
        </is>
      </c>
      <c r="B2514" s="3" t="n">
        <v>46079.25</v>
      </c>
      <c r="C2514" s="3" t="n">
        <v>46079.75</v>
      </c>
      <c r="D2514" s="4">
        <f>(C2514-B2514)*24</f>
        <v/>
      </c>
      <c r="E2514" s="5">
        <f>IF(AND(HOUR(B2514)&gt;=6,HOUR(B2514)&lt;18),"Day Shift","Night Shift")</f>
        <v/>
      </c>
      <c r="F2514" s="6">
        <f>INT(B2514)</f>
        <v/>
      </c>
      <c r="G2514" s="6">
        <f>INT(C2514)</f>
        <v/>
      </c>
    </row>
    <row r="2515">
      <c r="A2515" s="7" t="inlineStr">
        <is>
          <t>EXD61</t>
        </is>
      </c>
      <c r="B2515" s="8" t="n">
        <v>46079.75</v>
      </c>
      <c r="C2515" s="8" t="n">
        <v>46079.96952546296</v>
      </c>
      <c r="D2515" s="9">
        <f>(C2515-B2515)*24</f>
        <v/>
      </c>
      <c r="E2515" s="10">
        <f>IF(AND(HOUR(B2515)&gt;=6,HOUR(B2515)&lt;18),"Day Shift","Night Shift")</f>
        <v/>
      </c>
      <c r="F2515" s="11">
        <f>INT(B2515)</f>
        <v/>
      </c>
      <c r="G2515" s="11">
        <f>INT(C2515)</f>
        <v/>
      </c>
    </row>
    <row r="2516">
      <c r="A2516" s="2" t="inlineStr">
        <is>
          <t>R02S Blockage</t>
        </is>
      </c>
      <c r="B2516" s="3" t="n">
        <v>46079.25</v>
      </c>
      <c r="C2516" s="3" t="n">
        <v>46079.75</v>
      </c>
      <c r="D2516" s="4">
        <f>(C2516-B2516)*24</f>
        <v/>
      </c>
      <c r="E2516" s="5">
        <f>IF(AND(HOUR(B2516)&gt;=6,HOUR(B2516)&lt;18),"Day Shift","Night Shift")</f>
        <v/>
      </c>
      <c r="F2516" s="6">
        <f>INT(B2516)</f>
        <v/>
      </c>
      <c r="G2516" s="6">
        <f>INT(C2516)</f>
        <v/>
      </c>
    </row>
    <row r="2517">
      <c r="A2517" s="7" t="inlineStr">
        <is>
          <t>R02S Blockage</t>
        </is>
      </c>
      <c r="B2517" s="8" t="n">
        <v>46079.75</v>
      </c>
      <c r="C2517" s="8" t="n">
        <v>46080.25</v>
      </c>
      <c r="D2517" s="9">
        <f>(C2517-B2517)*24</f>
        <v/>
      </c>
      <c r="E2517" s="10">
        <f>IF(AND(HOUR(B2517)&gt;=6,HOUR(B2517)&lt;18),"Day Shift","Night Shift")</f>
        <v/>
      </c>
      <c r="F2517" s="11">
        <f>INT(B2517)</f>
        <v/>
      </c>
      <c r="G2517" s="11">
        <f>INT(C2517)</f>
        <v/>
      </c>
    </row>
    <row r="2518">
      <c r="A2518" s="2" t="inlineStr">
        <is>
          <t>R02S Blockage</t>
        </is>
      </c>
      <c r="B2518" s="3" t="n">
        <v>46080.25</v>
      </c>
      <c r="C2518" s="3" t="n">
        <v>46080.75</v>
      </c>
      <c r="D2518" s="4">
        <f>(C2518-B2518)*24</f>
        <v/>
      </c>
      <c r="E2518" s="5">
        <f>IF(AND(HOUR(B2518)&gt;=6,HOUR(B2518)&lt;18),"Day Shift","Night Shift")</f>
        <v/>
      </c>
      <c r="F2518" s="6">
        <f>INT(B2518)</f>
        <v/>
      </c>
      <c r="G2518" s="6">
        <f>INT(C2518)</f>
        <v/>
      </c>
    </row>
    <row r="2519">
      <c r="A2519" s="7" t="inlineStr">
        <is>
          <t>R02S Blockage</t>
        </is>
      </c>
      <c r="B2519" s="8" t="n">
        <v>46080.75</v>
      </c>
      <c r="C2519" s="8" t="n">
        <v>46081.25</v>
      </c>
      <c r="D2519" s="9">
        <f>(C2519-B2519)*24</f>
        <v/>
      </c>
      <c r="E2519" s="10">
        <f>IF(AND(HOUR(B2519)&gt;=6,HOUR(B2519)&lt;18),"Day Shift","Night Shift")</f>
        <v/>
      </c>
      <c r="F2519" s="11">
        <f>INT(B2519)</f>
        <v/>
      </c>
      <c r="G2519" s="11">
        <f>INT(C2519)</f>
        <v/>
      </c>
    </row>
    <row r="2520">
      <c r="A2520" s="2" t="inlineStr">
        <is>
          <t>R02S Blockage</t>
        </is>
      </c>
      <c r="B2520" s="3" t="n">
        <v>46081.25</v>
      </c>
      <c r="C2520" s="3" t="n">
        <v>46081.75</v>
      </c>
      <c r="D2520" s="4">
        <f>(C2520-B2520)*24</f>
        <v/>
      </c>
      <c r="E2520" s="5">
        <f>IF(AND(HOUR(B2520)&gt;=6,HOUR(B2520)&lt;18),"Day Shift","Night Shift")</f>
        <v/>
      </c>
      <c r="F2520" s="6">
        <f>INT(B2520)</f>
        <v/>
      </c>
      <c r="G2520" s="6">
        <f>INT(C2520)</f>
        <v/>
      </c>
    </row>
    <row r="2521">
      <c r="A2521" s="7" t="inlineStr">
        <is>
          <t>R02S Blockage</t>
        </is>
      </c>
      <c r="B2521" s="8" t="n">
        <v>46081.75</v>
      </c>
      <c r="C2521" s="8" t="n">
        <v>46082.25</v>
      </c>
      <c r="D2521" s="9">
        <f>(C2521-B2521)*24</f>
        <v/>
      </c>
      <c r="E2521" s="10">
        <f>IF(AND(HOUR(B2521)&gt;=6,HOUR(B2521)&lt;18),"Day Shift","Night Shift")</f>
        <v/>
      </c>
      <c r="F2521" s="11">
        <f>INT(B2521)</f>
        <v/>
      </c>
      <c r="G2521" s="11">
        <f>INT(C2521)</f>
        <v/>
      </c>
    </row>
    <row r="2522">
      <c r="A2522" s="2" t="inlineStr">
        <is>
          <t>R02S Blockage</t>
        </is>
      </c>
      <c r="B2522" s="3" t="n">
        <v>46082.25</v>
      </c>
      <c r="C2522" s="3" t="n">
        <v>46082.75</v>
      </c>
      <c r="D2522" s="4">
        <f>(C2522-B2522)*24</f>
        <v/>
      </c>
      <c r="E2522" s="5">
        <f>IF(AND(HOUR(B2522)&gt;=6,HOUR(B2522)&lt;18),"Day Shift","Night Shift")</f>
        <v/>
      </c>
      <c r="F2522" s="6">
        <f>INT(B2522)</f>
        <v/>
      </c>
      <c r="G2522" s="6">
        <f>INT(C2522)</f>
        <v/>
      </c>
    </row>
    <row r="2523">
      <c r="A2523" s="7" t="inlineStr">
        <is>
          <t>R02S Blockage</t>
        </is>
      </c>
      <c r="B2523" s="8" t="n">
        <v>46082.75</v>
      </c>
      <c r="C2523" s="8" t="n">
        <v>46083.25</v>
      </c>
      <c r="D2523" s="9">
        <f>(C2523-B2523)*24</f>
        <v/>
      </c>
      <c r="E2523" s="10">
        <f>IF(AND(HOUR(B2523)&gt;=6,HOUR(B2523)&lt;18),"Day Shift","Night Shift")</f>
        <v/>
      </c>
      <c r="F2523" s="11">
        <f>INT(B2523)</f>
        <v/>
      </c>
      <c r="G2523" s="11">
        <f>INT(C2523)</f>
        <v/>
      </c>
    </row>
    <row r="2524">
      <c r="A2524" s="2" t="inlineStr">
        <is>
          <t>R02S Blockage</t>
        </is>
      </c>
      <c r="B2524" s="3" t="n">
        <v>46083.25</v>
      </c>
      <c r="C2524" s="3" t="n">
        <v>46083.75</v>
      </c>
      <c r="D2524" s="4">
        <f>(C2524-B2524)*24</f>
        <v/>
      </c>
      <c r="E2524" s="5">
        <f>IF(AND(HOUR(B2524)&gt;=6,HOUR(B2524)&lt;18),"Day Shift","Night Shift")</f>
        <v/>
      </c>
      <c r="F2524" s="6">
        <f>INT(B2524)</f>
        <v/>
      </c>
      <c r="G2524" s="6">
        <f>INT(C2524)</f>
        <v/>
      </c>
    </row>
    <row r="2525">
      <c r="A2525" s="7" t="inlineStr">
        <is>
          <t>R02S Blockage</t>
        </is>
      </c>
      <c r="B2525" s="8" t="n">
        <v>46083.75</v>
      </c>
      <c r="C2525" s="8" t="n">
        <v>46084.25</v>
      </c>
      <c r="D2525" s="9">
        <f>(C2525-B2525)*24</f>
        <v/>
      </c>
      <c r="E2525" s="10">
        <f>IF(AND(HOUR(B2525)&gt;=6,HOUR(B2525)&lt;18),"Day Shift","Night Shift")</f>
        <v/>
      </c>
      <c r="F2525" s="11">
        <f>INT(B2525)</f>
        <v/>
      </c>
      <c r="G2525" s="11">
        <f>INT(C2525)</f>
        <v/>
      </c>
    </row>
    <row r="2526">
      <c r="A2526" s="2" t="inlineStr">
        <is>
          <t>R02S Blockage</t>
        </is>
      </c>
      <c r="B2526" s="3" t="n">
        <v>46084.25</v>
      </c>
      <c r="C2526" s="3" t="n">
        <v>46084.75</v>
      </c>
      <c r="D2526" s="4">
        <f>(C2526-B2526)*24</f>
        <v/>
      </c>
      <c r="E2526" s="5">
        <f>IF(AND(HOUR(B2526)&gt;=6,HOUR(B2526)&lt;18),"Day Shift","Night Shift")</f>
        <v/>
      </c>
      <c r="F2526" s="6">
        <f>INT(B2526)</f>
        <v/>
      </c>
      <c r="G2526" s="6">
        <f>INT(C2526)</f>
        <v/>
      </c>
    </row>
    <row r="2527">
      <c r="A2527" s="7" t="inlineStr">
        <is>
          <t>R02S Blockage</t>
        </is>
      </c>
      <c r="B2527" s="8" t="n">
        <v>46084.75</v>
      </c>
      <c r="C2527" s="8" t="n">
        <v>46085.25</v>
      </c>
      <c r="D2527" s="9">
        <f>(C2527-B2527)*24</f>
        <v/>
      </c>
      <c r="E2527" s="10">
        <f>IF(AND(HOUR(B2527)&gt;=6,HOUR(B2527)&lt;18),"Day Shift","Night Shift")</f>
        <v/>
      </c>
      <c r="F2527" s="11">
        <f>INT(B2527)</f>
        <v/>
      </c>
      <c r="G2527" s="11">
        <f>INT(C2527)</f>
        <v/>
      </c>
    </row>
    <row r="2528">
      <c r="A2528" s="2" t="inlineStr">
        <is>
          <t>R02S Blockage</t>
        </is>
      </c>
      <c r="B2528" s="3" t="n">
        <v>46085.25</v>
      </c>
      <c r="C2528" s="3" t="n">
        <v>46085.75</v>
      </c>
      <c r="D2528" s="4">
        <f>(C2528-B2528)*24</f>
        <v/>
      </c>
      <c r="E2528" s="5">
        <f>IF(AND(HOUR(B2528)&gt;=6,HOUR(B2528)&lt;18),"Day Shift","Night Shift")</f>
        <v/>
      </c>
      <c r="F2528" s="6">
        <f>INT(B2528)</f>
        <v/>
      </c>
      <c r="G2528" s="6">
        <f>INT(C2528)</f>
        <v/>
      </c>
    </row>
    <row r="2529">
      <c r="A2529" s="7" t="inlineStr">
        <is>
          <t>R02S Blockage</t>
        </is>
      </c>
      <c r="B2529" s="8" t="n">
        <v>46085.75</v>
      </c>
      <c r="C2529" s="8" t="n">
        <v>46086.25</v>
      </c>
      <c r="D2529" s="9">
        <f>(C2529-B2529)*24</f>
        <v/>
      </c>
      <c r="E2529" s="10">
        <f>IF(AND(HOUR(B2529)&gt;=6,HOUR(B2529)&lt;18),"Day Shift","Night Shift")</f>
        <v/>
      </c>
      <c r="F2529" s="11">
        <f>INT(B2529)</f>
        <v/>
      </c>
      <c r="G2529" s="11">
        <f>INT(C2529)</f>
        <v/>
      </c>
    </row>
    <row r="2530">
      <c r="A2530" s="2" t="inlineStr">
        <is>
          <t>R02S Blockage</t>
        </is>
      </c>
      <c r="B2530" s="3" t="n">
        <v>46086.25</v>
      </c>
      <c r="C2530" s="3" t="n">
        <v>46086.75</v>
      </c>
      <c r="D2530" s="4">
        <f>(C2530-B2530)*24</f>
        <v/>
      </c>
      <c r="E2530" s="5">
        <f>IF(AND(HOUR(B2530)&gt;=6,HOUR(B2530)&lt;18),"Day Shift","Night Shift")</f>
        <v/>
      </c>
      <c r="F2530" s="6">
        <f>INT(B2530)</f>
        <v/>
      </c>
      <c r="G2530" s="6">
        <f>INT(C2530)</f>
        <v/>
      </c>
    </row>
    <row r="2531">
      <c r="A2531" s="7" t="inlineStr">
        <is>
          <t>R02S Blockage</t>
        </is>
      </c>
      <c r="B2531" s="8" t="n">
        <v>46086.75</v>
      </c>
      <c r="C2531" s="8" t="n">
        <v>46087.25</v>
      </c>
      <c r="D2531" s="9">
        <f>(C2531-B2531)*24</f>
        <v/>
      </c>
      <c r="E2531" s="10">
        <f>IF(AND(HOUR(B2531)&gt;=6,HOUR(B2531)&lt;18),"Day Shift","Night Shift")</f>
        <v/>
      </c>
      <c r="F2531" s="11">
        <f>INT(B2531)</f>
        <v/>
      </c>
      <c r="G2531" s="11">
        <f>INT(C2531)</f>
        <v/>
      </c>
    </row>
    <row r="2532">
      <c r="A2532" s="2" t="inlineStr">
        <is>
          <t>R02S Blockage</t>
        </is>
      </c>
      <c r="B2532" s="3" t="n">
        <v>46087.25</v>
      </c>
      <c r="C2532" s="3" t="n">
        <v>46087.75</v>
      </c>
      <c r="D2532" s="4">
        <f>(C2532-B2532)*24</f>
        <v/>
      </c>
      <c r="E2532" s="5">
        <f>IF(AND(HOUR(B2532)&gt;=6,HOUR(B2532)&lt;18),"Day Shift","Night Shift")</f>
        <v/>
      </c>
      <c r="F2532" s="6">
        <f>INT(B2532)</f>
        <v/>
      </c>
      <c r="G2532" s="6">
        <f>INT(C2532)</f>
        <v/>
      </c>
    </row>
    <row r="2533">
      <c r="A2533" s="7" t="inlineStr">
        <is>
          <t>R02S Blockage</t>
        </is>
      </c>
      <c r="B2533" s="8" t="n">
        <v>46087.75</v>
      </c>
      <c r="C2533" s="8" t="n">
        <v>46088.25</v>
      </c>
      <c r="D2533" s="9">
        <f>(C2533-B2533)*24</f>
        <v/>
      </c>
      <c r="E2533" s="10">
        <f>IF(AND(HOUR(B2533)&gt;=6,HOUR(B2533)&lt;18),"Day Shift","Night Shift")</f>
        <v/>
      </c>
      <c r="F2533" s="11">
        <f>INT(B2533)</f>
        <v/>
      </c>
      <c r="G2533" s="11">
        <f>INT(C2533)</f>
        <v/>
      </c>
    </row>
    <row r="2534">
      <c r="A2534" s="2" t="inlineStr">
        <is>
          <t>R02S Blockage</t>
        </is>
      </c>
      <c r="B2534" s="3" t="n">
        <v>46088.25</v>
      </c>
      <c r="C2534" s="3" t="n">
        <v>46088.75</v>
      </c>
      <c r="D2534" s="4">
        <f>(C2534-B2534)*24</f>
        <v/>
      </c>
      <c r="E2534" s="5">
        <f>IF(AND(HOUR(B2534)&gt;=6,HOUR(B2534)&lt;18),"Day Shift","Night Shift")</f>
        <v/>
      </c>
      <c r="F2534" s="6">
        <f>INT(B2534)</f>
        <v/>
      </c>
      <c r="G2534" s="6">
        <f>INT(C2534)</f>
        <v/>
      </c>
    </row>
    <row r="2535">
      <c r="A2535" s="7" t="inlineStr">
        <is>
          <t>R02S Blockage</t>
        </is>
      </c>
      <c r="B2535" s="8" t="n">
        <v>46088.75</v>
      </c>
      <c r="C2535" s="8" t="n">
        <v>46089.25</v>
      </c>
      <c r="D2535" s="9">
        <f>(C2535-B2535)*24</f>
        <v/>
      </c>
      <c r="E2535" s="10">
        <f>IF(AND(HOUR(B2535)&gt;=6,HOUR(B2535)&lt;18),"Day Shift","Night Shift")</f>
        <v/>
      </c>
      <c r="F2535" s="11">
        <f>INT(B2535)</f>
        <v/>
      </c>
      <c r="G2535" s="11">
        <f>INT(C2535)</f>
        <v/>
      </c>
    </row>
    <row r="2536">
      <c r="A2536" s="2" t="inlineStr">
        <is>
          <t>R02S Blockage</t>
        </is>
      </c>
      <c r="B2536" s="3" t="n">
        <v>46089.25</v>
      </c>
      <c r="C2536" s="3" t="n">
        <v>46089.75</v>
      </c>
      <c r="D2536" s="4">
        <f>(C2536-B2536)*24</f>
        <v/>
      </c>
      <c r="E2536" s="5">
        <f>IF(AND(HOUR(B2536)&gt;=6,HOUR(B2536)&lt;18),"Day Shift","Night Shift")</f>
        <v/>
      </c>
      <c r="F2536" s="6">
        <f>INT(B2536)</f>
        <v/>
      </c>
      <c r="G2536" s="6">
        <f>INT(C2536)</f>
        <v/>
      </c>
    </row>
    <row r="2537">
      <c r="A2537" s="7" t="inlineStr">
        <is>
          <t>R02S Blockage</t>
        </is>
      </c>
      <c r="B2537" s="8" t="n">
        <v>46089.75</v>
      </c>
      <c r="C2537" s="8" t="n">
        <v>46090.25</v>
      </c>
      <c r="D2537" s="9">
        <f>(C2537-B2537)*24</f>
        <v/>
      </c>
      <c r="E2537" s="10">
        <f>IF(AND(HOUR(B2537)&gt;=6,HOUR(B2537)&lt;18),"Day Shift","Night Shift")</f>
        <v/>
      </c>
      <c r="F2537" s="11">
        <f>INT(B2537)</f>
        <v/>
      </c>
      <c r="G2537" s="11">
        <f>INT(C2537)</f>
        <v/>
      </c>
    </row>
    <row r="2538">
      <c r="A2538" s="2" t="inlineStr">
        <is>
          <t>R02S Blockage</t>
        </is>
      </c>
      <c r="B2538" s="3" t="n">
        <v>46090.25</v>
      </c>
      <c r="C2538" s="3" t="n">
        <v>46090.75</v>
      </c>
      <c r="D2538" s="4">
        <f>(C2538-B2538)*24</f>
        <v/>
      </c>
      <c r="E2538" s="5">
        <f>IF(AND(HOUR(B2538)&gt;=6,HOUR(B2538)&lt;18),"Day Shift","Night Shift")</f>
        <v/>
      </c>
      <c r="F2538" s="6">
        <f>INT(B2538)</f>
        <v/>
      </c>
      <c r="G2538" s="6">
        <f>INT(C2538)</f>
        <v/>
      </c>
    </row>
    <row r="2539">
      <c r="A2539" s="7" t="inlineStr">
        <is>
          <t>R02S Blockage</t>
        </is>
      </c>
      <c r="B2539" s="8" t="n">
        <v>46090.75</v>
      </c>
      <c r="C2539" s="8" t="n">
        <v>46091.25</v>
      </c>
      <c r="D2539" s="9">
        <f>(C2539-B2539)*24</f>
        <v/>
      </c>
      <c r="E2539" s="10">
        <f>IF(AND(HOUR(B2539)&gt;=6,HOUR(B2539)&lt;18),"Day Shift","Night Shift")</f>
        <v/>
      </c>
      <c r="F2539" s="11">
        <f>INT(B2539)</f>
        <v/>
      </c>
      <c r="G2539" s="11">
        <f>INT(C2539)</f>
        <v/>
      </c>
    </row>
    <row r="2540">
      <c r="A2540" s="2" t="inlineStr">
        <is>
          <t>R02S Blockage</t>
        </is>
      </c>
      <c r="B2540" s="3" t="n">
        <v>46091.25</v>
      </c>
      <c r="C2540" s="3" t="n">
        <v>46091.75</v>
      </c>
      <c r="D2540" s="4">
        <f>(C2540-B2540)*24</f>
        <v/>
      </c>
      <c r="E2540" s="5">
        <f>IF(AND(HOUR(B2540)&gt;=6,HOUR(B2540)&lt;18),"Day Shift","Night Shift")</f>
        <v/>
      </c>
      <c r="F2540" s="6">
        <f>INT(B2540)</f>
        <v/>
      </c>
      <c r="G2540" s="6">
        <f>INT(C2540)</f>
        <v/>
      </c>
    </row>
    <row r="2541">
      <c r="A2541" s="7" t="inlineStr">
        <is>
          <t>R02S Blockage</t>
        </is>
      </c>
      <c r="B2541" s="8" t="n">
        <v>46091.75</v>
      </c>
      <c r="C2541" s="8" t="n">
        <v>46092.25</v>
      </c>
      <c r="D2541" s="9">
        <f>(C2541-B2541)*24</f>
        <v/>
      </c>
      <c r="E2541" s="10">
        <f>IF(AND(HOUR(B2541)&gt;=6,HOUR(B2541)&lt;18),"Day Shift","Night Shift")</f>
        <v/>
      </c>
      <c r="F2541" s="11">
        <f>INT(B2541)</f>
        <v/>
      </c>
      <c r="G2541" s="11">
        <f>INT(C2541)</f>
        <v/>
      </c>
    </row>
    <row r="2542">
      <c r="A2542" s="2" t="inlineStr">
        <is>
          <t>R02S Blockage</t>
        </is>
      </c>
      <c r="B2542" s="3" t="n">
        <v>46092.25</v>
      </c>
      <c r="C2542" s="3" t="n">
        <v>46092.75</v>
      </c>
      <c r="D2542" s="4">
        <f>(C2542-B2542)*24</f>
        <v/>
      </c>
      <c r="E2542" s="5">
        <f>IF(AND(HOUR(B2542)&gt;=6,HOUR(B2542)&lt;18),"Day Shift","Night Shift")</f>
        <v/>
      </c>
      <c r="F2542" s="6">
        <f>INT(B2542)</f>
        <v/>
      </c>
      <c r="G2542" s="6">
        <f>INT(C2542)</f>
        <v/>
      </c>
    </row>
    <row r="2543">
      <c r="A2543" s="7" t="inlineStr">
        <is>
          <t>R02S Blockage</t>
        </is>
      </c>
      <c r="B2543" s="8" t="n">
        <v>46092.75</v>
      </c>
      <c r="C2543" s="8" t="n">
        <v>46093.25</v>
      </c>
      <c r="D2543" s="9">
        <f>(C2543-B2543)*24</f>
        <v/>
      </c>
      <c r="E2543" s="10">
        <f>IF(AND(HOUR(B2543)&gt;=6,HOUR(B2543)&lt;18),"Day Shift","Night Shift")</f>
        <v/>
      </c>
      <c r="F2543" s="11">
        <f>INT(B2543)</f>
        <v/>
      </c>
      <c r="G2543" s="11">
        <f>INT(C2543)</f>
        <v/>
      </c>
    </row>
    <row r="2544">
      <c r="A2544" s="2" t="inlineStr">
        <is>
          <t>R02S Blockage</t>
        </is>
      </c>
      <c r="B2544" s="3" t="n">
        <v>46093.25</v>
      </c>
      <c r="C2544" s="3" t="n">
        <v>46093.75</v>
      </c>
      <c r="D2544" s="4">
        <f>(C2544-B2544)*24</f>
        <v/>
      </c>
      <c r="E2544" s="5">
        <f>IF(AND(HOUR(B2544)&gt;=6,HOUR(B2544)&lt;18),"Day Shift","Night Shift")</f>
        <v/>
      </c>
      <c r="F2544" s="6">
        <f>INT(B2544)</f>
        <v/>
      </c>
      <c r="G2544" s="6">
        <f>INT(C2544)</f>
        <v/>
      </c>
    </row>
    <row r="2545">
      <c r="A2545" s="7" t="inlineStr">
        <is>
          <t>R02S Blockage</t>
        </is>
      </c>
      <c r="B2545" s="8" t="n">
        <v>46093.75</v>
      </c>
      <c r="C2545" s="8" t="n">
        <v>46094.25</v>
      </c>
      <c r="D2545" s="9">
        <f>(C2545-B2545)*24</f>
        <v/>
      </c>
      <c r="E2545" s="10">
        <f>IF(AND(HOUR(B2545)&gt;=6,HOUR(B2545)&lt;18),"Day Shift","Night Shift")</f>
        <v/>
      </c>
      <c r="F2545" s="11">
        <f>INT(B2545)</f>
        <v/>
      </c>
      <c r="G2545" s="11">
        <f>INT(C2545)</f>
        <v/>
      </c>
    </row>
    <row r="2546">
      <c r="A2546" s="2" t="inlineStr">
        <is>
          <t>R02S Blockage</t>
        </is>
      </c>
      <c r="B2546" s="3" t="n">
        <v>46094.25</v>
      </c>
      <c r="C2546" s="3" t="n">
        <v>46094.75</v>
      </c>
      <c r="D2546" s="4">
        <f>(C2546-B2546)*24</f>
        <v/>
      </c>
      <c r="E2546" s="5">
        <f>IF(AND(HOUR(B2546)&gt;=6,HOUR(B2546)&lt;18),"Day Shift","Night Shift")</f>
        <v/>
      </c>
      <c r="F2546" s="6">
        <f>INT(B2546)</f>
        <v/>
      </c>
      <c r="G2546" s="6">
        <f>INT(C2546)</f>
        <v/>
      </c>
    </row>
    <row r="2547">
      <c r="A2547" s="7" t="inlineStr">
        <is>
          <t>R02S Blockage</t>
        </is>
      </c>
      <c r="B2547" s="8" t="n">
        <v>46094.75</v>
      </c>
      <c r="C2547" s="8" t="n">
        <v>46095.25</v>
      </c>
      <c r="D2547" s="9">
        <f>(C2547-B2547)*24</f>
        <v/>
      </c>
      <c r="E2547" s="10">
        <f>IF(AND(HOUR(B2547)&gt;=6,HOUR(B2547)&lt;18),"Day Shift","Night Shift")</f>
        <v/>
      </c>
      <c r="F2547" s="11">
        <f>INT(B2547)</f>
        <v/>
      </c>
      <c r="G2547" s="11">
        <f>INT(C2547)</f>
        <v/>
      </c>
    </row>
    <row r="2548">
      <c r="A2548" s="2" t="inlineStr">
        <is>
          <t>R02S Blockage</t>
        </is>
      </c>
      <c r="B2548" s="3" t="n">
        <v>46095.25</v>
      </c>
      <c r="C2548" s="3" t="n">
        <v>46095.75</v>
      </c>
      <c r="D2548" s="4">
        <f>(C2548-B2548)*24</f>
        <v/>
      </c>
      <c r="E2548" s="5">
        <f>IF(AND(HOUR(B2548)&gt;=6,HOUR(B2548)&lt;18),"Day Shift","Night Shift")</f>
        <v/>
      </c>
      <c r="F2548" s="6">
        <f>INT(B2548)</f>
        <v/>
      </c>
      <c r="G2548" s="6">
        <f>INT(C2548)</f>
        <v/>
      </c>
    </row>
    <row r="2549">
      <c r="A2549" s="7" t="inlineStr">
        <is>
          <t>R02S Blockage</t>
        </is>
      </c>
      <c r="B2549" s="8" t="n">
        <v>46095.75</v>
      </c>
      <c r="C2549" s="8" t="n">
        <v>46096.25</v>
      </c>
      <c r="D2549" s="9">
        <f>(C2549-B2549)*24</f>
        <v/>
      </c>
      <c r="E2549" s="10">
        <f>IF(AND(HOUR(B2549)&gt;=6,HOUR(B2549)&lt;18),"Day Shift","Night Shift")</f>
        <v/>
      </c>
      <c r="F2549" s="11">
        <f>INT(B2549)</f>
        <v/>
      </c>
      <c r="G2549" s="11">
        <f>INT(C2549)</f>
        <v/>
      </c>
    </row>
    <row r="2550">
      <c r="A2550" s="2" t="inlineStr">
        <is>
          <t>R02S Blockage</t>
        </is>
      </c>
      <c r="B2550" s="3" t="n">
        <v>46096.25</v>
      </c>
      <c r="C2550" s="3" t="n">
        <v>46096.75</v>
      </c>
      <c r="D2550" s="4">
        <f>(C2550-B2550)*24</f>
        <v/>
      </c>
      <c r="E2550" s="5">
        <f>IF(AND(HOUR(B2550)&gt;=6,HOUR(B2550)&lt;18),"Day Shift","Night Shift")</f>
        <v/>
      </c>
      <c r="F2550" s="6">
        <f>INT(B2550)</f>
        <v/>
      </c>
      <c r="G2550" s="6">
        <f>INT(C2550)</f>
        <v/>
      </c>
    </row>
    <row r="2551">
      <c r="A2551" s="7" t="inlineStr">
        <is>
          <t>R02S Blockage</t>
        </is>
      </c>
      <c r="B2551" s="8" t="n">
        <v>46096.75</v>
      </c>
      <c r="C2551" s="8" t="n">
        <v>46097.25</v>
      </c>
      <c r="D2551" s="9">
        <f>(C2551-B2551)*24</f>
        <v/>
      </c>
      <c r="E2551" s="10">
        <f>IF(AND(HOUR(B2551)&gt;=6,HOUR(B2551)&lt;18),"Day Shift","Night Shift")</f>
        <v/>
      </c>
      <c r="F2551" s="11">
        <f>INT(B2551)</f>
        <v/>
      </c>
      <c r="G2551" s="11">
        <f>INT(C2551)</f>
        <v/>
      </c>
    </row>
    <row r="2552">
      <c r="A2552" s="2" t="inlineStr">
        <is>
          <t>R02S Blockage</t>
        </is>
      </c>
      <c r="B2552" s="3" t="n">
        <v>46097.25</v>
      </c>
      <c r="C2552" s="3" t="n">
        <v>46097.75</v>
      </c>
      <c r="D2552" s="4">
        <f>(C2552-B2552)*24</f>
        <v/>
      </c>
      <c r="E2552" s="5">
        <f>IF(AND(HOUR(B2552)&gt;=6,HOUR(B2552)&lt;18),"Day Shift","Night Shift")</f>
        <v/>
      </c>
      <c r="F2552" s="6">
        <f>INT(B2552)</f>
        <v/>
      </c>
      <c r="G2552" s="6">
        <f>INT(C2552)</f>
        <v/>
      </c>
    </row>
    <row r="2553">
      <c r="A2553" s="7" t="inlineStr">
        <is>
          <t>R02S Blockage</t>
        </is>
      </c>
      <c r="B2553" s="8" t="n">
        <v>46097.75</v>
      </c>
      <c r="C2553" s="8" t="n">
        <v>46098.25</v>
      </c>
      <c r="D2553" s="9">
        <f>(C2553-B2553)*24</f>
        <v/>
      </c>
      <c r="E2553" s="10">
        <f>IF(AND(HOUR(B2553)&gt;=6,HOUR(B2553)&lt;18),"Day Shift","Night Shift")</f>
        <v/>
      </c>
      <c r="F2553" s="11">
        <f>INT(B2553)</f>
        <v/>
      </c>
      <c r="G2553" s="11">
        <f>INT(C2553)</f>
        <v/>
      </c>
    </row>
    <row r="2554">
      <c r="A2554" s="2" t="inlineStr">
        <is>
          <t>R02S Blockage</t>
        </is>
      </c>
      <c r="B2554" s="3" t="n">
        <v>46098.25</v>
      </c>
      <c r="C2554" s="3" t="n">
        <v>46098.75</v>
      </c>
      <c r="D2554" s="4">
        <f>(C2554-B2554)*24</f>
        <v/>
      </c>
      <c r="E2554" s="5">
        <f>IF(AND(HOUR(B2554)&gt;=6,HOUR(B2554)&lt;18),"Day Shift","Night Shift")</f>
        <v/>
      </c>
      <c r="F2554" s="6">
        <f>INT(B2554)</f>
        <v/>
      </c>
      <c r="G2554" s="6">
        <f>INT(C2554)</f>
        <v/>
      </c>
    </row>
    <row r="2555">
      <c r="A2555" s="7" t="inlineStr">
        <is>
          <t>R02S Blockage</t>
        </is>
      </c>
      <c r="B2555" s="8" t="n">
        <v>46098.75</v>
      </c>
      <c r="C2555" s="8" t="n">
        <v>46099.25</v>
      </c>
      <c r="D2555" s="9">
        <f>(C2555-B2555)*24</f>
        <v/>
      </c>
      <c r="E2555" s="10">
        <f>IF(AND(HOUR(B2555)&gt;=6,HOUR(B2555)&lt;18),"Day Shift","Night Shift")</f>
        <v/>
      </c>
      <c r="F2555" s="11">
        <f>INT(B2555)</f>
        <v/>
      </c>
      <c r="G2555" s="11">
        <f>INT(C2555)</f>
        <v/>
      </c>
    </row>
    <row r="2556">
      <c r="A2556" s="2" t="inlineStr">
        <is>
          <t>R02S Blockage</t>
        </is>
      </c>
      <c r="B2556" s="3" t="n">
        <v>46099.25</v>
      </c>
      <c r="C2556" s="3" t="n">
        <v>46099.75</v>
      </c>
      <c r="D2556" s="4">
        <f>(C2556-B2556)*24</f>
        <v/>
      </c>
      <c r="E2556" s="5">
        <f>IF(AND(HOUR(B2556)&gt;=6,HOUR(B2556)&lt;18),"Day Shift","Night Shift")</f>
        <v/>
      </c>
      <c r="F2556" s="6">
        <f>INT(B2556)</f>
        <v/>
      </c>
      <c r="G2556" s="6">
        <f>INT(C2556)</f>
        <v/>
      </c>
    </row>
    <row r="2557">
      <c r="A2557" s="7" t="inlineStr">
        <is>
          <t>R02S Blockage</t>
        </is>
      </c>
      <c r="B2557" s="8" t="n">
        <v>46099.75</v>
      </c>
      <c r="C2557" s="8" t="n">
        <v>46100.25</v>
      </c>
      <c r="D2557" s="9">
        <f>(C2557-B2557)*24</f>
        <v/>
      </c>
      <c r="E2557" s="10">
        <f>IF(AND(HOUR(B2557)&gt;=6,HOUR(B2557)&lt;18),"Day Shift","Night Shift")</f>
        <v/>
      </c>
      <c r="F2557" s="11">
        <f>INT(B2557)</f>
        <v/>
      </c>
      <c r="G2557" s="11">
        <f>INT(C2557)</f>
        <v/>
      </c>
    </row>
    <row r="2558">
      <c r="A2558" s="2" t="inlineStr">
        <is>
          <t>R02S Blockage</t>
        </is>
      </c>
      <c r="B2558" s="3" t="n">
        <v>46100.25</v>
      </c>
      <c r="C2558" s="3" t="n">
        <v>46100.75</v>
      </c>
      <c r="D2558" s="4">
        <f>(C2558-B2558)*24</f>
        <v/>
      </c>
      <c r="E2558" s="5">
        <f>IF(AND(HOUR(B2558)&gt;=6,HOUR(B2558)&lt;18),"Day Shift","Night Shift")</f>
        <v/>
      </c>
      <c r="F2558" s="6">
        <f>INT(B2558)</f>
        <v/>
      </c>
      <c r="G2558" s="6">
        <f>INT(C2558)</f>
        <v/>
      </c>
    </row>
    <row r="2559">
      <c r="A2559" s="7" t="inlineStr">
        <is>
          <t>R02S Blockage</t>
        </is>
      </c>
      <c r="B2559" s="8" t="n">
        <v>46100.75</v>
      </c>
      <c r="C2559" s="8" t="n">
        <v>46101.25</v>
      </c>
      <c r="D2559" s="9">
        <f>(C2559-B2559)*24</f>
        <v/>
      </c>
      <c r="E2559" s="10">
        <f>IF(AND(HOUR(B2559)&gt;=6,HOUR(B2559)&lt;18),"Day Shift","Night Shift")</f>
        <v/>
      </c>
      <c r="F2559" s="11">
        <f>INT(B2559)</f>
        <v/>
      </c>
      <c r="G2559" s="11">
        <f>INT(C2559)</f>
        <v/>
      </c>
    </row>
    <row r="2560">
      <c r="A2560" s="2" t="inlineStr">
        <is>
          <t>R02S Blockage</t>
        </is>
      </c>
      <c r="B2560" s="3" t="n">
        <v>46101.25</v>
      </c>
      <c r="C2560" s="3" t="n">
        <v>46101.75</v>
      </c>
      <c r="D2560" s="4">
        <f>(C2560-B2560)*24</f>
        <v/>
      </c>
      <c r="E2560" s="5">
        <f>IF(AND(HOUR(B2560)&gt;=6,HOUR(B2560)&lt;18),"Day Shift","Night Shift")</f>
        <v/>
      </c>
      <c r="F2560" s="6">
        <f>INT(B2560)</f>
        <v/>
      </c>
      <c r="G2560" s="6">
        <f>INT(C2560)</f>
        <v/>
      </c>
    </row>
    <row r="2561">
      <c r="A2561" s="7" t="inlineStr">
        <is>
          <t>R02S Blockage</t>
        </is>
      </c>
      <c r="B2561" s="8" t="n">
        <v>46101.75</v>
      </c>
      <c r="C2561" s="8" t="n">
        <v>46102.25</v>
      </c>
      <c r="D2561" s="9">
        <f>(C2561-B2561)*24</f>
        <v/>
      </c>
      <c r="E2561" s="10">
        <f>IF(AND(HOUR(B2561)&gt;=6,HOUR(B2561)&lt;18),"Day Shift","Night Shift")</f>
        <v/>
      </c>
      <c r="F2561" s="11">
        <f>INT(B2561)</f>
        <v/>
      </c>
      <c r="G2561" s="11">
        <f>INT(C2561)</f>
        <v/>
      </c>
    </row>
    <row r="2562">
      <c r="A2562" s="2" t="inlineStr">
        <is>
          <t>R02S Blockage</t>
        </is>
      </c>
      <c r="B2562" s="3" t="n">
        <v>46102.25</v>
      </c>
      <c r="C2562" s="3" t="n">
        <v>46102.75</v>
      </c>
      <c r="D2562" s="4">
        <f>(C2562-B2562)*24</f>
        <v/>
      </c>
      <c r="E2562" s="5">
        <f>IF(AND(HOUR(B2562)&gt;=6,HOUR(B2562)&lt;18),"Day Shift","Night Shift")</f>
        <v/>
      </c>
      <c r="F2562" s="6">
        <f>INT(B2562)</f>
        <v/>
      </c>
      <c r="G2562" s="6">
        <f>INT(C2562)</f>
        <v/>
      </c>
    </row>
    <row r="2563">
      <c r="A2563" s="7" t="inlineStr">
        <is>
          <t>R02S Blockage</t>
        </is>
      </c>
      <c r="B2563" s="8" t="n">
        <v>46102.75</v>
      </c>
      <c r="C2563" s="8" t="n">
        <v>46103.25</v>
      </c>
      <c r="D2563" s="9">
        <f>(C2563-B2563)*24</f>
        <v/>
      </c>
      <c r="E2563" s="10">
        <f>IF(AND(HOUR(B2563)&gt;=6,HOUR(B2563)&lt;18),"Day Shift","Night Shift")</f>
        <v/>
      </c>
      <c r="F2563" s="11">
        <f>INT(B2563)</f>
        <v/>
      </c>
      <c r="G2563" s="11">
        <f>INT(C2563)</f>
        <v/>
      </c>
    </row>
    <row r="2564">
      <c r="A2564" s="2" t="inlineStr">
        <is>
          <t>R02S Blockage</t>
        </is>
      </c>
      <c r="B2564" s="3" t="n">
        <v>46103.25</v>
      </c>
      <c r="C2564" s="3" t="n">
        <v>46103.75</v>
      </c>
      <c r="D2564" s="4">
        <f>(C2564-B2564)*24</f>
        <v/>
      </c>
      <c r="E2564" s="5">
        <f>IF(AND(HOUR(B2564)&gt;=6,HOUR(B2564)&lt;18),"Day Shift","Night Shift")</f>
        <v/>
      </c>
      <c r="F2564" s="6">
        <f>INT(B2564)</f>
        <v/>
      </c>
      <c r="G2564" s="6">
        <f>INT(C2564)</f>
        <v/>
      </c>
    </row>
    <row r="2565">
      <c r="A2565" s="7" t="inlineStr">
        <is>
          <t>R02S Blockage</t>
        </is>
      </c>
      <c r="B2565" s="8" t="n">
        <v>46103.75</v>
      </c>
      <c r="C2565" s="8" t="n">
        <v>46104.25</v>
      </c>
      <c r="D2565" s="9">
        <f>(C2565-B2565)*24</f>
        <v/>
      </c>
      <c r="E2565" s="10">
        <f>IF(AND(HOUR(B2565)&gt;=6,HOUR(B2565)&lt;18),"Day Shift","Night Shift")</f>
        <v/>
      </c>
      <c r="F2565" s="11">
        <f>INT(B2565)</f>
        <v/>
      </c>
      <c r="G2565" s="11">
        <f>INT(C2565)</f>
        <v/>
      </c>
    </row>
    <row r="2566">
      <c r="A2566" s="2" t="inlineStr">
        <is>
          <t>R02S Blockage</t>
        </is>
      </c>
      <c r="B2566" s="3" t="n">
        <v>46104.25</v>
      </c>
      <c r="C2566" s="3" t="n">
        <v>46104.75</v>
      </c>
      <c r="D2566" s="4">
        <f>(C2566-B2566)*24</f>
        <v/>
      </c>
      <c r="E2566" s="5">
        <f>IF(AND(HOUR(B2566)&gt;=6,HOUR(B2566)&lt;18),"Day Shift","Night Shift")</f>
        <v/>
      </c>
      <c r="F2566" s="6">
        <f>INT(B2566)</f>
        <v/>
      </c>
      <c r="G2566" s="6">
        <f>INT(C2566)</f>
        <v/>
      </c>
    </row>
    <row r="2567">
      <c r="A2567" s="7" t="inlineStr">
        <is>
          <t>R02S Blockage</t>
        </is>
      </c>
      <c r="B2567" s="8" t="n">
        <v>46104.75</v>
      </c>
      <c r="C2567" s="8" t="n">
        <v>46105.25</v>
      </c>
      <c r="D2567" s="9">
        <f>(C2567-B2567)*24</f>
        <v/>
      </c>
      <c r="E2567" s="10">
        <f>IF(AND(HOUR(B2567)&gt;=6,HOUR(B2567)&lt;18),"Day Shift","Night Shift")</f>
        <v/>
      </c>
      <c r="F2567" s="11">
        <f>INT(B2567)</f>
        <v/>
      </c>
      <c r="G2567" s="11">
        <f>INT(C2567)</f>
        <v/>
      </c>
    </row>
    <row r="2568">
      <c r="A2568" s="2" t="inlineStr">
        <is>
          <t>R02S Blockage</t>
        </is>
      </c>
      <c r="B2568" s="3" t="n">
        <v>46105.25</v>
      </c>
      <c r="C2568" s="3" t="n">
        <v>46105.75</v>
      </c>
      <c r="D2568" s="4">
        <f>(C2568-B2568)*24</f>
        <v/>
      </c>
      <c r="E2568" s="5">
        <f>IF(AND(HOUR(B2568)&gt;=6,HOUR(B2568)&lt;18),"Day Shift","Night Shift")</f>
        <v/>
      </c>
      <c r="F2568" s="6">
        <f>INT(B2568)</f>
        <v/>
      </c>
      <c r="G2568" s="6">
        <f>INT(C2568)</f>
        <v/>
      </c>
    </row>
    <row r="2569">
      <c r="A2569" s="7" t="inlineStr">
        <is>
          <t>R02S Blockage</t>
        </is>
      </c>
      <c r="B2569" s="8" t="n">
        <v>46105.75</v>
      </c>
      <c r="C2569" s="8" t="n">
        <v>46106.25</v>
      </c>
      <c r="D2569" s="9">
        <f>(C2569-B2569)*24</f>
        <v/>
      </c>
      <c r="E2569" s="10">
        <f>IF(AND(HOUR(B2569)&gt;=6,HOUR(B2569)&lt;18),"Day Shift","Night Shift")</f>
        <v/>
      </c>
      <c r="F2569" s="11">
        <f>INT(B2569)</f>
        <v/>
      </c>
      <c r="G2569" s="11">
        <f>INT(C2569)</f>
        <v/>
      </c>
    </row>
    <row r="2570">
      <c r="A2570" s="2" t="inlineStr">
        <is>
          <t>R02S Blockage</t>
        </is>
      </c>
      <c r="B2570" s="3" t="n">
        <v>46106.25</v>
      </c>
      <c r="C2570" s="3" t="n">
        <v>46106.75</v>
      </c>
      <c r="D2570" s="4">
        <f>(C2570-B2570)*24</f>
        <v/>
      </c>
      <c r="E2570" s="5">
        <f>IF(AND(HOUR(B2570)&gt;=6,HOUR(B2570)&lt;18),"Day Shift","Night Shift")</f>
        <v/>
      </c>
      <c r="F2570" s="6">
        <f>INT(B2570)</f>
        <v/>
      </c>
      <c r="G2570" s="6">
        <f>INT(C2570)</f>
        <v/>
      </c>
    </row>
    <row r="2571">
      <c r="A2571" s="7" t="inlineStr">
        <is>
          <t>R02S Blockage</t>
        </is>
      </c>
      <c r="B2571" s="8" t="n">
        <v>46106.75</v>
      </c>
      <c r="C2571" s="8" t="n">
        <v>46107.25</v>
      </c>
      <c r="D2571" s="9">
        <f>(C2571-B2571)*24</f>
        <v/>
      </c>
      <c r="E2571" s="10">
        <f>IF(AND(HOUR(B2571)&gt;=6,HOUR(B2571)&lt;18),"Day Shift","Night Shift")</f>
        <v/>
      </c>
      <c r="F2571" s="11">
        <f>INT(B2571)</f>
        <v/>
      </c>
      <c r="G2571" s="11">
        <f>INT(C2571)</f>
        <v/>
      </c>
    </row>
    <row r="2572">
      <c r="A2572" s="2" t="inlineStr">
        <is>
          <t>R02S Blockage</t>
        </is>
      </c>
      <c r="B2572" s="3" t="n">
        <v>46107.25</v>
      </c>
      <c r="C2572" s="3" t="n">
        <v>46107.75</v>
      </c>
      <c r="D2572" s="4">
        <f>(C2572-B2572)*24</f>
        <v/>
      </c>
      <c r="E2572" s="5">
        <f>IF(AND(HOUR(B2572)&gt;=6,HOUR(B2572)&lt;18),"Day Shift","Night Shift")</f>
        <v/>
      </c>
      <c r="F2572" s="6">
        <f>INT(B2572)</f>
        <v/>
      </c>
      <c r="G2572" s="6">
        <f>INT(C2572)</f>
        <v/>
      </c>
    </row>
    <row r="2573">
      <c r="A2573" s="7" t="inlineStr">
        <is>
          <t>R02S Blockage</t>
        </is>
      </c>
      <c r="B2573" s="8" t="n">
        <v>46107.75</v>
      </c>
      <c r="C2573" s="8" t="n">
        <v>46108.25</v>
      </c>
      <c r="D2573" s="9">
        <f>(C2573-B2573)*24</f>
        <v/>
      </c>
      <c r="E2573" s="10">
        <f>IF(AND(HOUR(B2573)&gt;=6,HOUR(B2573)&lt;18),"Day Shift","Night Shift")</f>
        <v/>
      </c>
      <c r="F2573" s="11">
        <f>INT(B2573)</f>
        <v/>
      </c>
      <c r="G2573" s="11">
        <f>INT(C2573)</f>
        <v/>
      </c>
    </row>
    <row r="2574">
      <c r="A2574" s="2" t="inlineStr">
        <is>
          <t>R02S Blockage</t>
        </is>
      </c>
      <c r="B2574" s="3" t="n">
        <v>46108.25</v>
      </c>
      <c r="C2574" s="3" t="n">
        <v>46108.75</v>
      </c>
      <c r="D2574" s="4">
        <f>(C2574-B2574)*24</f>
        <v/>
      </c>
      <c r="E2574" s="5">
        <f>IF(AND(HOUR(B2574)&gt;=6,HOUR(B2574)&lt;18),"Day Shift","Night Shift")</f>
        <v/>
      </c>
      <c r="F2574" s="6">
        <f>INT(B2574)</f>
        <v/>
      </c>
      <c r="G2574" s="6">
        <f>INT(C2574)</f>
        <v/>
      </c>
    </row>
    <row r="2575">
      <c r="A2575" s="7" t="inlineStr">
        <is>
          <t>R02S Blockage</t>
        </is>
      </c>
      <c r="B2575" s="8" t="n">
        <v>46108.75</v>
      </c>
      <c r="C2575" s="8" t="n">
        <v>46109.25</v>
      </c>
      <c r="D2575" s="9">
        <f>(C2575-B2575)*24</f>
        <v/>
      </c>
      <c r="E2575" s="10">
        <f>IF(AND(HOUR(B2575)&gt;=6,HOUR(B2575)&lt;18),"Day Shift","Night Shift")</f>
        <v/>
      </c>
      <c r="F2575" s="11">
        <f>INT(B2575)</f>
        <v/>
      </c>
      <c r="G2575" s="11">
        <f>INT(C2575)</f>
        <v/>
      </c>
    </row>
    <row r="2576">
      <c r="A2576" s="2" t="inlineStr">
        <is>
          <t>R02S Blockage</t>
        </is>
      </c>
      <c r="B2576" s="3" t="n">
        <v>46109.25</v>
      </c>
      <c r="C2576" s="3" t="n">
        <v>46109.75</v>
      </c>
      <c r="D2576" s="4">
        <f>(C2576-B2576)*24</f>
        <v/>
      </c>
      <c r="E2576" s="5">
        <f>IF(AND(HOUR(B2576)&gt;=6,HOUR(B2576)&lt;18),"Day Shift","Night Shift")</f>
        <v/>
      </c>
      <c r="F2576" s="6">
        <f>INT(B2576)</f>
        <v/>
      </c>
      <c r="G2576" s="6">
        <f>INT(C2576)</f>
        <v/>
      </c>
    </row>
    <row r="2577">
      <c r="A2577" s="7" t="inlineStr">
        <is>
          <t>R02S Blockage</t>
        </is>
      </c>
      <c r="B2577" s="8" t="n">
        <v>46109.75</v>
      </c>
      <c r="C2577" s="8" t="n">
        <v>46110.25</v>
      </c>
      <c r="D2577" s="9">
        <f>(C2577-B2577)*24</f>
        <v/>
      </c>
      <c r="E2577" s="10">
        <f>IF(AND(HOUR(B2577)&gt;=6,HOUR(B2577)&lt;18),"Day Shift","Night Shift")</f>
        <v/>
      </c>
      <c r="F2577" s="11">
        <f>INT(B2577)</f>
        <v/>
      </c>
      <c r="G2577" s="11">
        <f>INT(C2577)</f>
        <v/>
      </c>
    </row>
    <row r="2578">
      <c r="A2578" s="2" t="inlineStr">
        <is>
          <t>R02S Blockage</t>
        </is>
      </c>
      <c r="B2578" s="3" t="n">
        <v>46110.25</v>
      </c>
      <c r="C2578" s="3" t="n">
        <v>46110.75</v>
      </c>
      <c r="D2578" s="4">
        <f>(C2578-B2578)*24</f>
        <v/>
      </c>
      <c r="E2578" s="5">
        <f>IF(AND(HOUR(B2578)&gt;=6,HOUR(B2578)&lt;18),"Day Shift","Night Shift")</f>
        <v/>
      </c>
      <c r="F2578" s="6">
        <f>INT(B2578)</f>
        <v/>
      </c>
      <c r="G2578" s="6">
        <f>INT(C2578)</f>
        <v/>
      </c>
    </row>
    <row r="2579">
      <c r="A2579" s="7" t="inlineStr">
        <is>
          <t>R02S Blockage</t>
        </is>
      </c>
      <c r="B2579" s="8" t="n">
        <v>46110.75</v>
      </c>
      <c r="C2579" s="8" t="n">
        <v>46111.25</v>
      </c>
      <c r="D2579" s="9">
        <f>(C2579-B2579)*24</f>
        <v/>
      </c>
      <c r="E2579" s="10">
        <f>IF(AND(HOUR(B2579)&gt;=6,HOUR(B2579)&lt;18),"Day Shift","Night Shift")</f>
        <v/>
      </c>
      <c r="F2579" s="11">
        <f>INT(B2579)</f>
        <v/>
      </c>
      <c r="G2579" s="11">
        <f>INT(C2579)</f>
        <v/>
      </c>
    </row>
    <row r="2580">
      <c r="A2580" s="2" t="inlineStr">
        <is>
          <t>R02S Blockage</t>
        </is>
      </c>
      <c r="B2580" s="3" t="n">
        <v>46111.25</v>
      </c>
      <c r="C2580" s="3" t="n">
        <v>46111.75</v>
      </c>
      <c r="D2580" s="4">
        <f>(C2580-B2580)*24</f>
        <v/>
      </c>
      <c r="E2580" s="5">
        <f>IF(AND(HOUR(B2580)&gt;=6,HOUR(B2580)&lt;18),"Day Shift","Night Shift")</f>
        <v/>
      </c>
      <c r="F2580" s="6">
        <f>INT(B2580)</f>
        <v/>
      </c>
      <c r="G2580" s="6">
        <f>INT(C2580)</f>
        <v/>
      </c>
    </row>
    <row r="2581">
      <c r="A2581" s="7" t="inlineStr">
        <is>
          <t>R02S Blockage</t>
        </is>
      </c>
      <c r="B2581" s="8" t="n">
        <v>46111.75</v>
      </c>
      <c r="C2581" s="8" t="n">
        <v>46112.25</v>
      </c>
      <c r="D2581" s="9">
        <f>(C2581-B2581)*24</f>
        <v/>
      </c>
      <c r="E2581" s="10">
        <f>IF(AND(HOUR(B2581)&gt;=6,HOUR(B2581)&lt;18),"Day Shift","Night Shift")</f>
        <v/>
      </c>
      <c r="F2581" s="11">
        <f>INT(B2581)</f>
        <v/>
      </c>
      <c r="G2581" s="11">
        <f>INT(C2581)</f>
        <v/>
      </c>
    </row>
    <row r="2582">
      <c r="A2582" s="2" t="inlineStr">
        <is>
          <t>R02S Blockage</t>
        </is>
      </c>
      <c r="B2582" s="3" t="n">
        <v>46112.25</v>
      </c>
      <c r="C2582" s="3" t="n">
        <v>46112.75</v>
      </c>
      <c r="D2582" s="4">
        <f>(C2582-B2582)*24</f>
        <v/>
      </c>
      <c r="E2582" s="5">
        <f>IF(AND(HOUR(B2582)&gt;=6,HOUR(B2582)&lt;18),"Day Shift","Night Shift")</f>
        <v/>
      </c>
      <c r="F2582" s="6">
        <f>INT(B2582)</f>
        <v/>
      </c>
      <c r="G2582" s="6">
        <f>INT(C2582)</f>
        <v/>
      </c>
    </row>
    <row r="2583">
      <c r="A2583" s="7" t="inlineStr">
        <is>
          <t>R02S Blockage</t>
        </is>
      </c>
      <c r="B2583" s="8" t="n">
        <v>46112.75</v>
      </c>
      <c r="C2583" s="8" t="n">
        <v>46113.25</v>
      </c>
      <c r="D2583" s="9">
        <f>(C2583-B2583)*24</f>
        <v/>
      </c>
      <c r="E2583" s="10">
        <f>IF(AND(HOUR(B2583)&gt;=6,HOUR(B2583)&lt;18),"Day Shift","Night Shift")</f>
        <v/>
      </c>
      <c r="F2583" s="11">
        <f>INT(B2583)</f>
        <v/>
      </c>
      <c r="G2583" s="11">
        <f>INT(C2583)</f>
        <v/>
      </c>
    </row>
    <row r="2584">
      <c r="A2584" s="2" t="inlineStr">
        <is>
          <t>R02S Blockage</t>
        </is>
      </c>
      <c r="B2584" s="3" t="n">
        <v>46113.25</v>
      </c>
      <c r="C2584" s="3" t="n">
        <v>46113.75</v>
      </c>
      <c r="D2584" s="4">
        <f>(C2584-B2584)*24</f>
        <v/>
      </c>
      <c r="E2584" s="5">
        <f>IF(AND(HOUR(B2584)&gt;=6,HOUR(B2584)&lt;18),"Day Shift","Night Shift")</f>
        <v/>
      </c>
      <c r="F2584" s="6">
        <f>INT(B2584)</f>
        <v/>
      </c>
      <c r="G2584" s="6">
        <f>INT(C2584)</f>
        <v/>
      </c>
    </row>
    <row r="2585">
      <c r="A2585" s="7" t="inlineStr">
        <is>
          <t>R02S Blockage</t>
        </is>
      </c>
      <c r="B2585" s="8" t="n">
        <v>46113.75</v>
      </c>
      <c r="C2585" s="8" t="n">
        <v>46114.25</v>
      </c>
      <c r="D2585" s="9">
        <f>(C2585-B2585)*24</f>
        <v/>
      </c>
      <c r="E2585" s="10">
        <f>IF(AND(HOUR(B2585)&gt;=6,HOUR(B2585)&lt;18),"Day Shift","Night Shift")</f>
        <v/>
      </c>
      <c r="F2585" s="11">
        <f>INT(B2585)</f>
        <v/>
      </c>
      <c r="G2585" s="11">
        <f>INT(C2585)</f>
        <v/>
      </c>
    </row>
    <row r="2586">
      <c r="A2586" s="2" t="inlineStr">
        <is>
          <t>R02S Blockage</t>
        </is>
      </c>
      <c r="B2586" s="3" t="n">
        <v>46114.25</v>
      </c>
      <c r="C2586" s="3" t="n">
        <v>46114.75</v>
      </c>
      <c r="D2586" s="4">
        <f>(C2586-B2586)*24</f>
        <v/>
      </c>
      <c r="E2586" s="5">
        <f>IF(AND(HOUR(B2586)&gt;=6,HOUR(B2586)&lt;18),"Day Shift","Night Shift")</f>
        <v/>
      </c>
      <c r="F2586" s="6">
        <f>INT(B2586)</f>
        <v/>
      </c>
      <c r="G2586" s="6">
        <f>INT(C2586)</f>
        <v/>
      </c>
    </row>
    <row r="2587">
      <c r="A2587" s="7" t="inlineStr">
        <is>
          <t>R02S Blockage</t>
        </is>
      </c>
      <c r="B2587" s="8" t="n">
        <v>46114.75</v>
      </c>
      <c r="C2587" s="8" t="n">
        <v>46115.25</v>
      </c>
      <c r="D2587" s="9">
        <f>(C2587-B2587)*24</f>
        <v/>
      </c>
      <c r="E2587" s="10">
        <f>IF(AND(HOUR(B2587)&gt;=6,HOUR(B2587)&lt;18),"Day Shift","Night Shift")</f>
        <v/>
      </c>
      <c r="F2587" s="11">
        <f>INT(B2587)</f>
        <v/>
      </c>
      <c r="G2587" s="11">
        <f>INT(C2587)</f>
        <v/>
      </c>
    </row>
    <row r="2588">
      <c r="A2588" s="2" t="inlineStr">
        <is>
          <t>R02S Blockage</t>
        </is>
      </c>
      <c r="B2588" s="3" t="n">
        <v>46115.25</v>
      </c>
      <c r="C2588" s="3" t="n">
        <v>46115.75</v>
      </c>
      <c r="D2588" s="4">
        <f>(C2588-B2588)*24</f>
        <v/>
      </c>
      <c r="E2588" s="5">
        <f>IF(AND(HOUR(B2588)&gt;=6,HOUR(B2588)&lt;18),"Day Shift","Night Shift")</f>
        <v/>
      </c>
      <c r="F2588" s="6">
        <f>INT(B2588)</f>
        <v/>
      </c>
      <c r="G2588" s="6">
        <f>INT(C2588)</f>
        <v/>
      </c>
    </row>
    <row r="2589">
      <c r="A2589" s="2" t="inlineStr">
        <is>
          <t>EXD100</t>
        </is>
      </c>
      <c r="B2589" s="3" t="n">
        <v>46079.27178240741</v>
      </c>
      <c r="C2589" s="3" t="n">
        <v>46079.75</v>
      </c>
      <c r="D2589" s="4">
        <f>(C2589-B2589)*24</f>
        <v/>
      </c>
      <c r="E2589" s="5">
        <f>IF(AND(HOUR(B2589)&gt;=6,HOUR(B2589)&lt;18),"Day Shift","Night Shift")</f>
        <v/>
      </c>
      <c r="F2589" s="6">
        <f>INT(B2589)</f>
        <v/>
      </c>
      <c r="G2589" s="6">
        <f>INT(C2589)</f>
        <v/>
      </c>
    </row>
    <row r="2590">
      <c r="A2590" s="7" t="inlineStr">
        <is>
          <t>EXD100</t>
        </is>
      </c>
      <c r="B2590" s="8" t="n">
        <v>46079.75</v>
      </c>
      <c r="C2590" s="8" t="n">
        <v>46079.94664351852</v>
      </c>
      <c r="D2590" s="9">
        <f>(C2590-B2590)*24</f>
        <v/>
      </c>
      <c r="E2590" s="10">
        <f>IF(AND(HOUR(B2590)&gt;=6,HOUR(B2590)&lt;18),"Day Shift","Night Shift")</f>
        <v/>
      </c>
      <c r="F2590" s="11">
        <f>INT(B2590)</f>
        <v/>
      </c>
      <c r="G2590" s="11">
        <f>INT(C2590)</f>
        <v/>
      </c>
    </row>
    <row r="2591">
      <c r="A2591" s="2" t="inlineStr">
        <is>
          <t>EXD101</t>
        </is>
      </c>
      <c r="B2591" s="3" t="n">
        <v>46079.30537037037</v>
      </c>
      <c r="C2591" s="3" t="n">
        <v>46079.58694444445</v>
      </c>
      <c r="D2591" s="4">
        <f>(C2591-B2591)*24</f>
        <v/>
      </c>
      <c r="E2591" s="5">
        <f>IF(AND(HOUR(B2591)&gt;=6,HOUR(B2591)&lt;18),"Day Shift","Night Shift")</f>
        <v/>
      </c>
      <c r="F2591" s="6">
        <f>INT(B2591)</f>
        <v/>
      </c>
      <c r="G2591" s="6">
        <f>INT(C2591)</f>
        <v/>
      </c>
    </row>
    <row r="2592">
      <c r="A2592" s="2" t="inlineStr">
        <is>
          <t>Blast</t>
        </is>
      </c>
      <c r="B2592" s="3" t="n">
        <v>46079.45833333334</v>
      </c>
      <c r="C2592" s="3" t="n">
        <v>46079.45834490741</v>
      </c>
      <c r="D2592" s="4">
        <f>(C2592-B2592)*24</f>
        <v/>
      </c>
      <c r="E2592" s="5">
        <f>IF(AND(HOUR(B2592)&gt;=6,HOUR(B2592)&lt;18),"Day Shift","Night Shift")</f>
        <v/>
      </c>
      <c r="F2592" s="6">
        <f>INT(B2592)</f>
        <v/>
      </c>
      <c r="G2592" s="6">
        <f>INT(C2592)</f>
        <v/>
      </c>
    </row>
    <row r="2593">
      <c r="A2593" s="2" t="inlineStr">
        <is>
          <t>Blast</t>
        </is>
      </c>
      <c r="B2593" s="3" t="n">
        <v>46079.45834490741</v>
      </c>
      <c r="C2593" s="3" t="n">
        <v>46079.45841435185</v>
      </c>
      <c r="D2593" s="4">
        <f>(C2593-B2593)*24</f>
        <v/>
      </c>
      <c r="E2593" s="5">
        <f>IF(AND(HOUR(B2593)&gt;=6,HOUR(B2593)&lt;18),"Day Shift","Night Shift")</f>
        <v/>
      </c>
      <c r="F2593" s="6">
        <f>INT(B2593)</f>
        <v/>
      </c>
      <c r="G2593" s="6">
        <f>INT(C2593)</f>
        <v/>
      </c>
    </row>
    <row r="2594">
      <c r="A2594" s="2" t="inlineStr">
        <is>
          <t>Blast</t>
        </is>
      </c>
      <c r="B2594" s="3" t="n">
        <v>46079.45841435185</v>
      </c>
      <c r="C2594" s="3" t="n">
        <v>46079.45850694444</v>
      </c>
      <c r="D2594" s="4">
        <f>(C2594-B2594)*24</f>
        <v/>
      </c>
      <c r="E2594" s="5">
        <f>IF(AND(HOUR(B2594)&gt;=6,HOUR(B2594)&lt;18),"Day Shift","Night Shift")</f>
        <v/>
      </c>
      <c r="F2594" s="6">
        <f>INT(B2594)</f>
        <v/>
      </c>
      <c r="G2594" s="6">
        <f>INT(C2594)</f>
        <v/>
      </c>
    </row>
    <row r="2595">
      <c r="A2595" s="2" t="inlineStr">
        <is>
          <t>Blast</t>
        </is>
      </c>
      <c r="B2595" s="3" t="n">
        <v>46079.45850694444</v>
      </c>
      <c r="C2595" s="3" t="n">
        <v>46079.45858796296</v>
      </c>
      <c r="D2595" s="4">
        <f>(C2595-B2595)*24</f>
        <v/>
      </c>
      <c r="E2595" s="5">
        <f>IF(AND(HOUR(B2595)&gt;=6,HOUR(B2595)&lt;18),"Day Shift","Night Shift")</f>
        <v/>
      </c>
      <c r="F2595" s="6">
        <f>INT(B2595)</f>
        <v/>
      </c>
      <c r="G2595" s="6">
        <f>INT(C2595)</f>
        <v/>
      </c>
    </row>
    <row r="2596">
      <c r="A2596" s="2" t="inlineStr">
        <is>
          <t>Blast</t>
        </is>
      </c>
      <c r="B2596" s="3" t="n">
        <v>46079.45858796296</v>
      </c>
      <c r="C2596" s="3" t="n">
        <v>46079.45868055556</v>
      </c>
      <c r="D2596" s="4">
        <f>(C2596-B2596)*24</f>
        <v/>
      </c>
      <c r="E2596" s="5">
        <f>IF(AND(HOUR(B2596)&gt;=6,HOUR(B2596)&lt;18),"Day Shift","Night Shift")</f>
        <v/>
      </c>
      <c r="F2596" s="6">
        <f>INT(B2596)</f>
        <v/>
      </c>
      <c r="G2596" s="6">
        <f>INT(C2596)</f>
        <v/>
      </c>
    </row>
    <row r="2597">
      <c r="A2597" s="2" t="inlineStr">
        <is>
          <t>Blast</t>
        </is>
      </c>
      <c r="B2597" s="3" t="n">
        <v>46079.45868055556</v>
      </c>
      <c r="C2597" s="3" t="n">
        <v>46079.4587962963</v>
      </c>
      <c r="D2597" s="4">
        <f>(C2597-B2597)*24</f>
        <v/>
      </c>
      <c r="E2597" s="5">
        <f>IF(AND(HOUR(B2597)&gt;=6,HOUR(B2597)&lt;18),"Day Shift","Night Shift")</f>
        <v/>
      </c>
      <c r="F2597" s="6">
        <f>INT(B2597)</f>
        <v/>
      </c>
      <c r="G2597" s="6">
        <f>INT(C2597)</f>
        <v/>
      </c>
    </row>
    <row r="2598">
      <c r="A2598" s="2" t="inlineStr">
        <is>
          <t>Blast</t>
        </is>
      </c>
      <c r="B2598" s="3" t="n">
        <v>46079.4587962963</v>
      </c>
      <c r="C2598" s="3" t="n">
        <v>46079.45895833334</v>
      </c>
      <c r="D2598" s="4">
        <f>(C2598-B2598)*24</f>
        <v/>
      </c>
      <c r="E2598" s="5">
        <f>IF(AND(HOUR(B2598)&gt;=6,HOUR(B2598)&lt;18),"Day Shift","Night Shift")</f>
        <v/>
      </c>
      <c r="F2598" s="6">
        <f>INT(B2598)</f>
        <v/>
      </c>
      <c r="G2598" s="6">
        <f>INT(C2598)</f>
        <v/>
      </c>
    </row>
    <row r="2599">
      <c r="A2599" s="2" t="inlineStr">
        <is>
          <t>Blast</t>
        </is>
      </c>
      <c r="B2599" s="3" t="n">
        <v>46079.45895833334</v>
      </c>
      <c r="C2599" s="3" t="n">
        <v>46079.45912037037</v>
      </c>
      <c r="D2599" s="4">
        <f>(C2599-B2599)*24</f>
        <v/>
      </c>
      <c r="E2599" s="5">
        <f>IF(AND(HOUR(B2599)&gt;=6,HOUR(B2599)&lt;18),"Day Shift","Night Shift")</f>
        <v/>
      </c>
      <c r="F2599" s="6">
        <f>INT(B2599)</f>
        <v/>
      </c>
      <c r="G2599" s="6">
        <f>INT(C2599)</f>
        <v/>
      </c>
    </row>
    <row r="2600">
      <c r="A2600" s="2" t="inlineStr">
        <is>
          <t>Blast</t>
        </is>
      </c>
      <c r="B2600" s="3" t="n">
        <v>46079.45912037037</v>
      </c>
      <c r="C2600" s="3" t="n">
        <v>46079.45927083334</v>
      </c>
      <c r="D2600" s="4">
        <f>(C2600-B2600)*24</f>
        <v/>
      </c>
      <c r="E2600" s="5">
        <f>IF(AND(HOUR(B2600)&gt;=6,HOUR(B2600)&lt;18),"Day Shift","Night Shift")</f>
        <v/>
      </c>
      <c r="F2600" s="6">
        <f>INT(B2600)</f>
        <v/>
      </c>
      <c r="G2600" s="6">
        <f>INT(C2600)</f>
        <v/>
      </c>
    </row>
    <row r="2601">
      <c r="A2601" s="2" t="inlineStr">
        <is>
          <t>Blast</t>
        </is>
      </c>
      <c r="B2601" s="3" t="n">
        <v>46079.45927083334</v>
      </c>
      <c r="C2601" s="3" t="n">
        <v>46079.45943287037</v>
      </c>
      <c r="D2601" s="4">
        <f>(C2601-B2601)*24</f>
        <v/>
      </c>
      <c r="E2601" s="5">
        <f>IF(AND(HOUR(B2601)&gt;=6,HOUR(B2601)&lt;18),"Day Shift","Night Shift")</f>
        <v/>
      </c>
      <c r="F2601" s="6">
        <f>INT(B2601)</f>
        <v/>
      </c>
      <c r="G2601" s="6">
        <f>INT(C2601)</f>
        <v/>
      </c>
    </row>
    <row r="2602">
      <c r="A2602" s="2" t="inlineStr">
        <is>
          <t>Blast</t>
        </is>
      </c>
      <c r="B2602" s="3" t="n">
        <v>46079.45943287037</v>
      </c>
      <c r="C2602" s="3" t="n">
        <v>46079.45958333334</v>
      </c>
      <c r="D2602" s="4">
        <f>(C2602-B2602)*24</f>
        <v/>
      </c>
      <c r="E2602" s="5">
        <f>IF(AND(HOUR(B2602)&gt;=6,HOUR(B2602)&lt;18),"Day Shift","Night Shift")</f>
        <v/>
      </c>
      <c r="F2602" s="6">
        <f>INT(B2602)</f>
        <v/>
      </c>
      <c r="G2602" s="6">
        <f>INT(C2602)</f>
        <v/>
      </c>
    </row>
    <row r="2603">
      <c r="A2603" s="2" t="inlineStr">
        <is>
          <t>Blast</t>
        </is>
      </c>
      <c r="B2603" s="3" t="n">
        <v>46079.45958333334</v>
      </c>
      <c r="C2603" s="3" t="n">
        <v>46079.45962962963</v>
      </c>
      <c r="D2603" s="4">
        <f>(C2603-B2603)*24</f>
        <v/>
      </c>
      <c r="E2603" s="5">
        <f>IF(AND(HOUR(B2603)&gt;=6,HOUR(B2603)&lt;18),"Day Shift","Night Shift")</f>
        <v/>
      </c>
      <c r="F2603" s="6">
        <f>INT(B2603)</f>
        <v/>
      </c>
      <c r="G2603" s="6">
        <f>INT(C2603)</f>
        <v/>
      </c>
    </row>
    <row r="2604">
      <c r="A2604" s="2" t="inlineStr">
        <is>
          <t>Blast</t>
        </is>
      </c>
      <c r="B2604" s="3" t="n">
        <v>46079.45962962963</v>
      </c>
      <c r="C2604" s="3" t="n">
        <v>46079.4596875</v>
      </c>
      <c r="D2604" s="4">
        <f>(C2604-B2604)*24</f>
        <v/>
      </c>
      <c r="E2604" s="5">
        <f>IF(AND(HOUR(B2604)&gt;=6,HOUR(B2604)&lt;18),"Day Shift","Night Shift")</f>
        <v/>
      </c>
      <c r="F2604" s="6">
        <f>INT(B2604)</f>
        <v/>
      </c>
      <c r="G2604" s="6">
        <f>INT(C2604)</f>
        <v/>
      </c>
    </row>
    <row r="2605">
      <c r="A2605" s="2" t="inlineStr">
        <is>
          <t>Blast</t>
        </is>
      </c>
      <c r="B2605" s="3" t="n">
        <v>46079.4596875</v>
      </c>
      <c r="C2605" s="3" t="n">
        <v>46079.45976851852</v>
      </c>
      <c r="D2605" s="4">
        <f>(C2605-B2605)*24</f>
        <v/>
      </c>
      <c r="E2605" s="5">
        <f>IF(AND(HOUR(B2605)&gt;=6,HOUR(B2605)&lt;18),"Day Shift","Night Shift")</f>
        <v/>
      </c>
      <c r="F2605" s="6">
        <f>INT(B2605)</f>
        <v/>
      </c>
      <c r="G2605" s="6">
        <f>INT(C2605)</f>
        <v/>
      </c>
    </row>
    <row r="2606">
      <c r="A2606" s="2" t="inlineStr">
        <is>
          <t>Blast</t>
        </is>
      </c>
      <c r="B2606" s="3" t="n">
        <v>46079.45976851852</v>
      </c>
      <c r="C2606" s="3" t="n">
        <v>46079.45984953704</v>
      </c>
      <c r="D2606" s="4">
        <f>(C2606-B2606)*24</f>
        <v/>
      </c>
      <c r="E2606" s="5">
        <f>IF(AND(HOUR(B2606)&gt;=6,HOUR(B2606)&lt;18),"Day Shift","Night Shift")</f>
        <v/>
      </c>
      <c r="F2606" s="6">
        <f>INT(B2606)</f>
        <v/>
      </c>
      <c r="G2606" s="6">
        <f>INT(C2606)</f>
        <v/>
      </c>
    </row>
    <row r="2607">
      <c r="A2607" s="2" t="inlineStr">
        <is>
          <t>Blast</t>
        </is>
      </c>
      <c r="B2607" s="3" t="n">
        <v>46079.45984953704</v>
      </c>
      <c r="C2607" s="3" t="n">
        <v>46079.45994212963</v>
      </c>
      <c r="D2607" s="4">
        <f>(C2607-B2607)*24</f>
        <v/>
      </c>
      <c r="E2607" s="5">
        <f>IF(AND(HOUR(B2607)&gt;=6,HOUR(B2607)&lt;18),"Day Shift","Night Shift")</f>
        <v/>
      </c>
      <c r="F2607" s="6">
        <f>INT(B2607)</f>
        <v/>
      </c>
      <c r="G2607" s="6">
        <f>INT(C2607)</f>
        <v/>
      </c>
    </row>
    <row r="2608">
      <c r="A2608" s="2" t="inlineStr">
        <is>
          <t>Blast</t>
        </is>
      </c>
      <c r="B2608" s="3" t="n">
        <v>46079.45994212963</v>
      </c>
      <c r="C2608" s="3" t="n">
        <v>46079.46001157408</v>
      </c>
      <c r="D2608" s="4">
        <f>(C2608-B2608)*24</f>
        <v/>
      </c>
      <c r="E2608" s="5">
        <f>IF(AND(HOUR(B2608)&gt;=6,HOUR(B2608)&lt;18),"Day Shift","Night Shift")</f>
        <v/>
      </c>
      <c r="F2608" s="6">
        <f>INT(B2608)</f>
        <v/>
      </c>
      <c r="G2608" s="6">
        <f>INT(C2608)</f>
        <v/>
      </c>
    </row>
    <row r="2609">
      <c r="A2609" s="2" t="inlineStr">
        <is>
          <t>Blast</t>
        </is>
      </c>
      <c r="B2609" s="3" t="n">
        <v>46079.46001157408</v>
      </c>
      <c r="C2609" s="3" t="n">
        <v>46079.46009259259</v>
      </c>
      <c r="D2609" s="4">
        <f>(C2609-B2609)*24</f>
        <v/>
      </c>
      <c r="E2609" s="5">
        <f>IF(AND(HOUR(B2609)&gt;=6,HOUR(B2609)&lt;18),"Day Shift","Night Shift")</f>
        <v/>
      </c>
      <c r="F2609" s="6">
        <f>INT(B2609)</f>
        <v/>
      </c>
      <c r="G2609" s="6">
        <f>INT(C2609)</f>
        <v/>
      </c>
    </row>
    <row r="2610">
      <c r="A2610" s="2" t="inlineStr">
        <is>
          <t>Blast</t>
        </is>
      </c>
      <c r="B2610" s="3" t="n">
        <v>46079.46009259259</v>
      </c>
      <c r="C2610" s="3" t="n">
        <v>46079.46017361111</v>
      </c>
      <c r="D2610" s="4">
        <f>(C2610-B2610)*24</f>
        <v/>
      </c>
      <c r="E2610" s="5">
        <f>IF(AND(HOUR(B2610)&gt;=6,HOUR(B2610)&lt;18),"Day Shift","Night Shift")</f>
        <v/>
      </c>
      <c r="F2610" s="6">
        <f>INT(B2610)</f>
        <v/>
      </c>
      <c r="G2610" s="6">
        <f>INT(C2610)</f>
        <v/>
      </c>
    </row>
    <row r="2611">
      <c r="A2611" s="2" t="inlineStr">
        <is>
          <t>Blast</t>
        </is>
      </c>
      <c r="B2611" s="3" t="n">
        <v>46079.46017361111</v>
      </c>
      <c r="C2611" s="3" t="n">
        <v>46079.46028935185</v>
      </c>
      <c r="D2611" s="4">
        <f>(C2611-B2611)*24</f>
        <v/>
      </c>
      <c r="E2611" s="5">
        <f>IF(AND(HOUR(B2611)&gt;=6,HOUR(B2611)&lt;18),"Day Shift","Night Shift")</f>
        <v/>
      </c>
      <c r="F2611" s="6">
        <f>INT(B2611)</f>
        <v/>
      </c>
      <c r="G2611" s="6">
        <f>INT(C2611)</f>
        <v/>
      </c>
    </row>
    <row r="2612">
      <c r="A2612" s="2" t="inlineStr">
        <is>
          <t>Blast</t>
        </is>
      </c>
      <c r="B2612" s="3" t="n">
        <v>46079.46028935185</v>
      </c>
      <c r="C2612" s="3" t="n">
        <v>46079.46043981481</v>
      </c>
      <c r="D2612" s="4">
        <f>(C2612-B2612)*24</f>
        <v/>
      </c>
      <c r="E2612" s="5">
        <f>IF(AND(HOUR(B2612)&gt;=6,HOUR(B2612)&lt;18),"Day Shift","Night Shift")</f>
        <v/>
      </c>
      <c r="F2612" s="6">
        <f>INT(B2612)</f>
        <v/>
      </c>
      <c r="G2612" s="6">
        <f>INT(C2612)</f>
        <v/>
      </c>
    </row>
    <row r="2613">
      <c r="A2613" s="2" t="inlineStr">
        <is>
          <t>Blast</t>
        </is>
      </c>
      <c r="B2613" s="3" t="n">
        <v>46079.46043981481</v>
      </c>
      <c r="C2613" s="3" t="n">
        <v>46079.46055555555</v>
      </c>
      <c r="D2613" s="4">
        <f>(C2613-B2613)*24</f>
        <v/>
      </c>
      <c r="E2613" s="5">
        <f>IF(AND(HOUR(B2613)&gt;=6,HOUR(B2613)&lt;18),"Day Shift","Night Shift")</f>
        <v/>
      </c>
      <c r="F2613" s="6">
        <f>INT(B2613)</f>
        <v/>
      </c>
      <c r="G2613" s="6">
        <f>INT(C2613)</f>
        <v/>
      </c>
    </row>
    <row r="2614">
      <c r="A2614" s="2" t="inlineStr">
        <is>
          <t>Blast</t>
        </is>
      </c>
      <c r="B2614" s="3" t="n">
        <v>46079.46055555555</v>
      </c>
      <c r="C2614" s="3" t="n">
        <v>46079.46056712963</v>
      </c>
      <c r="D2614" s="4">
        <f>(C2614-B2614)*24</f>
        <v/>
      </c>
      <c r="E2614" s="5">
        <f>IF(AND(HOUR(B2614)&gt;=6,HOUR(B2614)&lt;18),"Day Shift","Night Shift")</f>
        <v/>
      </c>
      <c r="F2614" s="6">
        <f>INT(B2614)</f>
        <v/>
      </c>
      <c r="G2614" s="6">
        <f>INT(C2614)</f>
        <v/>
      </c>
    </row>
    <row r="2615">
      <c r="A2615" s="2" t="inlineStr">
        <is>
          <t>Blast</t>
        </is>
      </c>
      <c r="B2615" s="3" t="n">
        <v>46079.46056712963</v>
      </c>
      <c r="C2615" s="3" t="n">
        <v>46079.46059027778</v>
      </c>
      <c r="D2615" s="4">
        <f>(C2615-B2615)*24</f>
        <v/>
      </c>
      <c r="E2615" s="5">
        <f>IF(AND(HOUR(B2615)&gt;=6,HOUR(B2615)&lt;18),"Day Shift","Night Shift")</f>
        <v/>
      </c>
      <c r="F2615" s="6">
        <f>INT(B2615)</f>
        <v/>
      </c>
      <c r="G2615" s="6">
        <f>INT(C2615)</f>
        <v/>
      </c>
    </row>
    <row r="2616">
      <c r="A2616" s="2" t="inlineStr">
        <is>
          <t>Blast</t>
        </is>
      </c>
      <c r="B2616" s="3" t="n">
        <v>46079.46059027778</v>
      </c>
      <c r="C2616" s="3" t="n">
        <v>46079.4606712963</v>
      </c>
      <c r="D2616" s="4">
        <f>(C2616-B2616)*24</f>
        <v/>
      </c>
      <c r="E2616" s="5">
        <f>IF(AND(HOUR(B2616)&gt;=6,HOUR(B2616)&lt;18),"Day Shift","Night Shift")</f>
        <v/>
      </c>
      <c r="F2616" s="6">
        <f>INT(B2616)</f>
        <v/>
      </c>
      <c r="G2616" s="6">
        <f>INT(C2616)</f>
        <v/>
      </c>
    </row>
    <row r="2617">
      <c r="A2617" s="2" t="inlineStr">
        <is>
          <t>Blast</t>
        </is>
      </c>
      <c r="B2617" s="3" t="n">
        <v>46079.4606712963</v>
      </c>
      <c r="C2617" s="3" t="n">
        <v>46079.46076388889</v>
      </c>
      <c r="D2617" s="4">
        <f>(C2617-B2617)*24</f>
        <v/>
      </c>
      <c r="E2617" s="5">
        <f>IF(AND(HOUR(B2617)&gt;=6,HOUR(B2617)&lt;18),"Day Shift","Night Shift")</f>
        <v/>
      </c>
      <c r="F2617" s="6">
        <f>INT(B2617)</f>
        <v/>
      </c>
      <c r="G2617" s="6">
        <f>INT(C2617)</f>
        <v/>
      </c>
    </row>
    <row r="2618">
      <c r="A2618" s="2" t="inlineStr">
        <is>
          <t>Blast</t>
        </is>
      </c>
      <c r="B2618" s="3" t="n">
        <v>46079.46076388889</v>
      </c>
      <c r="C2618" s="3" t="n">
        <v>46079.46084490741</v>
      </c>
      <c r="D2618" s="4">
        <f>(C2618-B2618)*24</f>
        <v/>
      </c>
      <c r="E2618" s="5">
        <f>IF(AND(HOUR(B2618)&gt;=6,HOUR(B2618)&lt;18),"Day Shift","Night Shift")</f>
        <v/>
      </c>
      <c r="F2618" s="6">
        <f>INT(B2618)</f>
        <v/>
      </c>
      <c r="G2618" s="6">
        <f>INT(C2618)</f>
        <v/>
      </c>
    </row>
    <row r="2619">
      <c r="A2619" s="2" t="inlineStr">
        <is>
          <t>Blast</t>
        </is>
      </c>
      <c r="B2619" s="3" t="n">
        <v>46079.46084490741</v>
      </c>
      <c r="C2619" s="3" t="n">
        <v>46079.4609375</v>
      </c>
      <c r="D2619" s="4">
        <f>(C2619-B2619)*24</f>
        <v/>
      </c>
      <c r="E2619" s="5">
        <f>IF(AND(HOUR(B2619)&gt;=6,HOUR(B2619)&lt;18),"Day Shift","Night Shift")</f>
        <v/>
      </c>
      <c r="F2619" s="6">
        <f>INT(B2619)</f>
        <v/>
      </c>
      <c r="G2619" s="6">
        <f>INT(C2619)</f>
        <v/>
      </c>
    </row>
    <row r="2620">
      <c r="A2620" s="2" t="inlineStr">
        <is>
          <t>Blast</t>
        </is>
      </c>
      <c r="B2620" s="3" t="n">
        <v>46079.4609375</v>
      </c>
      <c r="C2620" s="3" t="n">
        <v>46079.46101851852</v>
      </c>
      <c r="D2620" s="4">
        <f>(C2620-B2620)*24</f>
        <v/>
      </c>
      <c r="E2620" s="5">
        <f>IF(AND(HOUR(B2620)&gt;=6,HOUR(B2620)&lt;18),"Day Shift","Night Shift")</f>
        <v/>
      </c>
      <c r="F2620" s="6">
        <f>INT(B2620)</f>
        <v/>
      </c>
      <c r="G2620" s="6">
        <f>INT(C2620)</f>
        <v/>
      </c>
    </row>
    <row r="2621">
      <c r="A2621" s="2" t="inlineStr">
        <is>
          <t>Blast</t>
        </is>
      </c>
      <c r="B2621" s="3" t="n">
        <v>46079.46101851852</v>
      </c>
      <c r="C2621" s="3" t="n">
        <v>46079.46108796296</v>
      </c>
      <c r="D2621" s="4">
        <f>(C2621-B2621)*24</f>
        <v/>
      </c>
      <c r="E2621" s="5">
        <f>IF(AND(HOUR(B2621)&gt;=6,HOUR(B2621)&lt;18),"Day Shift","Night Shift")</f>
        <v/>
      </c>
      <c r="F2621" s="6">
        <f>INT(B2621)</f>
        <v/>
      </c>
      <c r="G2621" s="6">
        <f>INT(C2621)</f>
        <v/>
      </c>
    </row>
    <row r="2622">
      <c r="A2622" s="2" t="inlineStr">
        <is>
          <t>Blast</t>
        </is>
      </c>
      <c r="B2622" s="3" t="n">
        <v>46079.46108796296</v>
      </c>
      <c r="C2622" s="3" t="n">
        <v>46079.46116898148</v>
      </c>
      <c r="D2622" s="4">
        <f>(C2622-B2622)*24</f>
        <v/>
      </c>
      <c r="E2622" s="5">
        <f>IF(AND(HOUR(B2622)&gt;=6,HOUR(B2622)&lt;18),"Day Shift","Night Shift")</f>
        <v/>
      </c>
      <c r="F2622" s="6">
        <f>INT(B2622)</f>
        <v/>
      </c>
      <c r="G2622" s="6">
        <f>INT(C2622)</f>
        <v/>
      </c>
    </row>
    <row r="2623">
      <c r="A2623" s="2" t="inlineStr">
        <is>
          <t>Blast</t>
        </is>
      </c>
      <c r="B2623" s="3" t="n">
        <v>46079.46116898148</v>
      </c>
      <c r="C2623" s="3" t="n">
        <v>46079.46126157408</v>
      </c>
      <c r="D2623" s="4">
        <f>(C2623-B2623)*24</f>
        <v/>
      </c>
      <c r="E2623" s="5">
        <f>IF(AND(HOUR(B2623)&gt;=6,HOUR(B2623)&lt;18),"Day Shift","Night Shift")</f>
        <v/>
      </c>
      <c r="F2623" s="6">
        <f>INT(B2623)</f>
        <v/>
      </c>
      <c r="G2623" s="6">
        <f>INT(C2623)</f>
        <v/>
      </c>
    </row>
    <row r="2624">
      <c r="A2624" s="2" t="inlineStr">
        <is>
          <t>Blast</t>
        </is>
      </c>
      <c r="B2624" s="3" t="n">
        <v>46079.46126157408</v>
      </c>
      <c r="C2624" s="3" t="n">
        <v>46079.46134259259</v>
      </c>
      <c r="D2624" s="4">
        <f>(C2624-B2624)*24</f>
        <v/>
      </c>
      <c r="E2624" s="5">
        <f>IF(AND(HOUR(B2624)&gt;=6,HOUR(B2624)&lt;18),"Day Shift","Night Shift")</f>
        <v/>
      </c>
      <c r="F2624" s="6">
        <f>INT(B2624)</f>
        <v/>
      </c>
      <c r="G2624" s="6">
        <f>INT(C2624)</f>
        <v/>
      </c>
    </row>
    <row r="2625">
      <c r="A2625" s="2" t="inlineStr">
        <is>
          <t>Blast</t>
        </is>
      </c>
      <c r="B2625" s="3" t="n">
        <v>46079.46134259259</v>
      </c>
      <c r="C2625" s="3" t="n">
        <v>46079.46144675926</v>
      </c>
      <c r="D2625" s="4">
        <f>(C2625-B2625)*24</f>
        <v/>
      </c>
      <c r="E2625" s="5">
        <f>IF(AND(HOUR(B2625)&gt;=6,HOUR(B2625)&lt;18),"Day Shift","Night Shift")</f>
        <v/>
      </c>
      <c r="F2625" s="6">
        <f>INT(B2625)</f>
        <v/>
      </c>
      <c r="G2625" s="6">
        <f>INT(C2625)</f>
        <v/>
      </c>
    </row>
    <row r="2626">
      <c r="A2626" s="2" t="inlineStr">
        <is>
          <t>Blast</t>
        </is>
      </c>
      <c r="B2626" s="3" t="n">
        <v>46079.46144675926</v>
      </c>
      <c r="C2626" s="3" t="n">
        <v>46079.46145833333</v>
      </c>
      <c r="D2626" s="4">
        <f>(C2626-B2626)*24</f>
        <v/>
      </c>
      <c r="E2626" s="5">
        <f>IF(AND(HOUR(B2626)&gt;=6,HOUR(B2626)&lt;18),"Day Shift","Night Shift")</f>
        <v/>
      </c>
      <c r="F2626" s="6">
        <f>INT(B2626)</f>
        <v/>
      </c>
      <c r="G2626" s="6">
        <f>INT(C2626)</f>
        <v/>
      </c>
    </row>
    <row r="2627">
      <c r="A2627" s="2" t="inlineStr">
        <is>
          <t>Blast</t>
        </is>
      </c>
      <c r="B2627" s="3" t="n">
        <v>46079.46145833333</v>
      </c>
      <c r="C2627" s="3" t="n">
        <v>46079.46146990741</v>
      </c>
      <c r="D2627" s="4">
        <f>(C2627-B2627)*24</f>
        <v/>
      </c>
      <c r="E2627" s="5">
        <f>IF(AND(HOUR(B2627)&gt;=6,HOUR(B2627)&lt;18),"Day Shift","Night Shift")</f>
        <v/>
      </c>
      <c r="F2627" s="6">
        <f>INT(B2627)</f>
        <v/>
      </c>
      <c r="G2627" s="6">
        <f>INT(C2627)</f>
        <v/>
      </c>
    </row>
    <row r="2628">
      <c r="A2628" s="2" t="inlineStr">
        <is>
          <t>Blast</t>
        </is>
      </c>
      <c r="B2628" s="3" t="n">
        <v>46079.46146990741</v>
      </c>
      <c r="C2628" s="3" t="n">
        <v>46079.46152777778</v>
      </c>
      <c r="D2628" s="4">
        <f>(C2628-B2628)*24</f>
        <v/>
      </c>
      <c r="E2628" s="5">
        <f>IF(AND(HOUR(B2628)&gt;=6,HOUR(B2628)&lt;18),"Day Shift","Night Shift")</f>
        <v/>
      </c>
      <c r="F2628" s="6">
        <f>INT(B2628)</f>
        <v/>
      </c>
      <c r="G2628" s="6">
        <f>INT(C2628)</f>
        <v/>
      </c>
    </row>
    <row r="2629">
      <c r="A2629" s="2" t="inlineStr">
        <is>
          <t>Blast</t>
        </is>
      </c>
      <c r="B2629" s="3" t="n">
        <v>46079.46152777778</v>
      </c>
      <c r="C2629" s="3" t="n">
        <v>46079.46159722222</v>
      </c>
      <c r="D2629" s="4">
        <f>(C2629-B2629)*24</f>
        <v/>
      </c>
      <c r="E2629" s="5">
        <f>IF(AND(HOUR(B2629)&gt;=6,HOUR(B2629)&lt;18),"Day Shift","Night Shift")</f>
        <v/>
      </c>
      <c r="F2629" s="6">
        <f>INT(B2629)</f>
        <v/>
      </c>
      <c r="G2629" s="6">
        <f>INT(C2629)</f>
        <v/>
      </c>
    </row>
    <row r="2630">
      <c r="A2630" s="2" t="inlineStr">
        <is>
          <t>Blast</t>
        </is>
      </c>
      <c r="B2630" s="3" t="n">
        <v>46079.46159722222</v>
      </c>
      <c r="C2630" s="3" t="n">
        <v>46079.46167824074</v>
      </c>
      <c r="D2630" s="4">
        <f>(C2630-B2630)*24</f>
        <v/>
      </c>
      <c r="E2630" s="5">
        <f>IF(AND(HOUR(B2630)&gt;=6,HOUR(B2630)&lt;18),"Day Shift","Night Shift")</f>
        <v/>
      </c>
      <c r="F2630" s="6">
        <f>INT(B2630)</f>
        <v/>
      </c>
      <c r="G2630" s="6">
        <f>INT(C2630)</f>
        <v/>
      </c>
    </row>
    <row r="2631">
      <c r="A2631" s="2" t="inlineStr">
        <is>
          <t>Blast</t>
        </is>
      </c>
      <c r="B2631" s="3" t="n">
        <v>46079.46167824074</v>
      </c>
      <c r="C2631" s="3" t="n">
        <v>46079.46177083333</v>
      </c>
      <c r="D2631" s="4">
        <f>(C2631-B2631)*24</f>
        <v/>
      </c>
      <c r="E2631" s="5">
        <f>IF(AND(HOUR(B2631)&gt;=6,HOUR(B2631)&lt;18),"Day Shift","Night Shift")</f>
        <v/>
      </c>
      <c r="F2631" s="6">
        <f>INT(B2631)</f>
        <v/>
      </c>
      <c r="G2631" s="6">
        <f>INT(C2631)</f>
        <v/>
      </c>
    </row>
    <row r="2632">
      <c r="A2632" s="2" t="inlineStr">
        <is>
          <t>Blast</t>
        </is>
      </c>
      <c r="B2632" s="3" t="n">
        <v>46079.46177083333</v>
      </c>
      <c r="C2632" s="3" t="n">
        <v>46079.46186342592</v>
      </c>
      <c r="D2632" s="4">
        <f>(C2632-B2632)*24</f>
        <v/>
      </c>
      <c r="E2632" s="5">
        <f>IF(AND(HOUR(B2632)&gt;=6,HOUR(B2632)&lt;18),"Day Shift","Night Shift")</f>
        <v/>
      </c>
      <c r="F2632" s="6">
        <f>INT(B2632)</f>
        <v/>
      </c>
      <c r="G2632" s="6">
        <f>INT(C2632)</f>
        <v/>
      </c>
    </row>
    <row r="2633">
      <c r="A2633" s="2" t="inlineStr">
        <is>
          <t>Blast</t>
        </is>
      </c>
      <c r="B2633" s="3" t="n">
        <v>46079.46186342592</v>
      </c>
      <c r="C2633" s="3" t="n">
        <v>46079.46194444445</v>
      </c>
      <c r="D2633" s="4">
        <f>(C2633-B2633)*24</f>
        <v/>
      </c>
      <c r="E2633" s="5">
        <f>IF(AND(HOUR(B2633)&gt;=6,HOUR(B2633)&lt;18),"Day Shift","Night Shift")</f>
        <v/>
      </c>
      <c r="F2633" s="6">
        <f>INT(B2633)</f>
        <v/>
      </c>
      <c r="G2633" s="6">
        <f>INT(C2633)</f>
        <v/>
      </c>
    </row>
    <row r="2634">
      <c r="A2634" s="2" t="inlineStr">
        <is>
          <t>Blast</t>
        </is>
      </c>
      <c r="B2634" s="3" t="n">
        <v>46079.46194444445</v>
      </c>
      <c r="C2634" s="3" t="n">
        <v>46079.46202546296</v>
      </c>
      <c r="D2634" s="4">
        <f>(C2634-B2634)*24</f>
        <v/>
      </c>
      <c r="E2634" s="5">
        <f>IF(AND(HOUR(B2634)&gt;=6,HOUR(B2634)&lt;18),"Day Shift","Night Shift")</f>
        <v/>
      </c>
      <c r="F2634" s="6">
        <f>INT(B2634)</f>
        <v/>
      </c>
      <c r="G2634" s="6">
        <f>INT(C2634)</f>
        <v/>
      </c>
    </row>
    <row r="2635">
      <c r="A2635" s="2" t="inlineStr">
        <is>
          <t>Blast</t>
        </is>
      </c>
      <c r="B2635" s="3" t="n">
        <v>46079.46202546296</v>
      </c>
      <c r="C2635" s="3" t="n">
        <v>46079.46210648148</v>
      </c>
      <c r="D2635" s="4">
        <f>(C2635-B2635)*24</f>
        <v/>
      </c>
      <c r="E2635" s="5">
        <f>IF(AND(HOUR(B2635)&gt;=6,HOUR(B2635)&lt;18),"Day Shift","Night Shift")</f>
        <v/>
      </c>
      <c r="F2635" s="6">
        <f>INT(B2635)</f>
        <v/>
      </c>
      <c r="G2635" s="6">
        <f>INT(C2635)</f>
        <v/>
      </c>
    </row>
    <row r="2636">
      <c r="A2636" s="2" t="inlineStr">
        <is>
          <t>Blast</t>
        </is>
      </c>
      <c r="B2636" s="3" t="n">
        <v>46079.46210648148</v>
      </c>
      <c r="C2636" s="3" t="n">
        <v>46079.46219907407</v>
      </c>
      <c r="D2636" s="4">
        <f>(C2636-B2636)*24</f>
        <v/>
      </c>
      <c r="E2636" s="5">
        <f>IF(AND(HOUR(B2636)&gt;=6,HOUR(B2636)&lt;18),"Day Shift","Night Shift")</f>
        <v/>
      </c>
      <c r="F2636" s="6">
        <f>INT(B2636)</f>
        <v/>
      </c>
      <c r="G2636" s="6">
        <f>INT(C2636)</f>
        <v/>
      </c>
    </row>
    <row r="2637">
      <c r="A2637" s="2" t="inlineStr">
        <is>
          <t>Blast</t>
        </is>
      </c>
      <c r="B2637" s="3" t="n">
        <v>46079.46219907407</v>
      </c>
      <c r="C2637" s="3" t="n">
        <v>46079.46228009259</v>
      </c>
      <c r="D2637" s="4">
        <f>(C2637-B2637)*24</f>
        <v/>
      </c>
      <c r="E2637" s="5">
        <f>IF(AND(HOUR(B2637)&gt;=6,HOUR(B2637)&lt;18),"Day Shift","Night Shift")</f>
        <v/>
      </c>
      <c r="F2637" s="6">
        <f>INT(B2637)</f>
        <v/>
      </c>
      <c r="G2637" s="6">
        <f>INT(C2637)</f>
        <v/>
      </c>
    </row>
    <row r="2638">
      <c r="A2638" s="2" t="inlineStr">
        <is>
          <t>Blast</t>
        </is>
      </c>
      <c r="B2638" s="3" t="n">
        <v>46079.46228009259</v>
      </c>
      <c r="C2638" s="3" t="n">
        <v>46079.46229166666</v>
      </c>
      <c r="D2638" s="4">
        <f>(C2638-B2638)*24</f>
        <v/>
      </c>
      <c r="E2638" s="5">
        <f>IF(AND(HOUR(B2638)&gt;=6,HOUR(B2638)&lt;18),"Day Shift","Night Shift")</f>
        <v/>
      </c>
      <c r="F2638" s="6">
        <f>INT(B2638)</f>
        <v/>
      </c>
      <c r="G2638" s="6">
        <f>INT(C2638)</f>
        <v/>
      </c>
    </row>
    <row r="2639">
      <c r="A2639" s="2" t="inlineStr">
        <is>
          <t>Blast</t>
        </is>
      </c>
      <c r="B2639" s="3" t="n">
        <v>46079.46229166666</v>
      </c>
      <c r="C2639" s="3" t="n">
        <v>46079.46231481482</v>
      </c>
      <c r="D2639" s="4">
        <f>(C2639-B2639)*24</f>
        <v/>
      </c>
      <c r="E2639" s="5">
        <f>IF(AND(HOUR(B2639)&gt;=6,HOUR(B2639)&lt;18),"Day Shift","Night Shift")</f>
        <v/>
      </c>
      <c r="F2639" s="6">
        <f>INT(B2639)</f>
        <v/>
      </c>
      <c r="G2639" s="6">
        <f>INT(C2639)</f>
        <v/>
      </c>
    </row>
    <row r="2640">
      <c r="A2640" s="2" t="inlineStr">
        <is>
          <t>Blast</t>
        </is>
      </c>
      <c r="B2640" s="3" t="n">
        <v>46079.46231481482</v>
      </c>
      <c r="C2640" s="3" t="n">
        <v>46079.46243055556</v>
      </c>
      <c r="D2640" s="4">
        <f>(C2640-B2640)*24</f>
        <v/>
      </c>
      <c r="E2640" s="5">
        <f>IF(AND(HOUR(B2640)&gt;=6,HOUR(B2640)&lt;18),"Day Shift","Night Shift")</f>
        <v/>
      </c>
      <c r="F2640" s="6">
        <f>INT(B2640)</f>
        <v/>
      </c>
      <c r="G2640" s="6">
        <f>INT(C2640)</f>
        <v/>
      </c>
    </row>
    <row r="2641">
      <c r="A2641" s="2" t="inlineStr">
        <is>
          <t>Blast</t>
        </is>
      </c>
      <c r="B2641" s="3" t="n">
        <v>46079.46243055556</v>
      </c>
      <c r="C2641" s="3" t="n">
        <v>46079.46253472222</v>
      </c>
      <c r="D2641" s="4">
        <f>(C2641-B2641)*24</f>
        <v/>
      </c>
      <c r="E2641" s="5">
        <f>IF(AND(HOUR(B2641)&gt;=6,HOUR(B2641)&lt;18),"Day Shift","Night Shift")</f>
        <v/>
      </c>
      <c r="F2641" s="6">
        <f>INT(B2641)</f>
        <v/>
      </c>
      <c r="G2641" s="6">
        <f>INT(C2641)</f>
        <v/>
      </c>
    </row>
    <row r="2642">
      <c r="A2642" s="2" t="inlineStr">
        <is>
          <t>Blast</t>
        </is>
      </c>
      <c r="B2642" s="3" t="n">
        <v>46079.46253472222</v>
      </c>
      <c r="C2642" s="3" t="n">
        <v>46079.46261574074</v>
      </c>
      <c r="D2642" s="4">
        <f>(C2642-B2642)*24</f>
        <v/>
      </c>
      <c r="E2642" s="5">
        <f>IF(AND(HOUR(B2642)&gt;=6,HOUR(B2642)&lt;18),"Day Shift","Night Shift")</f>
        <v/>
      </c>
      <c r="F2642" s="6">
        <f>INT(B2642)</f>
        <v/>
      </c>
      <c r="G2642" s="6">
        <f>INT(C2642)</f>
        <v/>
      </c>
    </row>
    <row r="2643">
      <c r="A2643" s="2" t="inlineStr">
        <is>
          <t>Blast</t>
        </is>
      </c>
      <c r="B2643" s="3" t="n">
        <v>46079.46261574074</v>
      </c>
      <c r="C2643" s="3" t="n">
        <v>46079.46271990741</v>
      </c>
      <c r="D2643" s="4">
        <f>(C2643-B2643)*24</f>
        <v/>
      </c>
      <c r="E2643" s="5">
        <f>IF(AND(HOUR(B2643)&gt;=6,HOUR(B2643)&lt;18),"Day Shift","Night Shift")</f>
        <v/>
      </c>
      <c r="F2643" s="6">
        <f>INT(B2643)</f>
        <v/>
      </c>
      <c r="G2643" s="6">
        <f>INT(C2643)</f>
        <v/>
      </c>
    </row>
    <row r="2644">
      <c r="A2644" s="2" t="inlineStr">
        <is>
          <t>Blast</t>
        </is>
      </c>
      <c r="B2644" s="3" t="n">
        <v>46079.46271990741</v>
      </c>
      <c r="C2644" s="3" t="n">
        <v>46079.4628125</v>
      </c>
      <c r="D2644" s="4">
        <f>(C2644-B2644)*24</f>
        <v/>
      </c>
      <c r="E2644" s="5">
        <f>IF(AND(HOUR(B2644)&gt;=6,HOUR(B2644)&lt;18),"Day Shift","Night Shift")</f>
        <v/>
      </c>
      <c r="F2644" s="6">
        <f>INT(B2644)</f>
        <v/>
      </c>
      <c r="G2644" s="6">
        <f>INT(C2644)</f>
        <v/>
      </c>
    </row>
    <row r="2645">
      <c r="A2645" s="2" t="inlineStr">
        <is>
          <t>Blast</t>
        </is>
      </c>
      <c r="B2645" s="3" t="n">
        <v>46079.4628125</v>
      </c>
      <c r="C2645" s="3" t="n">
        <v>46079.46289351852</v>
      </c>
      <c r="D2645" s="4">
        <f>(C2645-B2645)*24</f>
        <v/>
      </c>
      <c r="E2645" s="5">
        <f>IF(AND(HOUR(B2645)&gt;=6,HOUR(B2645)&lt;18),"Day Shift","Night Shift")</f>
        <v/>
      </c>
      <c r="F2645" s="6">
        <f>INT(B2645)</f>
        <v/>
      </c>
      <c r="G2645" s="6">
        <f>INT(C2645)</f>
        <v/>
      </c>
    </row>
    <row r="2646">
      <c r="A2646" s="2" t="inlineStr">
        <is>
          <t>Blast</t>
        </is>
      </c>
      <c r="B2646" s="3" t="n">
        <v>46079.46289351852</v>
      </c>
      <c r="C2646" s="3" t="n">
        <v>46079.46298611111</v>
      </c>
      <c r="D2646" s="4">
        <f>(C2646-B2646)*24</f>
        <v/>
      </c>
      <c r="E2646" s="5">
        <f>IF(AND(HOUR(B2646)&gt;=6,HOUR(B2646)&lt;18),"Day Shift","Night Shift")</f>
        <v/>
      </c>
      <c r="F2646" s="6">
        <f>INT(B2646)</f>
        <v/>
      </c>
      <c r="G2646" s="6">
        <f>INT(C2646)</f>
        <v/>
      </c>
    </row>
    <row r="2647">
      <c r="A2647" s="2" t="inlineStr">
        <is>
          <t>Blast</t>
        </is>
      </c>
      <c r="B2647" s="3" t="n">
        <v>46079.46298611111</v>
      </c>
      <c r="C2647" s="3" t="n">
        <v>46079.4630787037</v>
      </c>
      <c r="D2647" s="4">
        <f>(C2647-B2647)*24</f>
        <v/>
      </c>
      <c r="E2647" s="5">
        <f>IF(AND(HOUR(B2647)&gt;=6,HOUR(B2647)&lt;18),"Day Shift","Night Shift")</f>
        <v/>
      </c>
      <c r="F2647" s="6">
        <f>INT(B2647)</f>
        <v/>
      </c>
      <c r="G2647" s="6">
        <f>INT(C2647)</f>
        <v/>
      </c>
    </row>
    <row r="2648">
      <c r="A2648" s="2" t="inlineStr">
        <is>
          <t>Blast</t>
        </is>
      </c>
      <c r="B2648" s="3" t="n">
        <v>46079.4630787037</v>
      </c>
      <c r="C2648" s="3" t="n">
        <v>46079.46317129629</v>
      </c>
      <c r="D2648" s="4">
        <f>(C2648-B2648)*24</f>
        <v/>
      </c>
      <c r="E2648" s="5">
        <f>IF(AND(HOUR(B2648)&gt;=6,HOUR(B2648)&lt;18),"Day Shift","Night Shift")</f>
        <v/>
      </c>
      <c r="F2648" s="6">
        <f>INT(B2648)</f>
        <v/>
      </c>
      <c r="G2648" s="6">
        <f>INT(C2648)</f>
        <v/>
      </c>
    </row>
    <row r="2649">
      <c r="A2649" s="2" t="inlineStr">
        <is>
          <t>Blast</t>
        </is>
      </c>
      <c r="B2649" s="3" t="n">
        <v>46079.46317129629</v>
      </c>
      <c r="C2649" s="3" t="n">
        <v>46079.46321759259</v>
      </c>
      <c r="D2649" s="4">
        <f>(C2649-B2649)*24</f>
        <v/>
      </c>
      <c r="E2649" s="5">
        <f>IF(AND(HOUR(B2649)&gt;=6,HOUR(B2649)&lt;18),"Day Shift","Night Shift")</f>
        <v/>
      </c>
      <c r="F2649" s="6">
        <f>INT(B2649)</f>
        <v/>
      </c>
      <c r="G2649" s="6">
        <f>INT(C2649)</f>
        <v/>
      </c>
    </row>
    <row r="2650">
      <c r="A2650" s="2" t="inlineStr">
        <is>
          <t>Blast</t>
        </is>
      </c>
      <c r="B2650" s="3" t="n">
        <v>46079.46321759259</v>
      </c>
      <c r="C2650" s="3" t="n">
        <v>46079.46325231482</v>
      </c>
      <c r="D2650" s="4">
        <f>(C2650-B2650)*24</f>
        <v/>
      </c>
      <c r="E2650" s="5">
        <f>IF(AND(HOUR(B2650)&gt;=6,HOUR(B2650)&lt;18),"Day Shift","Night Shift")</f>
        <v/>
      </c>
      <c r="F2650" s="6">
        <f>INT(B2650)</f>
        <v/>
      </c>
      <c r="G2650" s="6">
        <f>INT(C2650)</f>
        <v/>
      </c>
    </row>
    <row r="2651">
      <c r="A2651" s="2" t="inlineStr">
        <is>
          <t>Blast</t>
        </is>
      </c>
      <c r="B2651" s="3" t="n">
        <v>46079.46325231482</v>
      </c>
      <c r="C2651" s="3" t="n">
        <v>46079.4633912037</v>
      </c>
      <c r="D2651" s="4">
        <f>(C2651-B2651)*24</f>
        <v/>
      </c>
      <c r="E2651" s="5">
        <f>IF(AND(HOUR(B2651)&gt;=6,HOUR(B2651)&lt;18),"Day Shift","Night Shift")</f>
        <v/>
      </c>
      <c r="F2651" s="6">
        <f>INT(B2651)</f>
        <v/>
      </c>
      <c r="G2651" s="6">
        <f>INT(C2651)</f>
        <v/>
      </c>
    </row>
    <row r="2652">
      <c r="A2652" s="2" t="inlineStr">
        <is>
          <t>Blast</t>
        </is>
      </c>
      <c r="B2652" s="3" t="n">
        <v>46079.4633912037</v>
      </c>
      <c r="C2652" s="3" t="n">
        <v>46079.46355324074</v>
      </c>
      <c r="D2652" s="4">
        <f>(C2652-B2652)*24</f>
        <v/>
      </c>
      <c r="E2652" s="5">
        <f>IF(AND(HOUR(B2652)&gt;=6,HOUR(B2652)&lt;18),"Day Shift","Night Shift")</f>
        <v/>
      </c>
      <c r="F2652" s="6">
        <f>INT(B2652)</f>
        <v/>
      </c>
      <c r="G2652" s="6">
        <f>INT(C2652)</f>
        <v/>
      </c>
    </row>
    <row r="2653">
      <c r="A2653" s="2" t="inlineStr">
        <is>
          <t>Blast</t>
        </is>
      </c>
      <c r="B2653" s="3" t="n">
        <v>46079.46355324074</v>
      </c>
      <c r="C2653" s="3" t="n">
        <v>46079.46372685185</v>
      </c>
      <c r="D2653" s="4">
        <f>(C2653-B2653)*24</f>
        <v/>
      </c>
      <c r="E2653" s="5">
        <f>IF(AND(HOUR(B2653)&gt;=6,HOUR(B2653)&lt;18),"Day Shift","Night Shift")</f>
        <v/>
      </c>
      <c r="F2653" s="6">
        <f>INT(B2653)</f>
        <v/>
      </c>
      <c r="G2653" s="6">
        <f>INT(C2653)</f>
        <v/>
      </c>
    </row>
    <row r="2654">
      <c r="A2654" s="2" t="inlineStr">
        <is>
          <t>Blast</t>
        </is>
      </c>
      <c r="B2654" s="3" t="n">
        <v>46079.46372685185</v>
      </c>
      <c r="C2654" s="3" t="n">
        <v>46079.46386574074</v>
      </c>
      <c r="D2654" s="4">
        <f>(C2654-B2654)*24</f>
        <v/>
      </c>
      <c r="E2654" s="5">
        <f>IF(AND(HOUR(B2654)&gt;=6,HOUR(B2654)&lt;18),"Day Shift","Night Shift")</f>
        <v/>
      </c>
      <c r="F2654" s="6">
        <f>INT(B2654)</f>
        <v/>
      </c>
      <c r="G2654" s="6">
        <f>INT(C2654)</f>
        <v/>
      </c>
    </row>
    <row r="2655">
      <c r="A2655" s="2" t="inlineStr">
        <is>
          <t>Blast</t>
        </is>
      </c>
      <c r="B2655" s="3" t="n">
        <v>46079.46386574074</v>
      </c>
      <c r="C2655" s="3" t="n">
        <v>46079.46398148148</v>
      </c>
      <c r="D2655" s="4">
        <f>(C2655-B2655)*24</f>
        <v/>
      </c>
      <c r="E2655" s="5">
        <f>IF(AND(HOUR(B2655)&gt;=6,HOUR(B2655)&lt;18),"Day Shift","Night Shift")</f>
        <v/>
      </c>
      <c r="F2655" s="6">
        <f>INT(B2655)</f>
        <v/>
      </c>
      <c r="G2655" s="6">
        <f>INT(C2655)</f>
        <v/>
      </c>
    </row>
    <row r="2656">
      <c r="A2656" s="2" t="inlineStr">
        <is>
          <t>Blast</t>
        </is>
      </c>
      <c r="B2656" s="3" t="n">
        <v>46079.46398148148</v>
      </c>
      <c r="C2656" s="3" t="n">
        <v>46079.4640625</v>
      </c>
      <c r="D2656" s="4">
        <f>(C2656-B2656)*24</f>
        <v/>
      </c>
      <c r="E2656" s="5">
        <f>IF(AND(HOUR(B2656)&gt;=6,HOUR(B2656)&lt;18),"Day Shift","Night Shift")</f>
        <v/>
      </c>
      <c r="F2656" s="6">
        <f>INT(B2656)</f>
        <v/>
      </c>
      <c r="G2656" s="6">
        <f>INT(C2656)</f>
        <v/>
      </c>
    </row>
    <row r="2657">
      <c r="A2657" s="2" t="inlineStr">
        <is>
          <t>Blast</t>
        </is>
      </c>
      <c r="B2657" s="3" t="n">
        <v>46079.4640625</v>
      </c>
      <c r="C2657" s="3" t="n">
        <v>46079.4641550926</v>
      </c>
      <c r="D2657" s="4">
        <f>(C2657-B2657)*24</f>
        <v/>
      </c>
      <c r="E2657" s="5">
        <f>IF(AND(HOUR(B2657)&gt;=6,HOUR(B2657)&lt;18),"Day Shift","Night Shift")</f>
        <v/>
      </c>
      <c r="F2657" s="6">
        <f>INT(B2657)</f>
        <v/>
      </c>
      <c r="G2657" s="6">
        <f>INT(C2657)</f>
        <v/>
      </c>
    </row>
    <row r="2658">
      <c r="A2658" s="2" t="inlineStr">
        <is>
          <t>Blast</t>
        </is>
      </c>
      <c r="B2658" s="3" t="n">
        <v>46079.4641550926</v>
      </c>
      <c r="C2658" s="3" t="n">
        <v>46079.46424768519</v>
      </c>
      <c r="D2658" s="4">
        <f>(C2658-B2658)*24</f>
        <v/>
      </c>
      <c r="E2658" s="5">
        <f>IF(AND(HOUR(B2658)&gt;=6,HOUR(B2658)&lt;18),"Day Shift","Night Shift")</f>
        <v/>
      </c>
      <c r="F2658" s="6">
        <f>INT(B2658)</f>
        <v/>
      </c>
      <c r="G2658" s="6">
        <f>INT(C2658)</f>
        <v/>
      </c>
    </row>
    <row r="2659">
      <c r="A2659" s="2" t="inlineStr">
        <is>
          <t>Blast</t>
        </is>
      </c>
      <c r="B2659" s="3" t="n">
        <v>46079.46424768519</v>
      </c>
      <c r="C2659" s="3" t="n">
        <v>46079.46434027778</v>
      </c>
      <c r="D2659" s="4">
        <f>(C2659-B2659)*24</f>
        <v/>
      </c>
      <c r="E2659" s="5">
        <f>IF(AND(HOUR(B2659)&gt;=6,HOUR(B2659)&lt;18),"Day Shift","Night Shift")</f>
        <v/>
      </c>
      <c r="F2659" s="6">
        <f>INT(B2659)</f>
        <v/>
      </c>
      <c r="G2659" s="6">
        <f>INT(C2659)</f>
        <v/>
      </c>
    </row>
    <row r="2660">
      <c r="A2660" s="2" t="inlineStr">
        <is>
          <t>Blast</t>
        </is>
      </c>
      <c r="B2660" s="3" t="n">
        <v>46079.46434027778</v>
      </c>
      <c r="C2660" s="3" t="n">
        <v>46079.46443287037</v>
      </c>
      <c r="D2660" s="4">
        <f>(C2660-B2660)*24</f>
        <v/>
      </c>
      <c r="E2660" s="5">
        <f>IF(AND(HOUR(B2660)&gt;=6,HOUR(B2660)&lt;18),"Day Shift","Night Shift")</f>
        <v/>
      </c>
      <c r="F2660" s="6">
        <f>INT(B2660)</f>
        <v/>
      </c>
      <c r="G2660" s="6">
        <f>INT(C2660)</f>
        <v/>
      </c>
    </row>
    <row r="2661">
      <c r="A2661" s="2" t="inlineStr">
        <is>
          <t>Blast</t>
        </is>
      </c>
      <c r="B2661" s="3" t="n">
        <v>46079.46443287037</v>
      </c>
      <c r="C2661" s="3" t="n">
        <v>46079.46444444444</v>
      </c>
      <c r="D2661" s="4">
        <f>(C2661-B2661)*24</f>
        <v/>
      </c>
      <c r="E2661" s="5">
        <f>IF(AND(HOUR(B2661)&gt;=6,HOUR(B2661)&lt;18),"Day Shift","Night Shift")</f>
        <v/>
      </c>
      <c r="F2661" s="6">
        <f>INT(B2661)</f>
        <v/>
      </c>
      <c r="G2661" s="6">
        <f>INT(C2661)</f>
        <v/>
      </c>
    </row>
    <row r="2662">
      <c r="A2662" s="2" t="inlineStr">
        <is>
          <t>EDD175;EDD2134</t>
        </is>
      </c>
      <c r="B2662" s="3" t="n">
        <v>46079.56981481481</v>
      </c>
      <c r="C2662" s="3" t="n">
        <v>46079.75</v>
      </c>
      <c r="D2662" s="4">
        <f>(C2662-B2662)*24</f>
        <v/>
      </c>
      <c r="E2662" s="5">
        <f>IF(AND(HOUR(B2662)&gt;=6,HOUR(B2662)&lt;18),"Day Shift","Night Shift")</f>
        <v/>
      </c>
      <c r="F2662" s="6">
        <f>INT(B2662)</f>
        <v/>
      </c>
      <c r="G2662" s="6">
        <f>INT(C2662)</f>
        <v/>
      </c>
    </row>
    <row r="2663">
      <c r="A2663" s="7" t="inlineStr">
        <is>
          <t>EDD175;EDD2134</t>
        </is>
      </c>
      <c r="B2663" s="8" t="n">
        <v>46079.75</v>
      </c>
      <c r="C2663" s="8" t="n">
        <v>46079.93118055556</v>
      </c>
      <c r="D2663" s="9">
        <f>(C2663-B2663)*24</f>
        <v/>
      </c>
      <c r="E2663" s="10">
        <f>IF(AND(HOUR(B2663)&gt;=6,HOUR(B2663)&lt;18),"Day Shift","Night Shift")</f>
        <v/>
      </c>
      <c r="F2663" s="11">
        <f>INT(B2663)</f>
        <v/>
      </c>
      <c r="G2663" s="11">
        <f>INT(C2663)</f>
        <v/>
      </c>
    </row>
    <row r="2664">
      <c r="A2664" s="2" t="inlineStr">
        <is>
          <t>EXD101</t>
        </is>
      </c>
      <c r="B2664" s="3" t="n">
        <v>46079.58694444445</v>
      </c>
      <c r="C2664" s="3" t="n">
        <v>46079.75</v>
      </c>
      <c r="D2664" s="4">
        <f>(C2664-B2664)*24</f>
        <v/>
      </c>
      <c r="E2664" s="5">
        <f>IF(AND(HOUR(B2664)&gt;=6,HOUR(B2664)&lt;18),"Day Shift","Night Shift")</f>
        <v/>
      </c>
      <c r="F2664" s="6">
        <f>INT(B2664)</f>
        <v/>
      </c>
      <c r="G2664" s="6">
        <f>INT(C2664)</f>
        <v/>
      </c>
    </row>
    <row r="2665">
      <c r="A2665" s="7" t="inlineStr">
        <is>
          <t>EXD101</t>
        </is>
      </c>
      <c r="B2665" s="8" t="n">
        <v>46079.75</v>
      </c>
      <c r="C2665" s="8" t="n">
        <v>46079.87412037037</v>
      </c>
      <c r="D2665" s="9">
        <f>(C2665-B2665)*24</f>
        <v/>
      </c>
      <c r="E2665" s="10">
        <f>IF(AND(HOUR(B2665)&gt;=6,HOUR(B2665)&lt;18),"Day Shift","Night Shift")</f>
        <v/>
      </c>
      <c r="F2665" s="11">
        <f>INT(B2665)</f>
        <v/>
      </c>
      <c r="G2665" s="11">
        <f>INT(C2665)</f>
        <v/>
      </c>
    </row>
    <row r="2666">
      <c r="A2666" s="2" t="inlineStr">
        <is>
          <t>EXD98</t>
        </is>
      </c>
      <c r="B2666" s="3" t="n">
        <v>46079.60357638889</v>
      </c>
      <c r="C2666" s="3" t="n">
        <v>46079.75</v>
      </c>
      <c r="D2666" s="4">
        <f>(C2666-B2666)*24</f>
        <v/>
      </c>
      <c r="E2666" s="5">
        <f>IF(AND(HOUR(B2666)&gt;=6,HOUR(B2666)&lt;18),"Day Shift","Night Shift")</f>
        <v/>
      </c>
      <c r="F2666" s="6">
        <f>INT(B2666)</f>
        <v/>
      </c>
      <c r="G2666" s="6">
        <f>INT(C2666)</f>
        <v/>
      </c>
    </row>
    <row r="2667">
      <c r="A2667" s="7" t="inlineStr">
        <is>
          <t>EXD98</t>
        </is>
      </c>
      <c r="B2667" s="8" t="n">
        <v>46079.75</v>
      </c>
      <c r="C2667" s="8" t="n">
        <v>46080.25</v>
      </c>
      <c r="D2667" s="9">
        <f>(C2667-B2667)*24</f>
        <v/>
      </c>
      <c r="E2667" s="10">
        <f>IF(AND(HOUR(B2667)&gt;=6,HOUR(B2667)&lt;18),"Day Shift","Night Shift")</f>
        <v/>
      </c>
      <c r="F2667" s="11">
        <f>INT(B2667)</f>
        <v/>
      </c>
      <c r="G2667" s="11">
        <f>INT(C2667)</f>
        <v/>
      </c>
    </row>
    <row r="2668">
      <c r="A2668" s="2" t="inlineStr">
        <is>
          <t>EXD98</t>
        </is>
      </c>
      <c r="B2668" s="3" t="n">
        <v>46080.25</v>
      </c>
      <c r="C2668" s="3" t="n">
        <v>46080.47059027778</v>
      </c>
      <c r="D2668" s="4">
        <f>(C2668-B2668)*24</f>
        <v/>
      </c>
      <c r="E2668" s="5">
        <f>IF(AND(HOUR(B2668)&gt;=6,HOUR(B2668)&lt;18),"Day Shift","Night Shift")</f>
        <v/>
      </c>
      <c r="F2668" s="6">
        <f>INT(B2668)</f>
        <v/>
      </c>
      <c r="G2668" s="6">
        <f>INT(C2668)</f>
        <v/>
      </c>
    </row>
    <row r="2669">
      <c r="A2669" s="2" t="inlineStr">
        <is>
          <t>EDD2541</t>
        </is>
      </c>
      <c r="B2669" s="3" t="n">
        <v>46079.61440972222</v>
      </c>
      <c r="C2669" s="3" t="n">
        <v>46079.75</v>
      </c>
      <c r="D2669" s="4">
        <f>(C2669-B2669)*24</f>
        <v/>
      </c>
      <c r="E2669" s="5">
        <f>IF(AND(HOUR(B2669)&gt;=6,HOUR(B2669)&lt;18),"Day Shift","Night Shift")</f>
        <v/>
      </c>
      <c r="F2669" s="6">
        <f>INT(B2669)</f>
        <v/>
      </c>
      <c r="G2669" s="6">
        <f>INT(C2669)</f>
        <v/>
      </c>
    </row>
    <row r="2670">
      <c r="A2670" s="7" t="inlineStr">
        <is>
          <t>EDD2541</t>
        </is>
      </c>
      <c r="B2670" s="8" t="n">
        <v>46079.75</v>
      </c>
      <c r="C2670" s="8" t="n">
        <v>46080.12899305556</v>
      </c>
      <c r="D2670" s="9">
        <f>(C2670-B2670)*24</f>
        <v/>
      </c>
      <c r="E2670" s="10">
        <f>IF(AND(HOUR(B2670)&gt;=6,HOUR(B2670)&lt;18),"Day Shift","Night Shift")</f>
        <v/>
      </c>
      <c r="F2670" s="11">
        <f>INT(B2670)</f>
        <v/>
      </c>
      <c r="G2670" s="11">
        <f>INT(C2670)</f>
        <v/>
      </c>
    </row>
    <row r="2671">
      <c r="A2671" s="2" t="inlineStr">
        <is>
          <t>SHE36</t>
        </is>
      </c>
      <c r="B2671" s="3" t="n">
        <v>46079.65524305555</v>
      </c>
      <c r="C2671" s="3" t="n">
        <v>46079.75</v>
      </c>
      <c r="D2671" s="4">
        <f>(C2671-B2671)*24</f>
        <v/>
      </c>
      <c r="E2671" s="5">
        <f>IF(AND(HOUR(B2671)&gt;=6,HOUR(B2671)&lt;18),"Day Shift","Night Shift")</f>
        <v/>
      </c>
      <c r="F2671" s="6">
        <f>INT(B2671)</f>
        <v/>
      </c>
      <c r="G2671" s="6">
        <f>INT(C2671)</f>
        <v/>
      </c>
    </row>
    <row r="2672">
      <c r="A2672" s="7" t="inlineStr">
        <is>
          <t>SHE36</t>
        </is>
      </c>
      <c r="B2672" s="8" t="n">
        <v>46079.75</v>
      </c>
      <c r="C2672" s="8" t="n">
        <v>46080.25</v>
      </c>
      <c r="D2672" s="9">
        <f>(C2672-B2672)*24</f>
        <v/>
      </c>
      <c r="E2672" s="10">
        <f>IF(AND(HOUR(B2672)&gt;=6,HOUR(B2672)&lt;18),"Day Shift","Night Shift")</f>
        <v/>
      </c>
      <c r="F2672" s="11">
        <f>INT(B2672)</f>
        <v/>
      </c>
      <c r="G2672" s="11">
        <f>INT(C2672)</f>
        <v/>
      </c>
    </row>
    <row r="2673">
      <c r="A2673" s="2" t="inlineStr">
        <is>
          <t>SHE36</t>
        </is>
      </c>
      <c r="B2673" s="3" t="n">
        <v>46080.25</v>
      </c>
      <c r="C2673" s="3" t="n">
        <v>46080.63019675926</v>
      </c>
      <c r="D2673" s="4">
        <f>(C2673-B2673)*24</f>
        <v/>
      </c>
      <c r="E2673" s="5">
        <f>IF(AND(HOUR(B2673)&gt;=6,HOUR(B2673)&lt;18),"Day Shift","Night Shift")</f>
        <v/>
      </c>
      <c r="F2673" s="6">
        <f>INT(B2673)</f>
        <v/>
      </c>
      <c r="G2673" s="6">
        <f>INT(C2673)</f>
        <v/>
      </c>
    </row>
    <row r="2674">
      <c r="A2674" s="2" t="inlineStr">
        <is>
          <t>EXD52</t>
        </is>
      </c>
      <c r="B2674" s="3" t="n">
        <v>46079.69150462963</v>
      </c>
      <c r="C2674" s="3" t="n">
        <v>46079.75</v>
      </c>
      <c r="D2674" s="4">
        <f>(C2674-B2674)*24</f>
        <v/>
      </c>
      <c r="E2674" s="5">
        <f>IF(AND(HOUR(B2674)&gt;=6,HOUR(B2674)&lt;18),"Day Shift","Night Shift")</f>
        <v/>
      </c>
      <c r="F2674" s="6">
        <f>INT(B2674)</f>
        <v/>
      </c>
      <c r="G2674" s="6">
        <f>INT(C2674)</f>
        <v/>
      </c>
    </row>
    <row r="2675">
      <c r="A2675" s="7" t="inlineStr">
        <is>
          <t>EXD52</t>
        </is>
      </c>
      <c r="B2675" s="8" t="n">
        <v>46079.75</v>
      </c>
      <c r="C2675" s="8" t="n">
        <v>46080.25</v>
      </c>
      <c r="D2675" s="9">
        <f>(C2675-B2675)*24</f>
        <v/>
      </c>
      <c r="E2675" s="10">
        <f>IF(AND(HOUR(B2675)&gt;=6,HOUR(B2675)&lt;18),"Day Shift","Night Shift")</f>
        <v/>
      </c>
      <c r="F2675" s="11">
        <f>INT(B2675)</f>
        <v/>
      </c>
      <c r="G2675" s="11">
        <f>INT(C2675)</f>
        <v/>
      </c>
    </row>
    <row r="2676">
      <c r="A2676" s="2" t="inlineStr">
        <is>
          <t>EXD52</t>
        </is>
      </c>
      <c r="B2676" s="3" t="n">
        <v>46080.25</v>
      </c>
      <c r="C2676" s="3" t="n">
        <v>46080.75</v>
      </c>
      <c r="D2676" s="4">
        <f>(C2676-B2676)*24</f>
        <v/>
      </c>
      <c r="E2676" s="5">
        <f>IF(AND(HOUR(B2676)&gt;=6,HOUR(B2676)&lt;18),"Day Shift","Night Shift")</f>
        <v/>
      </c>
      <c r="F2676" s="6">
        <f>INT(B2676)</f>
        <v/>
      </c>
      <c r="G2676" s="6">
        <f>INT(C2676)</f>
        <v/>
      </c>
    </row>
    <row r="2677">
      <c r="A2677" s="7" t="inlineStr">
        <is>
          <t>EXD52</t>
        </is>
      </c>
      <c r="B2677" s="8" t="n">
        <v>46080.75</v>
      </c>
      <c r="C2677" s="8" t="n">
        <v>46081.25</v>
      </c>
      <c r="D2677" s="9">
        <f>(C2677-B2677)*24</f>
        <v/>
      </c>
      <c r="E2677" s="10">
        <f>IF(AND(HOUR(B2677)&gt;=6,HOUR(B2677)&lt;18),"Day Shift","Night Shift")</f>
        <v/>
      </c>
      <c r="F2677" s="11">
        <f>INT(B2677)</f>
        <v/>
      </c>
      <c r="G2677" s="11">
        <f>INT(C2677)</f>
        <v/>
      </c>
    </row>
    <row r="2678">
      <c r="A2678" s="2" t="inlineStr">
        <is>
          <t>EXD52</t>
        </is>
      </c>
      <c r="B2678" s="3" t="n">
        <v>46081.25</v>
      </c>
      <c r="C2678" s="3" t="n">
        <v>46081.75</v>
      </c>
      <c r="D2678" s="4">
        <f>(C2678-B2678)*24</f>
        <v/>
      </c>
      <c r="E2678" s="5">
        <f>IF(AND(HOUR(B2678)&gt;=6,HOUR(B2678)&lt;18),"Day Shift","Night Shift")</f>
        <v/>
      </c>
      <c r="F2678" s="6">
        <f>INT(B2678)</f>
        <v/>
      </c>
      <c r="G2678" s="6">
        <f>INT(C2678)</f>
        <v/>
      </c>
    </row>
    <row r="2679">
      <c r="A2679" s="7" t="inlineStr">
        <is>
          <t>EXD52</t>
        </is>
      </c>
      <c r="B2679" s="8" t="n">
        <v>46081.75</v>
      </c>
      <c r="C2679" s="8" t="n">
        <v>46082.25</v>
      </c>
      <c r="D2679" s="9">
        <f>(C2679-B2679)*24</f>
        <v/>
      </c>
      <c r="E2679" s="10">
        <f>IF(AND(HOUR(B2679)&gt;=6,HOUR(B2679)&lt;18),"Day Shift","Night Shift")</f>
        <v/>
      </c>
      <c r="F2679" s="11">
        <f>INT(B2679)</f>
        <v/>
      </c>
      <c r="G2679" s="11">
        <f>INT(C2679)</f>
        <v/>
      </c>
    </row>
    <row r="2680">
      <c r="A2680" s="2" t="inlineStr">
        <is>
          <t>EXD52</t>
        </is>
      </c>
      <c r="B2680" s="3" t="n">
        <v>46082.25</v>
      </c>
      <c r="C2680" s="3" t="n">
        <v>46082.70577546296</v>
      </c>
      <c r="D2680" s="4">
        <f>(C2680-B2680)*24</f>
        <v/>
      </c>
      <c r="E2680" s="5">
        <f>IF(AND(HOUR(B2680)&gt;=6,HOUR(B2680)&lt;18),"Day Shift","Night Shift")</f>
        <v/>
      </c>
      <c r="F2680" s="6">
        <f>INT(B2680)</f>
        <v/>
      </c>
      <c r="G2680" s="6">
        <f>INT(C2680)</f>
        <v/>
      </c>
    </row>
    <row r="2681">
      <c r="A2681" s="2" t="inlineStr">
        <is>
          <t>EDD1932;EDD812</t>
        </is>
      </c>
      <c r="B2681" s="3" t="n">
        <v>46079.7178587963</v>
      </c>
      <c r="C2681" s="3" t="n">
        <v>46079.75</v>
      </c>
      <c r="D2681" s="4">
        <f>(C2681-B2681)*24</f>
        <v/>
      </c>
      <c r="E2681" s="5">
        <f>IF(AND(HOUR(B2681)&gt;=6,HOUR(B2681)&lt;18),"Day Shift","Night Shift")</f>
        <v/>
      </c>
      <c r="F2681" s="6">
        <f>INT(B2681)</f>
        <v/>
      </c>
      <c r="G2681" s="6">
        <f>INT(C2681)</f>
        <v/>
      </c>
    </row>
    <row r="2682">
      <c r="A2682" s="7" t="inlineStr">
        <is>
          <t>EDD1932;EDD812</t>
        </is>
      </c>
      <c r="B2682" s="8" t="n">
        <v>46079.75</v>
      </c>
      <c r="C2682" s="8" t="n">
        <v>46079.94266203704</v>
      </c>
      <c r="D2682" s="9">
        <f>(C2682-B2682)*24</f>
        <v/>
      </c>
      <c r="E2682" s="10">
        <f>IF(AND(HOUR(B2682)&gt;=6,HOUR(B2682)&lt;18),"Day Shift","Night Shift")</f>
        <v/>
      </c>
      <c r="F2682" s="11">
        <f>INT(B2682)</f>
        <v/>
      </c>
      <c r="G2682" s="11">
        <f>INT(C2682)</f>
        <v/>
      </c>
    </row>
    <row r="2683">
      <c r="A2683" s="7" t="inlineStr">
        <is>
          <t>EXD60</t>
        </is>
      </c>
      <c r="B2683" s="8" t="n">
        <v>46079.91228009259</v>
      </c>
      <c r="C2683" s="8" t="n">
        <v>46080.25</v>
      </c>
      <c r="D2683" s="9">
        <f>(C2683-B2683)*24</f>
        <v/>
      </c>
      <c r="E2683" s="10">
        <f>IF(AND(HOUR(B2683)&gt;=6,HOUR(B2683)&lt;18),"Day Shift","Night Shift")</f>
        <v/>
      </c>
      <c r="F2683" s="11">
        <f>INT(B2683)</f>
        <v/>
      </c>
      <c r="G2683" s="11">
        <f>INT(C2683)</f>
        <v/>
      </c>
    </row>
    <row r="2684">
      <c r="A2684" s="2" t="inlineStr">
        <is>
          <t>EXD60</t>
        </is>
      </c>
      <c r="B2684" s="3" t="n">
        <v>46080.25</v>
      </c>
      <c r="C2684" s="3" t="n">
        <v>46080.75</v>
      </c>
      <c r="D2684" s="4">
        <f>(C2684-B2684)*24</f>
        <v/>
      </c>
      <c r="E2684" s="5">
        <f>IF(AND(HOUR(B2684)&gt;=6,HOUR(B2684)&lt;18),"Day Shift","Night Shift")</f>
        <v/>
      </c>
      <c r="F2684" s="6">
        <f>INT(B2684)</f>
        <v/>
      </c>
      <c r="G2684" s="6">
        <f>INT(C2684)</f>
        <v/>
      </c>
    </row>
    <row r="2685">
      <c r="A2685" s="7" t="inlineStr">
        <is>
          <t>EXD60</t>
        </is>
      </c>
      <c r="B2685" s="8" t="n">
        <v>46080.75</v>
      </c>
      <c r="C2685" s="8" t="n">
        <v>46081.08916666666</v>
      </c>
      <c r="D2685" s="9">
        <f>(C2685-B2685)*24</f>
        <v/>
      </c>
      <c r="E2685" s="10">
        <f>IF(AND(HOUR(B2685)&gt;=6,HOUR(B2685)&lt;18),"Day Shift","Night Shift")</f>
        <v/>
      </c>
      <c r="F2685" s="11">
        <f>INT(B2685)</f>
        <v/>
      </c>
      <c r="G2685" s="11">
        <f>INT(C2685)</f>
        <v/>
      </c>
    </row>
    <row r="2686">
      <c r="A2686" s="7" t="inlineStr">
        <is>
          <t>EXD409</t>
        </is>
      </c>
      <c r="B2686" s="8" t="n">
        <v>46079.91335648148</v>
      </c>
      <c r="C2686" s="8" t="n">
        <v>46080.25</v>
      </c>
      <c r="D2686" s="9">
        <f>(C2686-B2686)*24</f>
        <v/>
      </c>
      <c r="E2686" s="10">
        <f>IF(AND(HOUR(B2686)&gt;=6,HOUR(B2686)&lt;18),"Day Shift","Night Shift")</f>
        <v/>
      </c>
      <c r="F2686" s="11">
        <f>INT(B2686)</f>
        <v/>
      </c>
      <c r="G2686" s="11">
        <f>INT(C2686)</f>
        <v/>
      </c>
    </row>
    <row r="2687">
      <c r="A2687" s="2" t="inlineStr">
        <is>
          <t>EXD409</t>
        </is>
      </c>
      <c r="B2687" s="3" t="n">
        <v>46080.25</v>
      </c>
      <c r="C2687" s="3" t="n">
        <v>46080.53001157408</v>
      </c>
      <c r="D2687" s="4">
        <f>(C2687-B2687)*24</f>
        <v/>
      </c>
      <c r="E2687" s="5">
        <f>IF(AND(HOUR(B2687)&gt;=6,HOUR(B2687)&lt;18),"Day Shift","Night Shift")</f>
        <v/>
      </c>
      <c r="F2687" s="6">
        <f>INT(B2687)</f>
        <v/>
      </c>
      <c r="G2687" s="6">
        <f>INT(C2687)</f>
        <v/>
      </c>
    </row>
    <row r="2688">
      <c r="A2688" s="7" t="inlineStr">
        <is>
          <t>EDD175;EDD2134</t>
        </is>
      </c>
      <c r="B2688" s="8" t="n">
        <v>46079.93118055556</v>
      </c>
      <c r="C2688" s="8" t="n">
        <v>46080.01924768519</v>
      </c>
      <c r="D2688" s="9">
        <f>(C2688-B2688)*24</f>
        <v/>
      </c>
      <c r="E2688" s="10">
        <f>IF(AND(HOUR(B2688)&gt;=6,HOUR(B2688)&lt;18),"Day Shift","Night Shift")</f>
        <v/>
      </c>
      <c r="F2688" s="11">
        <f>INT(B2688)</f>
        <v/>
      </c>
      <c r="G2688" s="11">
        <f>INT(C2688)</f>
        <v/>
      </c>
    </row>
    <row r="2689">
      <c r="A2689" s="7" t="inlineStr">
        <is>
          <t>EDD1932</t>
        </is>
      </c>
      <c r="B2689" s="8" t="n">
        <v>46079.94266203704</v>
      </c>
      <c r="C2689" s="8" t="n">
        <v>46080.13792824074</v>
      </c>
      <c r="D2689" s="9">
        <f>(C2689-B2689)*24</f>
        <v/>
      </c>
      <c r="E2689" s="10">
        <f>IF(AND(HOUR(B2689)&gt;=6,HOUR(B2689)&lt;18),"Day Shift","Night Shift")</f>
        <v/>
      </c>
      <c r="F2689" s="11">
        <f>INT(B2689)</f>
        <v/>
      </c>
      <c r="G2689" s="11">
        <f>INT(C2689)</f>
        <v/>
      </c>
    </row>
    <row r="2690">
      <c r="A2690" s="7" t="inlineStr">
        <is>
          <t>EDD812</t>
        </is>
      </c>
      <c r="B2690" s="8" t="n">
        <v>46079.94266203704</v>
      </c>
      <c r="C2690" s="8" t="n">
        <v>46080.25</v>
      </c>
      <c r="D2690" s="9">
        <f>(C2690-B2690)*24</f>
        <v/>
      </c>
      <c r="E2690" s="10">
        <f>IF(AND(HOUR(B2690)&gt;=6,HOUR(B2690)&lt;18),"Day Shift","Night Shift")</f>
        <v/>
      </c>
      <c r="F2690" s="11">
        <f>INT(B2690)</f>
        <v/>
      </c>
      <c r="G2690" s="11">
        <f>INT(C2690)</f>
        <v/>
      </c>
    </row>
    <row r="2691">
      <c r="A2691" s="2" t="inlineStr">
        <is>
          <t>EDD812</t>
        </is>
      </c>
      <c r="B2691" s="3" t="n">
        <v>46080.25</v>
      </c>
      <c r="C2691" s="3" t="n">
        <v>46080.75</v>
      </c>
      <c r="D2691" s="4">
        <f>(C2691-B2691)*24</f>
        <v/>
      </c>
      <c r="E2691" s="5">
        <f>IF(AND(HOUR(B2691)&gt;=6,HOUR(B2691)&lt;18),"Day Shift","Night Shift")</f>
        <v/>
      </c>
      <c r="F2691" s="6">
        <f>INT(B2691)</f>
        <v/>
      </c>
      <c r="G2691" s="6">
        <f>INT(C2691)</f>
        <v/>
      </c>
    </row>
    <row r="2692">
      <c r="A2692" s="7" t="inlineStr">
        <is>
          <t>EDD812</t>
        </is>
      </c>
      <c r="B2692" s="8" t="n">
        <v>46080.75</v>
      </c>
      <c r="C2692" s="8" t="n">
        <v>46081.25</v>
      </c>
      <c r="D2692" s="9">
        <f>(C2692-B2692)*24</f>
        <v/>
      </c>
      <c r="E2692" s="10">
        <f>IF(AND(HOUR(B2692)&gt;=6,HOUR(B2692)&lt;18),"Day Shift","Night Shift")</f>
        <v/>
      </c>
      <c r="F2692" s="11">
        <f>INT(B2692)</f>
        <v/>
      </c>
      <c r="G2692" s="11">
        <f>INT(C2692)</f>
        <v/>
      </c>
    </row>
    <row r="2693">
      <c r="A2693" s="2" t="inlineStr">
        <is>
          <t>EDD812</t>
        </is>
      </c>
      <c r="B2693" s="3" t="n">
        <v>46081.25</v>
      </c>
      <c r="C2693" s="3" t="n">
        <v>46081.59556712963</v>
      </c>
      <c r="D2693" s="4">
        <f>(C2693-B2693)*24</f>
        <v/>
      </c>
      <c r="E2693" s="5">
        <f>IF(AND(HOUR(B2693)&gt;=6,HOUR(B2693)&lt;18),"Day Shift","Night Shift")</f>
        <v/>
      </c>
      <c r="F2693" s="6">
        <f>INT(B2693)</f>
        <v/>
      </c>
      <c r="G2693" s="6">
        <f>INT(C2693)</f>
        <v/>
      </c>
    </row>
    <row r="2694">
      <c r="A2694" s="7" t="inlineStr">
        <is>
          <t>EXD101</t>
        </is>
      </c>
      <c r="B2694" s="8" t="n">
        <v>46079.95964120371</v>
      </c>
      <c r="C2694" s="8" t="n">
        <v>46080.25</v>
      </c>
      <c r="D2694" s="9">
        <f>(C2694-B2694)*24</f>
        <v/>
      </c>
      <c r="E2694" s="10">
        <f>IF(AND(HOUR(B2694)&gt;=6,HOUR(B2694)&lt;18),"Day Shift","Night Shift")</f>
        <v/>
      </c>
      <c r="F2694" s="11">
        <f>INT(B2694)</f>
        <v/>
      </c>
      <c r="G2694" s="11">
        <f>INT(C2694)</f>
        <v/>
      </c>
    </row>
    <row r="2695">
      <c r="A2695" s="2" t="inlineStr">
        <is>
          <t>EXD101</t>
        </is>
      </c>
      <c r="B2695" s="3" t="n">
        <v>46080.25</v>
      </c>
      <c r="C2695" s="3" t="n">
        <v>46080.75</v>
      </c>
      <c r="D2695" s="4">
        <f>(C2695-B2695)*24</f>
        <v/>
      </c>
      <c r="E2695" s="5">
        <f>IF(AND(HOUR(B2695)&gt;=6,HOUR(B2695)&lt;18),"Day Shift","Night Shift")</f>
        <v/>
      </c>
      <c r="F2695" s="6">
        <f>INT(B2695)</f>
        <v/>
      </c>
      <c r="G2695" s="6">
        <f>INT(C2695)</f>
        <v/>
      </c>
    </row>
    <row r="2696">
      <c r="A2696" s="7" t="inlineStr">
        <is>
          <t>EXD101</t>
        </is>
      </c>
      <c r="B2696" s="8" t="n">
        <v>46080.75</v>
      </c>
      <c r="C2696" s="8" t="n">
        <v>46080.98099537037</v>
      </c>
      <c r="D2696" s="9">
        <f>(C2696-B2696)*24</f>
        <v/>
      </c>
      <c r="E2696" s="10">
        <f>IF(AND(HOUR(B2696)&gt;=6,HOUR(B2696)&lt;18),"Day Shift","Night Shift")</f>
        <v/>
      </c>
      <c r="F2696" s="11">
        <f>INT(B2696)</f>
        <v/>
      </c>
      <c r="G2696" s="11">
        <f>INT(C2696)</f>
        <v/>
      </c>
    </row>
    <row r="2697">
      <c r="A2697" s="7" t="inlineStr">
        <is>
          <t>EXD61</t>
        </is>
      </c>
      <c r="B2697" s="8" t="n">
        <v>46079.96952546296</v>
      </c>
      <c r="C2697" s="8" t="n">
        <v>46080.25</v>
      </c>
      <c r="D2697" s="9">
        <f>(C2697-B2697)*24</f>
        <v/>
      </c>
      <c r="E2697" s="10">
        <f>IF(AND(HOUR(B2697)&gt;=6,HOUR(B2697)&lt;18),"Day Shift","Night Shift")</f>
        <v/>
      </c>
      <c r="F2697" s="11">
        <f>INT(B2697)</f>
        <v/>
      </c>
      <c r="G2697" s="11">
        <f>INT(C2697)</f>
        <v/>
      </c>
    </row>
    <row r="2698">
      <c r="A2698" s="2" t="inlineStr">
        <is>
          <t>EXD61</t>
        </is>
      </c>
      <c r="B2698" s="3" t="n">
        <v>46080.25</v>
      </c>
      <c r="C2698" s="3" t="n">
        <v>46080.32836805555</v>
      </c>
      <c r="D2698" s="4">
        <f>(C2698-B2698)*24</f>
        <v/>
      </c>
      <c r="E2698" s="5">
        <f>IF(AND(HOUR(B2698)&gt;=6,HOUR(B2698)&lt;18),"Day Shift","Night Shift")</f>
        <v/>
      </c>
      <c r="F2698" s="6">
        <f>INT(B2698)</f>
        <v/>
      </c>
      <c r="G2698" s="6">
        <f>INT(C2698)</f>
        <v/>
      </c>
    </row>
    <row r="2699">
      <c r="A2699" s="7" t="inlineStr">
        <is>
          <t>EDD175;EDD2134</t>
        </is>
      </c>
      <c r="B2699" s="8" t="n">
        <v>46080.02039351852</v>
      </c>
      <c r="C2699" s="8" t="n">
        <v>46080.25</v>
      </c>
      <c r="D2699" s="9">
        <f>(C2699-B2699)*24</f>
        <v/>
      </c>
      <c r="E2699" s="10">
        <f>IF(AND(HOUR(B2699)&gt;=6,HOUR(B2699)&lt;18),"Day Shift","Night Shift")</f>
        <v/>
      </c>
      <c r="F2699" s="11">
        <f>INT(B2699)</f>
        <v/>
      </c>
      <c r="G2699" s="11">
        <f>INT(C2699)</f>
        <v/>
      </c>
    </row>
    <row r="2700">
      <c r="A2700" s="2" t="inlineStr">
        <is>
          <t>EDD175;EDD2134</t>
        </is>
      </c>
      <c r="B2700" s="3" t="n">
        <v>46080.25</v>
      </c>
      <c r="C2700" s="3" t="n">
        <v>46080.36341435185</v>
      </c>
      <c r="D2700" s="4">
        <f>(C2700-B2700)*24</f>
        <v/>
      </c>
      <c r="E2700" s="5">
        <f>IF(AND(HOUR(B2700)&gt;=6,HOUR(B2700)&lt;18),"Day Shift","Night Shift")</f>
        <v/>
      </c>
      <c r="F2700" s="6">
        <f>INT(B2700)</f>
        <v/>
      </c>
      <c r="G2700" s="6">
        <f>INT(C2700)</f>
        <v/>
      </c>
    </row>
    <row r="2701">
      <c r="A2701" s="7" t="inlineStr">
        <is>
          <t>EXD100</t>
        </is>
      </c>
      <c r="B2701" s="8" t="n">
        <v>46080.11328703703</v>
      </c>
      <c r="C2701" s="8" t="n">
        <v>46080.25</v>
      </c>
      <c r="D2701" s="9">
        <f>(C2701-B2701)*24</f>
        <v/>
      </c>
      <c r="E2701" s="10">
        <f>IF(AND(HOUR(B2701)&gt;=6,HOUR(B2701)&lt;18),"Day Shift","Night Shift")</f>
        <v/>
      </c>
      <c r="F2701" s="11">
        <f>INT(B2701)</f>
        <v/>
      </c>
      <c r="G2701" s="11">
        <f>INT(C2701)</f>
        <v/>
      </c>
    </row>
    <row r="2702">
      <c r="A2702" s="2" t="inlineStr">
        <is>
          <t>EXD100</t>
        </is>
      </c>
      <c r="B2702" s="3" t="n">
        <v>46080.25</v>
      </c>
      <c r="C2702" s="3" t="n">
        <v>46080.75</v>
      </c>
      <c r="D2702" s="4">
        <f>(C2702-B2702)*24</f>
        <v/>
      </c>
      <c r="E2702" s="5">
        <f>IF(AND(HOUR(B2702)&gt;=6,HOUR(B2702)&lt;18),"Day Shift","Night Shift")</f>
        <v/>
      </c>
      <c r="F2702" s="6">
        <f>INT(B2702)</f>
        <v/>
      </c>
      <c r="G2702" s="6">
        <f>INT(C2702)</f>
        <v/>
      </c>
    </row>
    <row r="2703">
      <c r="A2703" s="7" t="inlineStr">
        <is>
          <t>EXD100</t>
        </is>
      </c>
      <c r="B2703" s="8" t="n">
        <v>46080.75</v>
      </c>
      <c r="C2703" s="8" t="n">
        <v>46080.90530092592</v>
      </c>
      <c r="D2703" s="9">
        <f>(C2703-B2703)*24</f>
        <v/>
      </c>
      <c r="E2703" s="10">
        <f>IF(AND(HOUR(B2703)&gt;=6,HOUR(B2703)&lt;18),"Day Shift","Night Shift")</f>
        <v/>
      </c>
      <c r="F2703" s="11">
        <f>INT(B2703)</f>
        <v/>
      </c>
      <c r="G2703" s="11">
        <f>INT(C2703)</f>
        <v/>
      </c>
    </row>
    <row r="2704">
      <c r="A2704" s="7" t="inlineStr">
        <is>
          <t>EDD2541</t>
        </is>
      </c>
      <c r="B2704" s="8" t="n">
        <v>46080.12899305556</v>
      </c>
      <c r="C2704" s="8" t="n">
        <v>46080.25</v>
      </c>
      <c r="D2704" s="9">
        <f>(C2704-B2704)*24</f>
        <v/>
      </c>
      <c r="E2704" s="10">
        <f>IF(AND(HOUR(B2704)&gt;=6,HOUR(B2704)&lt;18),"Day Shift","Night Shift")</f>
        <v/>
      </c>
      <c r="F2704" s="11">
        <f>INT(B2704)</f>
        <v/>
      </c>
      <c r="G2704" s="11">
        <f>INT(C2704)</f>
        <v/>
      </c>
    </row>
    <row r="2705">
      <c r="A2705" s="2" t="inlineStr">
        <is>
          <t>EDD2541</t>
        </is>
      </c>
      <c r="B2705" s="3" t="n">
        <v>46080.25</v>
      </c>
      <c r="C2705" s="3" t="n">
        <v>46080.60572916667</v>
      </c>
      <c r="D2705" s="4">
        <f>(C2705-B2705)*24</f>
        <v/>
      </c>
      <c r="E2705" s="5">
        <f>IF(AND(HOUR(B2705)&gt;=6,HOUR(B2705)&lt;18),"Day Shift","Night Shift")</f>
        <v/>
      </c>
      <c r="F2705" s="6">
        <f>INT(B2705)</f>
        <v/>
      </c>
      <c r="G2705" s="6">
        <f>INT(C2705)</f>
        <v/>
      </c>
    </row>
    <row r="2706">
      <c r="A2706" s="7" t="inlineStr">
        <is>
          <t>EDD1932</t>
        </is>
      </c>
      <c r="B2706" s="8" t="n">
        <v>46080.13792824074</v>
      </c>
      <c r="C2706" s="8" t="n">
        <v>46080.25</v>
      </c>
      <c r="D2706" s="9">
        <f>(C2706-B2706)*24</f>
        <v/>
      </c>
      <c r="E2706" s="10">
        <f>IF(AND(HOUR(B2706)&gt;=6,HOUR(B2706)&lt;18),"Day Shift","Night Shift")</f>
        <v/>
      </c>
      <c r="F2706" s="11">
        <f>INT(B2706)</f>
        <v/>
      </c>
      <c r="G2706" s="11">
        <f>INT(C2706)</f>
        <v/>
      </c>
    </row>
    <row r="2707">
      <c r="A2707" s="2" t="inlineStr">
        <is>
          <t>EDD1932</t>
        </is>
      </c>
      <c r="B2707" s="3" t="n">
        <v>46080.25</v>
      </c>
      <c r="C2707" s="3" t="n">
        <v>46080.65153935185</v>
      </c>
      <c r="D2707" s="4">
        <f>(C2707-B2707)*24</f>
        <v/>
      </c>
      <c r="E2707" s="5">
        <f>IF(AND(HOUR(B2707)&gt;=6,HOUR(B2707)&lt;18),"Day Shift","Night Shift")</f>
        <v/>
      </c>
      <c r="F2707" s="6">
        <f>INT(B2707)</f>
        <v/>
      </c>
      <c r="G2707" s="6">
        <f>INT(C2707)</f>
        <v/>
      </c>
    </row>
    <row r="2708">
      <c r="A2708" s="7" t="inlineStr">
        <is>
          <t>DRE42</t>
        </is>
      </c>
      <c r="B2708" s="8" t="n">
        <v>46080.14688657408</v>
      </c>
      <c r="C2708" s="8" t="n">
        <v>46080.25</v>
      </c>
      <c r="D2708" s="9">
        <f>(C2708-B2708)*24</f>
        <v/>
      </c>
      <c r="E2708" s="10">
        <f>IF(AND(HOUR(B2708)&gt;=6,HOUR(B2708)&lt;18),"Day Shift","Night Shift")</f>
        <v/>
      </c>
      <c r="F2708" s="11">
        <f>INT(B2708)</f>
        <v/>
      </c>
      <c r="G2708" s="11">
        <f>INT(C2708)</f>
        <v/>
      </c>
    </row>
    <row r="2709">
      <c r="A2709" s="2" t="inlineStr">
        <is>
          <t>DRE42</t>
        </is>
      </c>
      <c r="B2709" s="3" t="n">
        <v>46080.25</v>
      </c>
      <c r="C2709" s="3" t="n">
        <v>46080.75</v>
      </c>
      <c r="D2709" s="4">
        <f>(C2709-B2709)*24</f>
        <v/>
      </c>
      <c r="E2709" s="5">
        <f>IF(AND(HOUR(B2709)&gt;=6,HOUR(B2709)&lt;18),"Day Shift","Night Shift")</f>
        <v/>
      </c>
      <c r="F2709" s="6">
        <f>INT(B2709)</f>
        <v/>
      </c>
      <c r="G2709" s="6">
        <f>INT(C2709)</f>
        <v/>
      </c>
    </row>
    <row r="2710">
      <c r="A2710" s="7" t="inlineStr">
        <is>
          <t>DRE42</t>
        </is>
      </c>
      <c r="B2710" s="8" t="n">
        <v>46080.75</v>
      </c>
      <c r="C2710" s="8" t="n">
        <v>46081.25</v>
      </c>
      <c r="D2710" s="9">
        <f>(C2710-B2710)*24</f>
        <v/>
      </c>
      <c r="E2710" s="10">
        <f>IF(AND(HOUR(B2710)&gt;=6,HOUR(B2710)&lt;18),"Day Shift","Night Shift")</f>
        <v/>
      </c>
      <c r="F2710" s="11">
        <f>INT(B2710)</f>
        <v/>
      </c>
      <c r="G2710" s="11">
        <f>INT(C2710)</f>
        <v/>
      </c>
    </row>
    <row r="2711">
      <c r="A2711" s="2" t="inlineStr">
        <is>
          <t>DRE42</t>
        </is>
      </c>
      <c r="B2711" s="3" t="n">
        <v>46081.25</v>
      </c>
      <c r="C2711" s="3" t="n">
        <v>46081.75</v>
      </c>
      <c r="D2711" s="4">
        <f>(C2711-B2711)*24</f>
        <v/>
      </c>
      <c r="E2711" s="5">
        <f>IF(AND(HOUR(B2711)&gt;=6,HOUR(B2711)&lt;18),"Day Shift","Night Shift")</f>
        <v/>
      </c>
      <c r="F2711" s="6">
        <f>INT(B2711)</f>
        <v/>
      </c>
      <c r="G2711" s="6">
        <f>INT(C2711)</f>
        <v/>
      </c>
    </row>
    <row r="2712">
      <c r="A2712" s="7" t="inlineStr">
        <is>
          <t>DRE42</t>
        </is>
      </c>
      <c r="B2712" s="8" t="n">
        <v>46081.75</v>
      </c>
      <c r="C2712" s="8" t="n">
        <v>46082.25</v>
      </c>
      <c r="D2712" s="9">
        <f>(C2712-B2712)*24</f>
        <v/>
      </c>
      <c r="E2712" s="10">
        <f>IF(AND(HOUR(B2712)&gt;=6,HOUR(B2712)&lt;18),"Day Shift","Night Shift")</f>
        <v/>
      </c>
      <c r="F2712" s="11">
        <f>INT(B2712)</f>
        <v/>
      </c>
      <c r="G2712" s="11">
        <f>INT(C2712)</f>
        <v/>
      </c>
    </row>
    <row r="2713">
      <c r="A2713" s="2" t="inlineStr">
        <is>
          <t>DRE42</t>
        </is>
      </c>
      <c r="B2713" s="3" t="n">
        <v>46082.25</v>
      </c>
      <c r="C2713" s="3" t="n">
        <v>46082.75</v>
      </c>
      <c r="D2713" s="4">
        <f>(C2713-B2713)*24</f>
        <v/>
      </c>
      <c r="E2713" s="5">
        <f>IF(AND(HOUR(B2713)&gt;=6,HOUR(B2713)&lt;18),"Day Shift","Night Shift")</f>
        <v/>
      </c>
      <c r="F2713" s="6">
        <f>INT(B2713)</f>
        <v/>
      </c>
      <c r="G2713" s="6">
        <f>INT(C2713)</f>
        <v/>
      </c>
    </row>
    <row r="2714">
      <c r="A2714" s="7" t="inlineStr">
        <is>
          <t>DRE42</t>
        </is>
      </c>
      <c r="B2714" s="8" t="n">
        <v>46082.75</v>
      </c>
      <c r="C2714" s="8" t="n">
        <v>46083.25</v>
      </c>
      <c r="D2714" s="9">
        <f>(C2714-B2714)*24</f>
        <v/>
      </c>
      <c r="E2714" s="10">
        <f>IF(AND(HOUR(B2714)&gt;=6,HOUR(B2714)&lt;18),"Day Shift","Night Shift")</f>
        <v/>
      </c>
      <c r="F2714" s="11">
        <f>INT(B2714)</f>
        <v/>
      </c>
      <c r="G2714" s="11">
        <f>INT(C2714)</f>
        <v/>
      </c>
    </row>
    <row r="2715">
      <c r="A2715" s="2" t="inlineStr">
        <is>
          <t>DRE42</t>
        </is>
      </c>
      <c r="B2715" s="3" t="n">
        <v>46083.25</v>
      </c>
      <c r="C2715" s="3" t="n">
        <v>46083.75</v>
      </c>
      <c r="D2715" s="4">
        <f>(C2715-B2715)*24</f>
        <v/>
      </c>
      <c r="E2715" s="5">
        <f>IF(AND(HOUR(B2715)&gt;=6,HOUR(B2715)&lt;18),"Day Shift","Night Shift")</f>
        <v/>
      </c>
      <c r="F2715" s="6">
        <f>INT(B2715)</f>
        <v/>
      </c>
      <c r="G2715" s="6">
        <f>INT(C2715)</f>
        <v/>
      </c>
    </row>
    <row r="2716">
      <c r="A2716" s="7" t="inlineStr">
        <is>
          <t>DRE42</t>
        </is>
      </c>
      <c r="B2716" s="8" t="n">
        <v>46083.75</v>
      </c>
      <c r="C2716" s="8" t="n">
        <v>46084.25</v>
      </c>
      <c r="D2716" s="9">
        <f>(C2716-B2716)*24</f>
        <v/>
      </c>
      <c r="E2716" s="10">
        <f>IF(AND(HOUR(B2716)&gt;=6,HOUR(B2716)&lt;18),"Day Shift","Night Shift")</f>
        <v/>
      </c>
      <c r="F2716" s="11">
        <f>INT(B2716)</f>
        <v/>
      </c>
      <c r="G2716" s="11">
        <f>INT(C2716)</f>
        <v/>
      </c>
    </row>
    <row r="2717">
      <c r="A2717" s="2" t="inlineStr">
        <is>
          <t>DRE42</t>
        </is>
      </c>
      <c r="B2717" s="3" t="n">
        <v>46084.25</v>
      </c>
      <c r="C2717" s="3" t="n">
        <v>46084.75</v>
      </c>
      <c r="D2717" s="4">
        <f>(C2717-B2717)*24</f>
        <v/>
      </c>
      <c r="E2717" s="5">
        <f>IF(AND(HOUR(B2717)&gt;=6,HOUR(B2717)&lt;18),"Day Shift","Night Shift")</f>
        <v/>
      </c>
      <c r="F2717" s="6">
        <f>INT(B2717)</f>
        <v/>
      </c>
      <c r="G2717" s="6">
        <f>INT(C2717)</f>
        <v/>
      </c>
    </row>
    <row r="2718">
      <c r="A2718" s="7" t="inlineStr">
        <is>
          <t>DRE42</t>
        </is>
      </c>
      <c r="B2718" s="8" t="n">
        <v>46084.75</v>
      </c>
      <c r="C2718" s="8" t="n">
        <v>46085.25</v>
      </c>
      <c r="D2718" s="9">
        <f>(C2718-B2718)*24</f>
        <v/>
      </c>
      <c r="E2718" s="10">
        <f>IF(AND(HOUR(B2718)&gt;=6,HOUR(B2718)&lt;18),"Day Shift","Night Shift")</f>
        <v/>
      </c>
      <c r="F2718" s="11">
        <f>INT(B2718)</f>
        <v/>
      </c>
      <c r="G2718" s="11">
        <f>INT(C2718)</f>
        <v/>
      </c>
    </row>
    <row r="2719">
      <c r="A2719" s="2" t="inlineStr">
        <is>
          <t>DRE42</t>
        </is>
      </c>
      <c r="B2719" s="3" t="n">
        <v>46085.25</v>
      </c>
      <c r="C2719" s="3" t="n">
        <v>46085.75</v>
      </c>
      <c r="D2719" s="4">
        <f>(C2719-B2719)*24</f>
        <v/>
      </c>
      <c r="E2719" s="5">
        <f>IF(AND(HOUR(B2719)&gt;=6,HOUR(B2719)&lt;18),"Day Shift","Night Shift")</f>
        <v/>
      </c>
      <c r="F2719" s="6">
        <f>INT(B2719)</f>
        <v/>
      </c>
      <c r="G2719" s="6">
        <f>INT(C2719)</f>
        <v/>
      </c>
    </row>
    <row r="2720">
      <c r="A2720" s="7" t="inlineStr">
        <is>
          <t>DRE42</t>
        </is>
      </c>
      <c r="B2720" s="8" t="n">
        <v>46085.75</v>
      </c>
      <c r="C2720" s="8" t="n">
        <v>46086.25</v>
      </c>
      <c r="D2720" s="9">
        <f>(C2720-B2720)*24</f>
        <v/>
      </c>
      <c r="E2720" s="10">
        <f>IF(AND(HOUR(B2720)&gt;=6,HOUR(B2720)&lt;18),"Day Shift","Night Shift")</f>
        <v/>
      </c>
      <c r="F2720" s="11">
        <f>INT(B2720)</f>
        <v/>
      </c>
      <c r="G2720" s="11">
        <f>INT(C2720)</f>
        <v/>
      </c>
    </row>
    <row r="2721">
      <c r="A2721" s="2" t="inlineStr">
        <is>
          <t>DRE42</t>
        </is>
      </c>
      <c r="B2721" s="3" t="n">
        <v>46086.25</v>
      </c>
      <c r="C2721" s="3" t="n">
        <v>46086.75</v>
      </c>
      <c r="D2721" s="4">
        <f>(C2721-B2721)*24</f>
        <v/>
      </c>
      <c r="E2721" s="5">
        <f>IF(AND(HOUR(B2721)&gt;=6,HOUR(B2721)&lt;18),"Day Shift","Night Shift")</f>
        <v/>
      </c>
      <c r="F2721" s="6">
        <f>INT(B2721)</f>
        <v/>
      </c>
      <c r="G2721" s="6">
        <f>INT(C2721)</f>
        <v/>
      </c>
    </row>
    <row r="2722">
      <c r="A2722" s="7" t="inlineStr">
        <is>
          <t>DRE42</t>
        </is>
      </c>
      <c r="B2722" s="8" t="n">
        <v>46086.75</v>
      </c>
      <c r="C2722" s="8" t="n">
        <v>46087.25</v>
      </c>
      <c r="D2722" s="9">
        <f>(C2722-B2722)*24</f>
        <v/>
      </c>
      <c r="E2722" s="10">
        <f>IF(AND(HOUR(B2722)&gt;=6,HOUR(B2722)&lt;18),"Day Shift","Night Shift")</f>
        <v/>
      </c>
      <c r="F2722" s="11">
        <f>INT(B2722)</f>
        <v/>
      </c>
      <c r="G2722" s="11">
        <f>INT(C2722)</f>
        <v/>
      </c>
    </row>
    <row r="2723">
      <c r="A2723" s="2" t="inlineStr">
        <is>
          <t>DRE42</t>
        </is>
      </c>
      <c r="B2723" s="3" t="n">
        <v>46087.25</v>
      </c>
      <c r="C2723" s="3" t="n">
        <v>46087.75</v>
      </c>
      <c r="D2723" s="4">
        <f>(C2723-B2723)*24</f>
        <v/>
      </c>
      <c r="E2723" s="5">
        <f>IF(AND(HOUR(B2723)&gt;=6,HOUR(B2723)&lt;18),"Day Shift","Night Shift")</f>
        <v/>
      </c>
      <c r="F2723" s="6">
        <f>INT(B2723)</f>
        <v/>
      </c>
      <c r="G2723" s="6">
        <f>INT(C2723)</f>
        <v/>
      </c>
    </row>
    <row r="2724">
      <c r="A2724" s="7" t="inlineStr">
        <is>
          <t>DRE42</t>
        </is>
      </c>
      <c r="B2724" s="8" t="n">
        <v>46087.75</v>
      </c>
      <c r="C2724" s="8" t="n">
        <v>46088.25</v>
      </c>
      <c r="D2724" s="9">
        <f>(C2724-B2724)*24</f>
        <v/>
      </c>
      <c r="E2724" s="10">
        <f>IF(AND(HOUR(B2724)&gt;=6,HOUR(B2724)&lt;18),"Day Shift","Night Shift")</f>
        <v/>
      </c>
      <c r="F2724" s="11">
        <f>INT(B2724)</f>
        <v/>
      </c>
      <c r="G2724" s="11">
        <f>INT(C2724)</f>
        <v/>
      </c>
    </row>
    <row r="2725">
      <c r="A2725" s="2" t="inlineStr">
        <is>
          <t>DRE42</t>
        </is>
      </c>
      <c r="B2725" s="3" t="n">
        <v>46088.25</v>
      </c>
      <c r="C2725" s="3" t="n">
        <v>46088.75</v>
      </c>
      <c r="D2725" s="4">
        <f>(C2725-B2725)*24</f>
        <v/>
      </c>
      <c r="E2725" s="5">
        <f>IF(AND(HOUR(B2725)&gt;=6,HOUR(B2725)&lt;18),"Day Shift","Night Shift")</f>
        <v/>
      </c>
      <c r="F2725" s="6">
        <f>INT(B2725)</f>
        <v/>
      </c>
      <c r="G2725" s="6">
        <f>INT(C2725)</f>
        <v/>
      </c>
    </row>
    <row r="2726">
      <c r="A2726" s="7" t="inlineStr">
        <is>
          <t>DRE42</t>
        </is>
      </c>
      <c r="B2726" s="8" t="n">
        <v>46088.75</v>
      </c>
      <c r="C2726" s="8" t="n">
        <v>46089.25</v>
      </c>
      <c r="D2726" s="9">
        <f>(C2726-B2726)*24</f>
        <v/>
      </c>
      <c r="E2726" s="10">
        <f>IF(AND(HOUR(B2726)&gt;=6,HOUR(B2726)&lt;18),"Day Shift","Night Shift")</f>
        <v/>
      </c>
      <c r="F2726" s="11">
        <f>INT(B2726)</f>
        <v/>
      </c>
      <c r="G2726" s="11">
        <f>INT(C2726)</f>
        <v/>
      </c>
    </row>
    <row r="2727">
      <c r="A2727" s="2" t="inlineStr">
        <is>
          <t>DRE42</t>
        </is>
      </c>
      <c r="B2727" s="3" t="n">
        <v>46089.25</v>
      </c>
      <c r="C2727" s="3" t="n">
        <v>46089.75</v>
      </c>
      <c r="D2727" s="4">
        <f>(C2727-B2727)*24</f>
        <v/>
      </c>
      <c r="E2727" s="5">
        <f>IF(AND(HOUR(B2727)&gt;=6,HOUR(B2727)&lt;18),"Day Shift","Night Shift")</f>
        <v/>
      </c>
      <c r="F2727" s="6">
        <f>INT(B2727)</f>
        <v/>
      </c>
      <c r="G2727" s="6">
        <f>INT(C2727)</f>
        <v/>
      </c>
    </row>
    <row r="2728">
      <c r="A2728" s="7" t="inlineStr">
        <is>
          <t>DRE42</t>
        </is>
      </c>
      <c r="B2728" s="8" t="n">
        <v>46089.75</v>
      </c>
      <c r="C2728" s="8" t="n">
        <v>46090.25</v>
      </c>
      <c r="D2728" s="9">
        <f>(C2728-B2728)*24</f>
        <v/>
      </c>
      <c r="E2728" s="10">
        <f>IF(AND(HOUR(B2728)&gt;=6,HOUR(B2728)&lt;18),"Day Shift","Night Shift")</f>
        <v/>
      </c>
      <c r="F2728" s="11">
        <f>INT(B2728)</f>
        <v/>
      </c>
      <c r="G2728" s="11">
        <f>INT(C2728)</f>
        <v/>
      </c>
    </row>
    <row r="2729">
      <c r="A2729" s="2" t="inlineStr">
        <is>
          <t>DRE42</t>
        </is>
      </c>
      <c r="B2729" s="3" t="n">
        <v>46090.25</v>
      </c>
      <c r="C2729" s="3" t="n">
        <v>46090.75</v>
      </c>
      <c r="D2729" s="4">
        <f>(C2729-B2729)*24</f>
        <v/>
      </c>
      <c r="E2729" s="5">
        <f>IF(AND(HOUR(B2729)&gt;=6,HOUR(B2729)&lt;18),"Day Shift","Night Shift")</f>
        <v/>
      </c>
      <c r="F2729" s="6">
        <f>INT(B2729)</f>
        <v/>
      </c>
      <c r="G2729" s="6">
        <f>INT(C2729)</f>
        <v/>
      </c>
    </row>
    <row r="2730">
      <c r="A2730" s="7" t="inlineStr">
        <is>
          <t>DRE42</t>
        </is>
      </c>
      <c r="B2730" s="8" t="n">
        <v>46090.75</v>
      </c>
      <c r="C2730" s="8" t="n">
        <v>46091.25</v>
      </c>
      <c r="D2730" s="9">
        <f>(C2730-B2730)*24</f>
        <v/>
      </c>
      <c r="E2730" s="10">
        <f>IF(AND(HOUR(B2730)&gt;=6,HOUR(B2730)&lt;18),"Day Shift","Night Shift")</f>
        <v/>
      </c>
      <c r="F2730" s="11">
        <f>INT(B2730)</f>
        <v/>
      </c>
      <c r="G2730" s="11">
        <f>INT(C2730)</f>
        <v/>
      </c>
    </row>
    <row r="2731">
      <c r="A2731" s="2" t="inlineStr">
        <is>
          <t>DRE42</t>
        </is>
      </c>
      <c r="B2731" s="3" t="n">
        <v>46091.25</v>
      </c>
      <c r="C2731" s="3" t="n">
        <v>46091.75</v>
      </c>
      <c r="D2731" s="4">
        <f>(C2731-B2731)*24</f>
        <v/>
      </c>
      <c r="E2731" s="5">
        <f>IF(AND(HOUR(B2731)&gt;=6,HOUR(B2731)&lt;18),"Day Shift","Night Shift")</f>
        <v/>
      </c>
      <c r="F2731" s="6">
        <f>INT(B2731)</f>
        <v/>
      </c>
      <c r="G2731" s="6">
        <f>INT(C2731)</f>
        <v/>
      </c>
    </row>
    <row r="2732">
      <c r="A2732" s="7" t="inlineStr">
        <is>
          <t>DRE42</t>
        </is>
      </c>
      <c r="B2732" s="8" t="n">
        <v>46091.75</v>
      </c>
      <c r="C2732" s="8" t="n">
        <v>46092.25</v>
      </c>
      <c r="D2732" s="9">
        <f>(C2732-B2732)*24</f>
        <v/>
      </c>
      <c r="E2732" s="10">
        <f>IF(AND(HOUR(B2732)&gt;=6,HOUR(B2732)&lt;18),"Day Shift","Night Shift")</f>
        <v/>
      </c>
      <c r="F2732" s="11">
        <f>INT(B2732)</f>
        <v/>
      </c>
      <c r="G2732" s="11">
        <f>INT(C2732)</f>
        <v/>
      </c>
    </row>
    <row r="2733">
      <c r="A2733" s="2" t="inlineStr">
        <is>
          <t>DRE42</t>
        </is>
      </c>
      <c r="B2733" s="3" t="n">
        <v>46092.25</v>
      </c>
      <c r="C2733" s="3" t="n">
        <v>46092.75</v>
      </c>
      <c r="D2733" s="4">
        <f>(C2733-B2733)*24</f>
        <v/>
      </c>
      <c r="E2733" s="5">
        <f>IF(AND(HOUR(B2733)&gt;=6,HOUR(B2733)&lt;18),"Day Shift","Night Shift")</f>
        <v/>
      </c>
      <c r="F2733" s="6">
        <f>INT(B2733)</f>
        <v/>
      </c>
      <c r="G2733" s="6">
        <f>INT(C2733)</f>
        <v/>
      </c>
    </row>
    <row r="2734">
      <c r="A2734" s="7" t="inlineStr">
        <is>
          <t>DRE42</t>
        </is>
      </c>
      <c r="B2734" s="8" t="n">
        <v>46092.75</v>
      </c>
      <c r="C2734" s="8" t="n">
        <v>46093.25</v>
      </c>
      <c r="D2734" s="9">
        <f>(C2734-B2734)*24</f>
        <v/>
      </c>
      <c r="E2734" s="10">
        <f>IF(AND(HOUR(B2734)&gt;=6,HOUR(B2734)&lt;18),"Day Shift","Night Shift")</f>
        <v/>
      </c>
      <c r="F2734" s="11">
        <f>INT(B2734)</f>
        <v/>
      </c>
      <c r="G2734" s="11">
        <f>INT(C2734)</f>
        <v/>
      </c>
    </row>
    <row r="2735">
      <c r="A2735" s="2" t="inlineStr">
        <is>
          <t>DRE42</t>
        </is>
      </c>
      <c r="B2735" s="3" t="n">
        <v>46093.25</v>
      </c>
      <c r="C2735" s="3" t="n">
        <v>46093.75</v>
      </c>
      <c r="D2735" s="4">
        <f>(C2735-B2735)*24</f>
        <v/>
      </c>
      <c r="E2735" s="5">
        <f>IF(AND(HOUR(B2735)&gt;=6,HOUR(B2735)&lt;18),"Day Shift","Night Shift")</f>
        <v/>
      </c>
      <c r="F2735" s="6">
        <f>INT(B2735)</f>
        <v/>
      </c>
      <c r="G2735" s="6">
        <f>INT(C2735)</f>
        <v/>
      </c>
    </row>
    <row r="2736">
      <c r="A2736" s="7" t="inlineStr">
        <is>
          <t>DRE42</t>
        </is>
      </c>
      <c r="B2736" s="8" t="n">
        <v>46093.75</v>
      </c>
      <c r="C2736" s="8" t="n">
        <v>46094.25</v>
      </c>
      <c r="D2736" s="9">
        <f>(C2736-B2736)*24</f>
        <v/>
      </c>
      <c r="E2736" s="10">
        <f>IF(AND(HOUR(B2736)&gt;=6,HOUR(B2736)&lt;18),"Day Shift","Night Shift")</f>
        <v/>
      </c>
      <c r="F2736" s="11">
        <f>INT(B2736)</f>
        <v/>
      </c>
      <c r="G2736" s="11">
        <f>INT(C2736)</f>
        <v/>
      </c>
    </row>
    <row r="2737">
      <c r="A2737" s="2" t="inlineStr">
        <is>
          <t>DRE42</t>
        </is>
      </c>
      <c r="B2737" s="3" t="n">
        <v>46094.25</v>
      </c>
      <c r="C2737" s="3" t="n">
        <v>46094.75</v>
      </c>
      <c r="D2737" s="4">
        <f>(C2737-B2737)*24</f>
        <v/>
      </c>
      <c r="E2737" s="5">
        <f>IF(AND(HOUR(B2737)&gt;=6,HOUR(B2737)&lt;18),"Day Shift","Night Shift")</f>
        <v/>
      </c>
      <c r="F2737" s="6">
        <f>INT(B2737)</f>
        <v/>
      </c>
      <c r="G2737" s="6">
        <f>INT(C2737)</f>
        <v/>
      </c>
    </row>
    <row r="2738">
      <c r="A2738" s="7" t="inlineStr">
        <is>
          <t>DRE42</t>
        </is>
      </c>
      <c r="B2738" s="8" t="n">
        <v>46094.75</v>
      </c>
      <c r="C2738" s="8" t="n">
        <v>46095.25</v>
      </c>
      <c r="D2738" s="9">
        <f>(C2738-B2738)*24</f>
        <v/>
      </c>
      <c r="E2738" s="10">
        <f>IF(AND(HOUR(B2738)&gt;=6,HOUR(B2738)&lt;18),"Day Shift","Night Shift")</f>
        <v/>
      </c>
      <c r="F2738" s="11">
        <f>INT(B2738)</f>
        <v/>
      </c>
      <c r="G2738" s="11">
        <f>INT(C2738)</f>
        <v/>
      </c>
    </row>
    <row r="2739">
      <c r="A2739" s="2" t="inlineStr">
        <is>
          <t>DRE42</t>
        </is>
      </c>
      <c r="B2739" s="3" t="n">
        <v>46095.25</v>
      </c>
      <c r="C2739" s="3" t="n">
        <v>46095.75</v>
      </c>
      <c r="D2739" s="4">
        <f>(C2739-B2739)*24</f>
        <v/>
      </c>
      <c r="E2739" s="5">
        <f>IF(AND(HOUR(B2739)&gt;=6,HOUR(B2739)&lt;18),"Day Shift","Night Shift")</f>
        <v/>
      </c>
      <c r="F2739" s="6">
        <f>INT(B2739)</f>
        <v/>
      </c>
      <c r="G2739" s="6">
        <f>INT(C2739)</f>
        <v/>
      </c>
    </row>
    <row r="2740">
      <c r="A2740" s="7" t="inlineStr">
        <is>
          <t>DRE42</t>
        </is>
      </c>
      <c r="B2740" s="8" t="n">
        <v>46095.75</v>
      </c>
      <c r="C2740" s="8" t="n">
        <v>46096.25</v>
      </c>
      <c r="D2740" s="9">
        <f>(C2740-B2740)*24</f>
        <v/>
      </c>
      <c r="E2740" s="10">
        <f>IF(AND(HOUR(B2740)&gt;=6,HOUR(B2740)&lt;18),"Day Shift","Night Shift")</f>
        <v/>
      </c>
      <c r="F2740" s="11">
        <f>INT(B2740)</f>
        <v/>
      </c>
      <c r="G2740" s="11">
        <f>INT(C2740)</f>
        <v/>
      </c>
    </row>
    <row r="2741">
      <c r="A2741" s="2" t="inlineStr">
        <is>
          <t>DRE42</t>
        </is>
      </c>
      <c r="B2741" s="3" t="n">
        <v>46096.25</v>
      </c>
      <c r="C2741" s="3" t="n">
        <v>46096.75</v>
      </c>
      <c r="D2741" s="4">
        <f>(C2741-B2741)*24</f>
        <v/>
      </c>
      <c r="E2741" s="5">
        <f>IF(AND(HOUR(B2741)&gt;=6,HOUR(B2741)&lt;18),"Day Shift","Night Shift")</f>
        <v/>
      </c>
      <c r="F2741" s="6">
        <f>INT(B2741)</f>
        <v/>
      </c>
      <c r="G2741" s="6">
        <f>INT(C2741)</f>
        <v/>
      </c>
    </row>
    <row r="2742">
      <c r="A2742" s="7" t="inlineStr">
        <is>
          <t>DRE42</t>
        </is>
      </c>
      <c r="B2742" s="8" t="n">
        <v>46096.75</v>
      </c>
      <c r="C2742" s="8" t="n">
        <v>46097.25</v>
      </c>
      <c r="D2742" s="9">
        <f>(C2742-B2742)*24</f>
        <v/>
      </c>
      <c r="E2742" s="10">
        <f>IF(AND(HOUR(B2742)&gt;=6,HOUR(B2742)&lt;18),"Day Shift","Night Shift")</f>
        <v/>
      </c>
      <c r="F2742" s="11">
        <f>INT(B2742)</f>
        <v/>
      </c>
      <c r="G2742" s="11">
        <f>INT(C2742)</f>
        <v/>
      </c>
    </row>
    <row r="2743">
      <c r="A2743" s="2" t="inlineStr">
        <is>
          <t>DRE42</t>
        </is>
      </c>
      <c r="B2743" s="3" t="n">
        <v>46097.25</v>
      </c>
      <c r="C2743" s="3" t="n">
        <v>46097.75</v>
      </c>
      <c r="D2743" s="4">
        <f>(C2743-B2743)*24</f>
        <v/>
      </c>
      <c r="E2743" s="5">
        <f>IF(AND(HOUR(B2743)&gt;=6,HOUR(B2743)&lt;18),"Day Shift","Night Shift")</f>
        <v/>
      </c>
      <c r="F2743" s="6">
        <f>INT(B2743)</f>
        <v/>
      </c>
      <c r="G2743" s="6">
        <f>INT(C2743)</f>
        <v/>
      </c>
    </row>
    <row r="2744">
      <c r="A2744" s="7" t="inlineStr">
        <is>
          <t>DRE42</t>
        </is>
      </c>
      <c r="B2744" s="8" t="n">
        <v>46097.75</v>
      </c>
      <c r="C2744" s="8" t="n">
        <v>46098.25</v>
      </c>
      <c r="D2744" s="9">
        <f>(C2744-B2744)*24</f>
        <v/>
      </c>
      <c r="E2744" s="10">
        <f>IF(AND(HOUR(B2744)&gt;=6,HOUR(B2744)&lt;18),"Day Shift","Night Shift")</f>
        <v/>
      </c>
      <c r="F2744" s="11">
        <f>INT(B2744)</f>
        <v/>
      </c>
      <c r="G2744" s="11">
        <f>INT(C2744)</f>
        <v/>
      </c>
    </row>
    <row r="2745">
      <c r="A2745" s="2" t="inlineStr">
        <is>
          <t>DRE42</t>
        </is>
      </c>
      <c r="B2745" s="3" t="n">
        <v>46098.25</v>
      </c>
      <c r="C2745" s="3" t="n">
        <v>46098.75</v>
      </c>
      <c r="D2745" s="4">
        <f>(C2745-B2745)*24</f>
        <v/>
      </c>
      <c r="E2745" s="5">
        <f>IF(AND(HOUR(B2745)&gt;=6,HOUR(B2745)&lt;18),"Day Shift","Night Shift")</f>
        <v/>
      </c>
      <c r="F2745" s="6">
        <f>INT(B2745)</f>
        <v/>
      </c>
      <c r="G2745" s="6">
        <f>INT(C2745)</f>
        <v/>
      </c>
    </row>
    <row r="2746">
      <c r="A2746" s="7" t="inlineStr">
        <is>
          <t>DRE42</t>
        </is>
      </c>
      <c r="B2746" s="8" t="n">
        <v>46098.75</v>
      </c>
      <c r="C2746" s="8" t="n">
        <v>46099.25</v>
      </c>
      <c r="D2746" s="9">
        <f>(C2746-B2746)*24</f>
        <v/>
      </c>
      <c r="E2746" s="10">
        <f>IF(AND(HOUR(B2746)&gt;=6,HOUR(B2746)&lt;18),"Day Shift","Night Shift")</f>
        <v/>
      </c>
      <c r="F2746" s="11">
        <f>INT(B2746)</f>
        <v/>
      </c>
      <c r="G2746" s="11">
        <f>INT(C2746)</f>
        <v/>
      </c>
    </row>
    <row r="2747">
      <c r="A2747" s="2" t="inlineStr">
        <is>
          <t>DRE42</t>
        </is>
      </c>
      <c r="B2747" s="3" t="n">
        <v>46099.25</v>
      </c>
      <c r="C2747" s="3" t="n">
        <v>46099.75</v>
      </c>
      <c r="D2747" s="4">
        <f>(C2747-B2747)*24</f>
        <v/>
      </c>
      <c r="E2747" s="5">
        <f>IF(AND(HOUR(B2747)&gt;=6,HOUR(B2747)&lt;18),"Day Shift","Night Shift")</f>
        <v/>
      </c>
      <c r="F2747" s="6">
        <f>INT(B2747)</f>
        <v/>
      </c>
      <c r="G2747" s="6">
        <f>INT(C2747)</f>
        <v/>
      </c>
    </row>
    <row r="2748">
      <c r="A2748" s="7" t="inlineStr">
        <is>
          <t>DRE42</t>
        </is>
      </c>
      <c r="B2748" s="8" t="n">
        <v>46099.75</v>
      </c>
      <c r="C2748" s="8" t="n">
        <v>46100.25</v>
      </c>
      <c r="D2748" s="9">
        <f>(C2748-B2748)*24</f>
        <v/>
      </c>
      <c r="E2748" s="10">
        <f>IF(AND(HOUR(B2748)&gt;=6,HOUR(B2748)&lt;18),"Day Shift","Night Shift")</f>
        <v/>
      </c>
      <c r="F2748" s="11">
        <f>INT(B2748)</f>
        <v/>
      </c>
      <c r="G2748" s="11">
        <f>INT(C2748)</f>
        <v/>
      </c>
    </row>
    <row r="2749">
      <c r="A2749" s="2" t="inlineStr">
        <is>
          <t>DRE42</t>
        </is>
      </c>
      <c r="B2749" s="3" t="n">
        <v>46100.25</v>
      </c>
      <c r="C2749" s="3" t="n">
        <v>46100.75</v>
      </c>
      <c r="D2749" s="4">
        <f>(C2749-B2749)*24</f>
        <v/>
      </c>
      <c r="E2749" s="5">
        <f>IF(AND(HOUR(B2749)&gt;=6,HOUR(B2749)&lt;18),"Day Shift","Night Shift")</f>
        <v/>
      </c>
      <c r="F2749" s="6">
        <f>INT(B2749)</f>
        <v/>
      </c>
      <c r="G2749" s="6">
        <f>INT(C2749)</f>
        <v/>
      </c>
    </row>
    <row r="2750">
      <c r="A2750" s="7" t="inlineStr">
        <is>
          <t>DRE42</t>
        </is>
      </c>
      <c r="B2750" s="8" t="n">
        <v>46100.75</v>
      </c>
      <c r="C2750" s="8" t="n">
        <v>46101.25</v>
      </c>
      <c r="D2750" s="9">
        <f>(C2750-B2750)*24</f>
        <v/>
      </c>
      <c r="E2750" s="10">
        <f>IF(AND(HOUR(B2750)&gt;=6,HOUR(B2750)&lt;18),"Day Shift","Night Shift")</f>
        <v/>
      </c>
      <c r="F2750" s="11">
        <f>INT(B2750)</f>
        <v/>
      </c>
      <c r="G2750" s="11">
        <f>INT(C2750)</f>
        <v/>
      </c>
    </row>
    <row r="2751">
      <c r="A2751" s="2" t="inlineStr">
        <is>
          <t>DRE42</t>
        </is>
      </c>
      <c r="B2751" s="3" t="n">
        <v>46101.25</v>
      </c>
      <c r="C2751" s="3" t="n">
        <v>46101.75</v>
      </c>
      <c r="D2751" s="4">
        <f>(C2751-B2751)*24</f>
        <v/>
      </c>
      <c r="E2751" s="5">
        <f>IF(AND(HOUR(B2751)&gt;=6,HOUR(B2751)&lt;18),"Day Shift","Night Shift")</f>
        <v/>
      </c>
      <c r="F2751" s="6">
        <f>INT(B2751)</f>
        <v/>
      </c>
      <c r="G2751" s="6">
        <f>INT(C2751)</f>
        <v/>
      </c>
    </row>
    <row r="2752">
      <c r="A2752" s="7" t="inlineStr">
        <is>
          <t>DRE42</t>
        </is>
      </c>
      <c r="B2752" s="8" t="n">
        <v>46101.75</v>
      </c>
      <c r="C2752" s="8" t="n">
        <v>46102.25</v>
      </c>
      <c r="D2752" s="9">
        <f>(C2752-B2752)*24</f>
        <v/>
      </c>
      <c r="E2752" s="10">
        <f>IF(AND(HOUR(B2752)&gt;=6,HOUR(B2752)&lt;18),"Day Shift","Night Shift")</f>
        <v/>
      </c>
      <c r="F2752" s="11">
        <f>INT(B2752)</f>
        <v/>
      </c>
      <c r="G2752" s="11">
        <f>INT(C2752)</f>
        <v/>
      </c>
    </row>
    <row r="2753">
      <c r="A2753" s="2" t="inlineStr">
        <is>
          <t>DRE42</t>
        </is>
      </c>
      <c r="B2753" s="3" t="n">
        <v>46102.25</v>
      </c>
      <c r="C2753" s="3" t="n">
        <v>46102.75</v>
      </c>
      <c r="D2753" s="4">
        <f>(C2753-B2753)*24</f>
        <v/>
      </c>
      <c r="E2753" s="5">
        <f>IF(AND(HOUR(B2753)&gt;=6,HOUR(B2753)&lt;18),"Day Shift","Night Shift")</f>
        <v/>
      </c>
      <c r="F2753" s="6">
        <f>INT(B2753)</f>
        <v/>
      </c>
      <c r="G2753" s="6">
        <f>INT(C2753)</f>
        <v/>
      </c>
    </row>
    <row r="2754">
      <c r="A2754" s="7" t="inlineStr">
        <is>
          <t>DRE42</t>
        </is>
      </c>
      <c r="B2754" s="8" t="n">
        <v>46102.75</v>
      </c>
      <c r="C2754" s="8" t="n">
        <v>46103.25</v>
      </c>
      <c r="D2754" s="9">
        <f>(C2754-B2754)*24</f>
        <v/>
      </c>
      <c r="E2754" s="10">
        <f>IF(AND(HOUR(B2754)&gt;=6,HOUR(B2754)&lt;18),"Day Shift","Night Shift")</f>
        <v/>
      </c>
      <c r="F2754" s="11">
        <f>INT(B2754)</f>
        <v/>
      </c>
      <c r="G2754" s="11">
        <f>INT(C2754)</f>
        <v/>
      </c>
    </row>
    <row r="2755">
      <c r="A2755" s="2" t="inlineStr">
        <is>
          <t>DRE42</t>
        </is>
      </c>
      <c r="B2755" s="3" t="n">
        <v>46103.25</v>
      </c>
      <c r="C2755" s="3" t="n">
        <v>46103.75</v>
      </c>
      <c r="D2755" s="4">
        <f>(C2755-B2755)*24</f>
        <v/>
      </c>
      <c r="E2755" s="5">
        <f>IF(AND(HOUR(B2755)&gt;=6,HOUR(B2755)&lt;18),"Day Shift","Night Shift")</f>
        <v/>
      </c>
      <c r="F2755" s="6">
        <f>INT(B2755)</f>
        <v/>
      </c>
      <c r="G2755" s="6">
        <f>INT(C2755)</f>
        <v/>
      </c>
    </row>
    <row r="2756">
      <c r="A2756" s="7" t="inlineStr">
        <is>
          <t>DRE42</t>
        </is>
      </c>
      <c r="B2756" s="8" t="n">
        <v>46103.75</v>
      </c>
      <c r="C2756" s="8" t="n">
        <v>46104.25</v>
      </c>
      <c r="D2756" s="9">
        <f>(C2756-B2756)*24</f>
        <v/>
      </c>
      <c r="E2756" s="10">
        <f>IF(AND(HOUR(B2756)&gt;=6,HOUR(B2756)&lt;18),"Day Shift","Night Shift")</f>
        <v/>
      </c>
      <c r="F2756" s="11">
        <f>INT(B2756)</f>
        <v/>
      </c>
      <c r="G2756" s="11">
        <f>INT(C2756)</f>
        <v/>
      </c>
    </row>
    <row r="2757">
      <c r="A2757" s="2" t="inlineStr">
        <is>
          <t>DRE42</t>
        </is>
      </c>
      <c r="B2757" s="3" t="n">
        <v>46104.25</v>
      </c>
      <c r="C2757" s="3" t="n">
        <v>46104.75</v>
      </c>
      <c r="D2757" s="4">
        <f>(C2757-B2757)*24</f>
        <v/>
      </c>
      <c r="E2757" s="5">
        <f>IF(AND(HOUR(B2757)&gt;=6,HOUR(B2757)&lt;18),"Day Shift","Night Shift")</f>
        <v/>
      </c>
      <c r="F2757" s="6">
        <f>INT(B2757)</f>
        <v/>
      </c>
      <c r="G2757" s="6">
        <f>INT(C2757)</f>
        <v/>
      </c>
    </row>
    <row r="2758">
      <c r="A2758" s="7" t="inlineStr">
        <is>
          <t>DRE42</t>
        </is>
      </c>
      <c r="B2758" s="8" t="n">
        <v>46104.75</v>
      </c>
      <c r="C2758" s="8" t="n">
        <v>46105.25</v>
      </c>
      <c r="D2758" s="9">
        <f>(C2758-B2758)*24</f>
        <v/>
      </c>
      <c r="E2758" s="10">
        <f>IF(AND(HOUR(B2758)&gt;=6,HOUR(B2758)&lt;18),"Day Shift","Night Shift")</f>
        <v/>
      </c>
      <c r="F2758" s="11">
        <f>INT(B2758)</f>
        <v/>
      </c>
      <c r="G2758" s="11">
        <f>INT(C2758)</f>
        <v/>
      </c>
    </row>
    <row r="2759">
      <c r="A2759" s="2" t="inlineStr">
        <is>
          <t>DRE42</t>
        </is>
      </c>
      <c r="B2759" s="3" t="n">
        <v>46105.25</v>
      </c>
      <c r="C2759" s="3" t="n">
        <v>46105.75</v>
      </c>
      <c r="D2759" s="4">
        <f>(C2759-B2759)*24</f>
        <v/>
      </c>
      <c r="E2759" s="5">
        <f>IF(AND(HOUR(B2759)&gt;=6,HOUR(B2759)&lt;18),"Day Shift","Night Shift")</f>
        <v/>
      </c>
      <c r="F2759" s="6">
        <f>INT(B2759)</f>
        <v/>
      </c>
      <c r="G2759" s="6">
        <f>INT(C2759)</f>
        <v/>
      </c>
    </row>
    <row r="2760">
      <c r="A2760" s="7" t="inlineStr">
        <is>
          <t>DRE42</t>
        </is>
      </c>
      <c r="B2760" s="8" t="n">
        <v>46105.75</v>
      </c>
      <c r="C2760" s="8" t="n">
        <v>46106.25</v>
      </c>
      <c r="D2760" s="9">
        <f>(C2760-B2760)*24</f>
        <v/>
      </c>
      <c r="E2760" s="10">
        <f>IF(AND(HOUR(B2760)&gt;=6,HOUR(B2760)&lt;18),"Day Shift","Night Shift")</f>
        <v/>
      </c>
      <c r="F2760" s="11">
        <f>INT(B2760)</f>
        <v/>
      </c>
      <c r="G2760" s="11">
        <f>INT(C2760)</f>
        <v/>
      </c>
    </row>
    <row r="2761">
      <c r="A2761" s="2" t="inlineStr">
        <is>
          <t>DRE42</t>
        </is>
      </c>
      <c r="B2761" s="3" t="n">
        <v>46106.25</v>
      </c>
      <c r="C2761" s="3" t="n">
        <v>46106.75</v>
      </c>
      <c r="D2761" s="4">
        <f>(C2761-B2761)*24</f>
        <v/>
      </c>
      <c r="E2761" s="5">
        <f>IF(AND(HOUR(B2761)&gt;=6,HOUR(B2761)&lt;18),"Day Shift","Night Shift")</f>
        <v/>
      </c>
      <c r="F2761" s="6">
        <f>INT(B2761)</f>
        <v/>
      </c>
      <c r="G2761" s="6">
        <f>INT(C2761)</f>
        <v/>
      </c>
    </row>
    <row r="2762">
      <c r="A2762" s="7" t="inlineStr">
        <is>
          <t>DRE42</t>
        </is>
      </c>
      <c r="B2762" s="8" t="n">
        <v>46106.75</v>
      </c>
      <c r="C2762" s="8" t="n">
        <v>46107.25</v>
      </c>
      <c r="D2762" s="9">
        <f>(C2762-B2762)*24</f>
        <v/>
      </c>
      <c r="E2762" s="10">
        <f>IF(AND(HOUR(B2762)&gt;=6,HOUR(B2762)&lt;18),"Day Shift","Night Shift")</f>
        <v/>
      </c>
      <c r="F2762" s="11">
        <f>INT(B2762)</f>
        <v/>
      </c>
      <c r="G2762" s="11">
        <f>INT(C2762)</f>
        <v/>
      </c>
    </row>
    <row r="2763">
      <c r="A2763" s="2" t="inlineStr">
        <is>
          <t>DRE42</t>
        </is>
      </c>
      <c r="B2763" s="3" t="n">
        <v>46107.25</v>
      </c>
      <c r="C2763" s="3" t="n">
        <v>46107.75</v>
      </c>
      <c r="D2763" s="4">
        <f>(C2763-B2763)*24</f>
        <v/>
      </c>
      <c r="E2763" s="5">
        <f>IF(AND(HOUR(B2763)&gt;=6,HOUR(B2763)&lt;18),"Day Shift","Night Shift")</f>
        <v/>
      </c>
      <c r="F2763" s="6">
        <f>INT(B2763)</f>
        <v/>
      </c>
      <c r="G2763" s="6">
        <f>INT(C2763)</f>
        <v/>
      </c>
    </row>
    <row r="2764">
      <c r="A2764" s="7" t="inlineStr">
        <is>
          <t>DRE42</t>
        </is>
      </c>
      <c r="B2764" s="8" t="n">
        <v>46107.75</v>
      </c>
      <c r="C2764" s="8" t="n">
        <v>46108.25</v>
      </c>
      <c r="D2764" s="9">
        <f>(C2764-B2764)*24</f>
        <v/>
      </c>
      <c r="E2764" s="10">
        <f>IF(AND(HOUR(B2764)&gt;=6,HOUR(B2764)&lt;18),"Day Shift","Night Shift")</f>
        <v/>
      </c>
      <c r="F2764" s="11">
        <f>INT(B2764)</f>
        <v/>
      </c>
      <c r="G2764" s="11">
        <f>INT(C2764)</f>
        <v/>
      </c>
    </row>
    <row r="2765">
      <c r="A2765" s="2" t="inlineStr">
        <is>
          <t>DRE42</t>
        </is>
      </c>
      <c r="B2765" s="3" t="n">
        <v>46108.25</v>
      </c>
      <c r="C2765" s="3" t="n">
        <v>46108.75</v>
      </c>
      <c r="D2765" s="4">
        <f>(C2765-B2765)*24</f>
        <v/>
      </c>
      <c r="E2765" s="5">
        <f>IF(AND(HOUR(B2765)&gt;=6,HOUR(B2765)&lt;18),"Day Shift","Night Shift")</f>
        <v/>
      </c>
      <c r="F2765" s="6">
        <f>INT(B2765)</f>
        <v/>
      </c>
      <c r="G2765" s="6">
        <f>INT(C2765)</f>
        <v/>
      </c>
    </row>
    <row r="2766">
      <c r="A2766" s="7" t="inlineStr">
        <is>
          <t>DRE42</t>
        </is>
      </c>
      <c r="B2766" s="8" t="n">
        <v>46108.75</v>
      </c>
      <c r="C2766" s="8" t="n">
        <v>46109.25</v>
      </c>
      <c r="D2766" s="9">
        <f>(C2766-B2766)*24</f>
        <v/>
      </c>
      <c r="E2766" s="10">
        <f>IF(AND(HOUR(B2766)&gt;=6,HOUR(B2766)&lt;18),"Day Shift","Night Shift")</f>
        <v/>
      </c>
      <c r="F2766" s="11">
        <f>INT(B2766)</f>
        <v/>
      </c>
      <c r="G2766" s="11">
        <f>INT(C2766)</f>
        <v/>
      </c>
    </row>
    <row r="2767">
      <c r="A2767" s="2" t="inlineStr">
        <is>
          <t>DRE42</t>
        </is>
      </c>
      <c r="B2767" s="3" t="n">
        <v>46109.25</v>
      </c>
      <c r="C2767" s="3" t="n">
        <v>46109.75</v>
      </c>
      <c r="D2767" s="4">
        <f>(C2767-B2767)*24</f>
        <v/>
      </c>
      <c r="E2767" s="5">
        <f>IF(AND(HOUR(B2767)&gt;=6,HOUR(B2767)&lt;18),"Day Shift","Night Shift")</f>
        <v/>
      </c>
      <c r="F2767" s="6">
        <f>INT(B2767)</f>
        <v/>
      </c>
      <c r="G2767" s="6">
        <f>INT(C2767)</f>
        <v/>
      </c>
    </row>
    <row r="2768">
      <c r="A2768" s="7" t="inlineStr">
        <is>
          <t>DRE42</t>
        </is>
      </c>
      <c r="B2768" s="8" t="n">
        <v>46109.75</v>
      </c>
      <c r="C2768" s="8" t="n">
        <v>46110.25</v>
      </c>
      <c r="D2768" s="9">
        <f>(C2768-B2768)*24</f>
        <v/>
      </c>
      <c r="E2768" s="10">
        <f>IF(AND(HOUR(B2768)&gt;=6,HOUR(B2768)&lt;18),"Day Shift","Night Shift")</f>
        <v/>
      </c>
      <c r="F2768" s="11">
        <f>INT(B2768)</f>
        <v/>
      </c>
      <c r="G2768" s="11">
        <f>INT(C2768)</f>
        <v/>
      </c>
    </row>
    <row r="2769">
      <c r="A2769" s="2" t="inlineStr">
        <is>
          <t>DRE42</t>
        </is>
      </c>
      <c r="B2769" s="3" t="n">
        <v>46110.25</v>
      </c>
      <c r="C2769" s="3" t="n">
        <v>46110.75</v>
      </c>
      <c r="D2769" s="4">
        <f>(C2769-B2769)*24</f>
        <v/>
      </c>
      <c r="E2769" s="5">
        <f>IF(AND(HOUR(B2769)&gt;=6,HOUR(B2769)&lt;18),"Day Shift","Night Shift")</f>
        <v/>
      </c>
      <c r="F2769" s="6">
        <f>INT(B2769)</f>
        <v/>
      </c>
      <c r="G2769" s="6">
        <f>INT(C2769)</f>
        <v/>
      </c>
    </row>
    <row r="2770">
      <c r="A2770" s="7" t="inlineStr">
        <is>
          <t>DRE42</t>
        </is>
      </c>
      <c r="B2770" s="8" t="n">
        <v>46110.75</v>
      </c>
      <c r="C2770" s="8" t="n">
        <v>46111.25</v>
      </c>
      <c r="D2770" s="9">
        <f>(C2770-B2770)*24</f>
        <v/>
      </c>
      <c r="E2770" s="10">
        <f>IF(AND(HOUR(B2770)&gt;=6,HOUR(B2770)&lt;18),"Day Shift","Night Shift")</f>
        <v/>
      </c>
      <c r="F2770" s="11">
        <f>INT(B2770)</f>
        <v/>
      </c>
      <c r="G2770" s="11">
        <f>INT(C2770)</f>
        <v/>
      </c>
    </row>
    <row r="2771">
      <c r="A2771" s="2" t="inlineStr">
        <is>
          <t>DRE42</t>
        </is>
      </c>
      <c r="B2771" s="3" t="n">
        <v>46111.25</v>
      </c>
      <c r="C2771" s="3" t="n">
        <v>46111.63146990741</v>
      </c>
      <c r="D2771" s="4">
        <f>(C2771-B2771)*24</f>
        <v/>
      </c>
      <c r="E2771" s="5">
        <f>IF(AND(HOUR(B2771)&gt;=6,HOUR(B2771)&lt;18),"Day Shift","Night Shift")</f>
        <v/>
      </c>
      <c r="F2771" s="6">
        <f>INT(B2771)</f>
        <v/>
      </c>
      <c r="G2771" s="6">
        <f>INT(C2771)</f>
        <v/>
      </c>
    </row>
    <row r="2772">
      <c r="A2772" s="7" t="inlineStr">
        <is>
          <t>Stag Drill</t>
        </is>
      </c>
      <c r="B2772" s="8" t="n">
        <v>46080.15042824074</v>
      </c>
      <c r="C2772" s="8" t="n">
        <v>46080.25</v>
      </c>
      <c r="D2772" s="9">
        <f>(C2772-B2772)*24</f>
        <v/>
      </c>
      <c r="E2772" s="10">
        <f>IF(AND(HOUR(B2772)&gt;=6,HOUR(B2772)&lt;18),"Day Shift","Night Shift")</f>
        <v/>
      </c>
      <c r="F2772" s="11">
        <f>INT(B2772)</f>
        <v/>
      </c>
      <c r="G2772" s="11">
        <f>INT(C2772)</f>
        <v/>
      </c>
    </row>
    <row r="2773">
      <c r="A2773" s="2" t="inlineStr">
        <is>
          <t>Stag Drill</t>
        </is>
      </c>
      <c r="B2773" s="3" t="n">
        <v>46080.25</v>
      </c>
      <c r="C2773" s="3" t="n">
        <v>46080.64944444445</v>
      </c>
      <c r="D2773" s="4">
        <f>(C2773-B2773)*24</f>
        <v/>
      </c>
      <c r="E2773" s="5">
        <f>IF(AND(HOUR(B2773)&gt;=6,HOUR(B2773)&lt;18),"Day Shift","Night Shift")</f>
        <v/>
      </c>
      <c r="F2773" s="6">
        <f>INT(B2773)</f>
        <v/>
      </c>
      <c r="G2773" s="6">
        <f>INT(C2773)</f>
        <v/>
      </c>
    </row>
    <row r="2774">
      <c r="A2774" s="2" t="inlineStr">
        <is>
          <t>EXD73</t>
        </is>
      </c>
      <c r="B2774" s="3" t="n">
        <v>46080.25505787037</v>
      </c>
      <c r="C2774" s="3" t="n">
        <v>46080.75</v>
      </c>
      <c r="D2774" s="4">
        <f>(C2774-B2774)*24</f>
        <v/>
      </c>
      <c r="E2774" s="5">
        <f>IF(AND(HOUR(B2774)&gt;=6,HOUR(B2774)&lt;18),"Day Shift","Night Shift")</f>
        <v/>
      </c>
      <c r="F2774" s="6">
        <f>INT(B2774)</f>
        <v/>
      </c>
      <c r="G2774" s="6">
        <f>INT(C2774)</f>
        <v/>
      </c>
    </row>
    <row r="2775">
      <c r="A2775" s="7" t="inlineStr">
        <is>
          <t>EXD73</t>
        </is>
      </c>
      <c r="B2775" s="8" t="n">
        <v>46080.75</v>
      </c>
      <c r="C2775" s="8" t="n">
        <v>46081.25</v>
      </c>
      <c r="D2775" s="9">
        <f>(C2775-B2775)*24</f>
        <v/>
      </c>
      <c r="E2775" s="10">
        <f>IF(AND(HOUR(B2775)&gt;=6,HOUR(B2775)&lt;18),"Day Shift","Night Shift")</f>
        <v/>
      </c>
      <c r="F2775" s="11">
        <f>INT(B2775)</f>
        <v/>
      </c>
      <c r="G2775" s="11">
        <f>INT(C2775)</f>
        <v/>
      </c>
    </row>
    <row r="2776">
      <c r="A2776" s="2" t="inlineStr">
        <is>
          <t>EXD73</t>
        </is>
      </c>
      <c r="B2776" s="3" t="n">
        <v>46081.25</v>
      </c>
      <c r="C2776" s="3" t="n">
        <v>46081.36444444444</v>
      </c>
      <c r="D2776" s="4">
        <f>(C2776-B2776)*24</f>
        <v/>
      </c>
      <c r="E2776" s="5">
        <f>IF(AND(HOUR(B2776)&gt;=6,HOUR(B2776)&lt;18),"Day Shift","Night Shift")</f>
        <v/>
      </c>
      <c r="F2776" s="6">
        <f>INT(B2776)</f>
        <v/>
      </c>
      <c r="G2776" s="6">
        <f>INT(C2776)</f>
        <v/>
      </c>
    </row>
    <row r="2777">
      <c r="A2777" s="2" t="inlineStr">
        <is>
          <t>EDD175;EDD2134</t>
        </is>
      </c>
      <c r="B2777" s="3" t="n">
        <v>46080.36341435185</v>
      </c>
      <c r="C2777" s="3" t="n">
        <v>46080.71273148148</v>
      </c>
      <c r="D2777" s="4">
        <f>(C2777-B2777)*24</f>
        <v/>
      </c>
      <c r="E2777" s="5">
        <f>IF(AND(HOUR(B2777)&gt;=6,HOUR(B2777)&lt;18),"Day Shift","Night Shift")</f>
        <v/>
      </c>
      <c r="F2777" s="6">
        <f>INT(B2777)</f>
        <v/>
      </c>
      <c r="G2777" s="6">
        <f>INT(C2777)</f>
        <v/>
      </c>
    </row>
    <row r="2778">
      <c r="A2778" s="2" t="inlineStr">
        <is>
          <t>EXD98</t>
        </is>
      </c>
      <c r="B2778" s="3" t="n">
        <v>46080.47059027778</v>
      </c>
      <c r="C2778" s="3" t="n">
        <v>46080.75</v>
      </c>
      <c r="D2778" s="4">
        <f>(C2778-B2778)*24</f>
        <v/>
      </c>
      <c r="E2778" s="5">
        <f>IF(AND(HOUR(B2778)&gt;=6,HOUR(B2778)&lt;18),"Day Shift","Night Shift")</f>
        <v/>
      </c>
      <c r="F2778" s="6">
        <f>INT(B2778)</f>
        <v/>
      </c>
      <c r="G2778" s="6">
        <f>INT(C2778)</f>
        <v/>
      </c>
    </row>
    <row r="2779">
      <c r="A2779" s="7" t="inlineStr">
        <is>
          <t>EXD98</t>
        </is>
      </c>
      <c r="B2779" s="8" t="n">
        <v>46080.75</v>
      </c>
      <c r="C2779" s="8" t="n">
        <v>46080.85157407408</v>
      </c>
      <c r="D2779" s="9">
        <f>(C2779-B2779)*24</f>
        <v/>
      </c>
      <c r="E2779" s="10">
        <f>IF(AND(HOUR(B2779)&gt;=6,HOUR(B2779)&lt;18),"Day Shift","Night Shift")</f>
        <v/>
      </c>
      <c r="F2779" s="11">
        <f>INT(B2779)</f>
        <v/>
      </c>
      <c r="G2779" s="11">
        <f>INT(C2779)</f>
        <v/>
      </c>
    </row>
    <row r="2780">
      <c r="A2780" s="2" t="inlineStr">
        <is>
          <t>EXD408</t>
        </is>
      </c>
      <c r="B2780" s="3" t="n">
        <v>46080.588125</v>
      </c>
      <c r="C2780" s="3" t="n">
        <v>46080.75</v>
      </c>
      <c r="D2780" s="4">
        <f>(C2780-B2780)*24</f>
        <v/>
      </c>
      <c r="E2780" s="5">
        <f>IF(AND(HOUR(B2780)&gt;=6,HOUR(B2780)&lt;18),"Day Shift","Night Shift")</f>
        <v/>
      </c>
      <c r="F2780" s="6">
        <f>INT(B2780)</f>
        <v/>
      </c>
      <c r="G2780" s="6">
        <f>INT(C2780)</f>
        <v/>
      </c>
    </row>
    <row r="2781">
      <c r="A2781" s="7" t="inlineStr">
        <is>
          <t>EXD408</t>
        </is>
      </c>
      <c r="B2781" s="8" t="n">
        <v>46080.75</v>
      </c>
      <c r="C2781" s="8" t="n">
        <v>46081.25</v>
      </c>
      <c r="D2781" s="9">
        <f>(C2781-B2781)*24</f>
        <v/>
      </c>
      <c r="E2781" s="10">
        <f>IF(AND(HOUR(B2781)&gt;=6,HOUR(B2781)&lt;18),"Day Shift","Night Shift")</f>
        <v/>
      </c>
      <c r="F2781" s="11">
        <f>INT(B2781)</f>
        <v/>
      </c>
      <c r="G2781" s="11">
        <f>INT(C2781)</f>
        <v/>
      </c>
    </row>
    <row r="2782">
      <c r="A2782" s="2" t="inlineStr">
        <is>
          <t>EXD408</t>
        </is>
      </c>
      <c r="B2782" s="3" t="n">
        <v>46081.25</v>
      </c>
      <c r="C2782" s="3" t="n">
        <v>46081.75</v>
      </c>
      <c r="D2782" s="4">
        <f>(C2782-B2782)*24</f>
        <v/>
      </c>
      <c r="E2782" s="5">
        <f>IF(AND(HOUR(B2782)&gt;=6,HOUR(B2782)&lt;18),"Day Shift","Night Shift")</f>
        <v/>
      </c>
      <c r="F2782" s="6">
        <f>INT(B2782)</f>
        <v/>
      </c>
      <c r="G2782" s="6">
        <f>INT(C2782)</f>
        <v/>
      </c>
    </row>
    <row r="2783">
      <c r="A2783" s="7" t="inlineStr">
        <is>
          <t>EXD408</t>
        </is>
      </c>
      <c r="B2783" s="8" t="n">
        <v>46081.75</v>
      </c>
      <c r="C2783" s="8" t="n">
        <v>46082.19309027777</v>
      </c>
      <c r="D2783" s="9">
        <f>(C2783-B2783)*24</f>
        <v/>
      </c>
      <c r="E2783" s="10">
        <f>IF(AND(HOUR(B2783)&gt;=6,HOUR(B2783)&lt;18),"Day Shift","Night Shift")</f>
        <v/>
      </c>
      <c r="F2783" s="11">
        <f>INT(B2783)</f>
        <v/>
      </c>
      <c r="G2783" s="11">
        <f>INT(C2783)</f>
        <v/>
      </c>
    </row>
    <row r="2784">
      <c r="A2784" s="2" t="inlineStr">
        <is>
          <t>EDD2541</t>
        </is>
      </c>
      <c r="B2784" s="3" t="n">
        <v>46080.60572916667</v>
      </c>
      <c r="C2784" s="3" t="n">
        <v>46080.75</v>
      </c>
      <c r="D2784" s="4">
        <f>(C2784-B2784)*24</f>
        <v/>
      </c>
      <c r="E2784" s="5">
        <f>IF(AND(HOUR(B2784)&gt;=6,HOUR(B2784)&lt;18),"Day Shift","Night Shift")</f>
        <v/>
      </c>
      <c r="F2784" s="6">
        <f>INT(B2784)</f>
        <v/>
      </c>
      <c r="G2784" s="6">
        <f>INT(C2784)</f>
        <v/>
      </c>
    </row>
    <row r="2785">
      <c r="A2785" s="7" t="inlineStr">
        <is>
          <t>EDD2541</t>
        </is>
      </c>
      <c r="B2785" s="8" t="n">
        <v>46080.75</v>
      </c>
      <c r="C2785" s="8" t="n">
        <v>46081.0171875</v>
      </c>
      <c r="D2785" s="9">
        <f>(C2785-B2785)*24</f>
        <v/>
      </c>
      <c r="E2785" s="10">
        <f>IF(AND(HOUR(B2785)&gt;=6,HOUR(B2785)&lt;18),"Day Shift","Night Shift")</f>
        <v/>
      </c>
      <c r="F2785" s="11">
        <f>INT(B2785)</f>
        <v/>
      </c>
      <c r="G2785" s="11">
        <f>INT(C2785)</f>
        <v/>
      </c>
    </row>
    <row r="2786">
      <c r="A2786" s="2" t="inlineStr">
        <is>
          <t>EXD407</t>
        </is>
      </c>
      <c r="B2786" s="3" t="n">
        <v>46080.62626157407</v>
      </c>
      <c r="C2786" s="3" t="n">
        <v>46080.75</v>
      </c>
      <c r="D2786" s="4">
        <f>(C2786-B2786)*24</f>
        <v/>
      </c>
      <c r="E2786" s="5">
        <f>IF(AND(HOUR(B2786)&gt;=6,HOUR(B2786)&lt;18),"Day Shift","Night Shift")</f>
        <v/>
      </c>
      <c r="F2786" s="6">
        <f>INT(B2786)</f>
        <v/>
      </c>
      <c r="G2786" s="6">
        <f>INT(C2786)</f>
        <v/>
      </c>
    </row>
    <row r="2787">
      <c r="A2787" s="7" t="inlineStr">
        <is>
          <t>EXD407</t>
        </is>
      </c>
      <c r="B2787" s="8" t="n">
        <v>46080.75</v>
      </c>
      <c r="C2787" s="8" t="n">
        <v>46080.90231481481</v>
      </c>
      <c r="D2787" s="9">
        <f>(C2787-B2787)*24</f>
        <v/>
      </c>
      <c r="E2787" s="10">
        <f>IF(AND(HOUR(B2787)&gt;=6,HOUR(B2787)&lt;18),"Day Shift","Night Shift")</f>
        <v/>
      </c>
      <c r="F2787" s="11">
        <f>INT(B2787)</f>
        <v/>
      </c>
      <c r="G2787" s="11">
        <f>INT(C2787)</f>
        <v/>
      </c>
    </row>
    <row r="2788">
      <c r="A2788" s="2" t="inlineStr">
        <is>
          <t>SHE36</t>
        </is>
      </c>
      <c r="B2788" s="3" t="n">
        <v>46080.63019675926</v>
      </c>
      <c r="C2788" s="3" t="n">
        <v>46080.75</v>
      </c>
      <c r="D2788" s="4">
        <f>(C2788-B2788)*24</f>
        <v/>
      </c>
      <c r="E2788" s="5">
        <f>IF(AND(HOUR(B2788)&gt;=6,HOUR(B2788)&lt;18),"Day Shift","Night Shift")</f>
        <v/>
      </c>
      <c r="F2788" s="6">
        <f>INT(B2788)</f>
        <v/>
      </c>
      <c r="G2788" s="6">
        <f>INT(C2788)</f>
        <v/>
      </c>
    </row>
    <row r="2789">
      <c r="A2789" s="7" t="inlineStr">
        <is>
          <t>SHE36</t>
        </is>
      </c>
      <c r="B2789" s="8" t="n">
        <v>46080.75</v>
      </c>
      <c r="C2789" s="8" t="n">
        <v>46081.25</v>
      </c>
      <c r="D2789" s="9">
        <f>(C2789-B2789)*24</f>
        <v/>
      </c>
      <c r="E2789" s="10">
        <f>IF(AND(HOUR(B2789)&gt;=6,HOUR(B2789)&lt;18),"Day Shift","Night Shift")</f>
        <v/>
      </c>
      <c r="F2789" s="11">
        <f>INT(B2789)</f>
        <v/>
      </c>
      <c r="G2789" s="11">
        <f>INT(C2789)</f>
        <v/>
      </c>
    </row>
    <row r="2790">
      <c r="A2790" s="2" t="inlineStr">
        <is>
          <t>SHE36</t>
        </is>
      </c>
      <c r="B2790" s="3" t="n">
        <v>46081.25</v>
      </c>
      <c r="C2790" s="3" t="n">
        <v>46081.73371527778</v>
      </c>
      <c r="D2790" s="4">
        <f>(C2790-B2790)*24</f>
        <v/>
      </c>
      <c r="E2790" s="5">
        <f>IF(AND(HOUR(B2790)&gt;=6,HOUR(B2790)&lt;18),"Day Shift","Night Shift")</f>
        <v/>
      </c>
      <c r="F2790" s="6">
        <f>INT(B2790)</f>
        <v/>
      </c>
      <c r="G2790" s="6">
        <f>INT(C2790)</f>
        <v/>
      </c>
    </row>
    <row r="2791">
      <c r="A2791" s="2" t="inlineStr">
        <is>
          <t>EDD1932</t>
        </is>
      </c>
      <c r="B2791" s="3" t="n">
        <v>46080.65153935185</v>
      </c>
      <c r="C2791" s="3" t="n">
        <v>46080.75</v>
      </c>
      <c r="D2791" s="4">
        <f>(C2791-B2791)*24</f>
        <v/>
      </c>
      <c r="E2791" s="5">
        <f>IF(AND(HOUR(B2791)&gt;=6,HOUR(B2791)&lt;18),"Day Shift","Night Shift")</f>
        <v/>
      </c>
      <c r="F2791" s="6">
        <f>INT(B2791)</f>
        <v/>
      </c>
      <c r="G2791" s="6">
        <f>INT(C2791)</f>
        <v/>
      </c>
    </row>
    <row r="2792">
      <c r="A2792" s="7" t="inlineStr">
        <is>
          <t>EDD1932</t>
        </is>
      </c>
      <c r="B2792" s="8" t="n">
        <v>46080.75</v>
      </c>
      <c r="C2792" s="8" t="n">
        <v>46081.25</v>
      </c>
      <c r="D2792" s="9">
        <f>(C2792-B2792)*24</f>
        <v/>
      </c>
      <c r="E2792" s="10">
        <f>IF(AND(HOUR(B2792)&gt;=6,HOUR(B2792)&lt;18),"Day Shift","Night Shift")</f>
        <v/>
      </c>
      <c r="F2792" s="11">
        <f>INT(B2792)</f>
        <v/>
      </c>
      <c r="G2792" s="11">
        <f>INT(C2792)</f>
        <v/>
      </c>
    </row>
    <row r="2793">
      <c r="A2793" s="2" t="inlineStr">
        <is>
          <t>EDD1932</t>
        </is>
      </c>
      <c r="B2793" s="3" t="n">
        <v>46081.25</v>
      </c>
      <c r="C2793" s="3" t="n">
        <v>46081.46623842593</v>
      </c>
      <c r="D2793" s="4">
        <f>(C2793-B2793)*24</f>
        <v/>
      </c>
      <c r="E2793" s="5">
        <f>IF(AND(HOUR(B2793)&gt;=6,HOUR(B2793)&lt;18),"Day Shift","Night Shift")</f>
        <v/>
      </c>
      <c r="F2793" s="6">
        <f>INT(B2793)</f>
        <v/>
      </c>
      <c r="G2793" s="6">
        <f>INT(C2793)</f>
        <v/>
      </c>
    </row>
    <row r="2794">
      <c r="A2794" s="2" t="inlineStr">
        <is>
          <t>EXD409</t>
        </is>
      </c>
      <c r="B2794" s="3" t="n">
        <v>46080.65726851852</v>
      </c>
      <c r="C2794" s="3" t="n">
        <v>46080.75</v>
      </c>
      <c r="D2794" s="4">
        <f>(C2794-B2794)*24</f>
        <v/>
      </c>
      <c r="E2794" s="5">
        <f>IF(AND(HOUR(B2794)&gt;=6,HOUR(B2794)&lt;18),"Day Shift","Night Shift")</f>
        <v/>
      </c>
      <c r="F2794" s="6">
        <f>INT(B2794)</f>
        <v/>
      </c>
      <c r="G2794" s="6">
        <f>INT(C2794)</f>
        <v/>
      </c>
    </row>
    <row r="2795">
      <c r="A2795" s="7" t="inlineStr">
        <is>
          <t>EXD409</t>
        </is>
      </c>
      <c r="B2795" s="8" t="n">
        <v>46080.75</v>
      </c>
      <c r="C2795" s="8" t="n">
        <v>46081.22101851852</v>
      </c>
      <c r="D2795" s="9">
        <f>(C2795-B2795)*24</f>
        <v/>
      </c>
      <c r="E2795" s="10">
        <f>IF(AND(HOUR(B2795)&gt;=6,HOUR(B2795)&lt;18),"Day Shift","Night Shift")</f>
        <v/>
      </c>
      <c r="F2795" s="11">
        <f>INT(B2795)</f>
        <v/>
      </c>
      <c r="G2795" s="11">
        <f>INT(C2795)</f>
        <v/>
      </c>
    </row>
    <row r="2796">
      <c r="A2796" s="2" t="inlineStr">
        <is>
          <t>EDD175;EDD2134</t>
        </is>
      </c>
      <c r="B2796" s="3" t="n">
        <v>46080.71273148148</v>
      </c>
      <c r="C2796" s="3" t="n">
        <v>46080.75</v>
      </c>
      <c r="D2796" s="4">
        <f>(C2796-B2796)*24</f>
        <v/>
      </c>
      <c r="E2796" s="5">
        <f>IF(AND(HOUR(B2796)&gt;=6,HOUR(B2796)&lt;18),"Day Shift","Night Shift")</f>
        <v/>
      </c>
      <c r="F2796" s="6">
        <f>INT(B2796)</f>
        <v/>
      </c>
      <c r="G2796" s="6">
        <f>INT(C2796)</f>
        <v/>
      </c>
    </row>
    <row r="2797">
      <c r="A2797" s="7" t="inlineStr">
        <is>
          <t>EDD175;EDD2134</t>
        </is>
      </c>
      <c r="B2797" s="8" t="n">
        <v>46080.75</v>
      </c>
      <c r="C2797" s="8" t="n">
        <v>46081.0846875</v>
      </c>
      <c r="D2797" s="9">
        <f>(C2797-B2797)*24</f>
        <v/>
      </c>
      <c r="E2797" s="10">
        <f>IF(AND(HOUR(B2797)&gt;=6,HOUR(B2797)&lt;18),"Day Shift","Night Shift")</f>
        <v/>
      </c>
      <c r="F2797" s="11">
        <f>INT(B2797)</f>
        <v/>
      </c>
      <c r="G2797" s="11">
        <f>INT(C2797)</f>
        <v/>
      </c>
    </row>
    <row r="2798">
      <c r="A2798" s="7" t="inlineStr">
        <is>
          <t>Stag Drill</t>
        </is>
      </c>
      <c r="B2798" s="8" t="n">
        <v>46080.7678125</v>
      </c>
      <c r="C2798" s="8" t="n">
        <v>46081.18986111111</v>
      </c>
      <c r="D2798" s="9">
        <f>(C2798-B2798)*24</f>
        <v/>
      </c>
      <c r="E2798" s="10">
        <f>IF(AND(HOUR(B2798)&gt;=6,HOUR(B2798)&lt;18),"Day Shift","Night Shift")</f>
        <v/>
      </c>
      <c r="F2798" s="11">
        <f>INT(B2798)</f>
        <v/>
      </c>
      <c r="G2798" s="11">
        <f>INT(C2798)</f>
        <v/>
      </c>
    </row>
    <row r="2799">
      <c r="A2799" s="7" t="inlineStr">
        <is>
          <t>EXD98</t>
        </is>
      </c>
      <c r="B2799" s="8" t="n">
        <v>46080.85157407408</v>
      </c>
      <c r="C2799" s="8" t="n">
        <v>46081.14068287037</v>
      </c>
      <c r="D2799" s="9">
        <f>(C2799-B2799)*24</f>
        <v/>
      </c>
      <c r="E2799" s="10">
        <f>IF(AND(HOUR(B2799)&gt;=6,HOUR(B2799)&lt;18),"Day Shift","Night Shift")</f>
        <v/>
      </c>
      <c r="F2799" s="11">
        <f>INT(B2799)</f>
        <v/>
      </c>
      <c r="G2799" s="11">
        <f>INT(C2799)</f>
        <v/>
      </c>
    </row>
    <row r="2800">
      <c r="A2800" s="7" t="inlineStr">
        <is>
          <t>EXD407</t>
        </is>
      </c>
      <c r="B2800" s="8" t="n">
        <v>46080.90231481481</v>
      </c>
      <c r="C2800" s="8" t="n">
        <v>46081.25</v>
      </c>
      <c r="D2800" s="9">
        <f>(C2800-B2800)*24</f>
        <v/>
      </c>
      <c r="E2800" s="10">
        <f>IF(AND(HOUR(B2800)&gt;=6,HOUR(B2800)&lt;18),"Day Shift","Night Shift")</f>
        <v/>
      </c>
      <c r="F2800" s="11">
        <f>INT(B2800)</f>
        <v/>
      </c>
      <c r="G2800" s="11">
        <f>INT(C2800)</f>
        <v/>
      </c>
    </row>
    <row r="2801">
      <c r="A2801" s="2" t="inlineStr">
        <is>
          <t>EXD407</t>
        </is>
      </c>
      <c r="B2801" s="3" t="n">
        <v>46081.25</v>
      </c>
      <c r="C2801" s="3" t="n">
        <v>46081.75</v>
      </c>
      <c r="D2801" s="4">
        <f>(C2801-B2801)*24</f>
        <v/>
      </c>
      <c r="E2801" s="5">
        <f>IF(AND(HOUR(B2801)&gt;=6,HOUR(B2801)&lt;18),"Day Shift","Night Shift")</f>
        <v/>
      </c>
      <c r="F2801" s="6">
        <f>INT(B2801)</f>
        <v/>
      </c>
      <c r="G2801" s="6">
        <f>INT(C2801)</f>
        <v/>
      </c>
    </row>
    <row r="2802">
      <c r="A2802" s="7" t="inlineStr">
        <is>
          <t>EXD407</t>
        </is>
      </c>
      <c r="B2802" s="8" t="n">
        <v>46081.75</v>
      </c>
      <c r="C2802" s="8" t="n">
        <v>46082.25</v>
      </c>
      <c r="D2802" s="9">
        <f>(C2802-B2802)*24</f>
        <v/>
      </c>
      <c r="E2802" s="10">
        <f>IF(AND(HOUR(B2802)&gt;=6,HOUR(B2802)&lt;18),"Day Shift","Night Shift")</f>
        <v/>
      </c>
      <c r="F2802" s="11">
        <f>INT(B2802)</f>
        <v/>
      </c>
      <c r="G2802" s="11">
        <f>INT(C2802)</f>
        <v/>
      </c>
    </row>
    <row r="2803">
      <c r="A2803" s="2" t="inlineStr">
        <is>
          <t>EXD407</t>
        </is>
      </c>
      <c r="B2803" s="3" t="n">
        <v>46082.25</v>
      </c>
      <c r="C2803" s="3" t="n">
        <v>46082.58459490741</v>
      </c>
      <c r="D2803" s="4">
        <f>(C2803-B2803)*24</f>
        <v/>
      </c>
      <c r="E2803" s="5">
        <f>IF(AND(HOUR(B2803)&gt;=6,HOUR(B2803)&lt;18),"Day Shift","Night Shift")</f>
        <v/>
      </c>
      <c r="F2803" s="6">
        <f>INT(B2803)</f>
        <v/>
      </c>
      <c r="G2803" s="6">
        <f>INT(C2803)</f>
        <v/>
      </c>
    </row>
    <row r="2804">
      <c r="A2804" s="7" t="inlineStr">
        <is>
          <t>EXD100</t>
        </is>
      </c>
      <c r="B2804" s="8" t="n">
        <v>46080.90530092592</v>
      </c>
      <c r="C2804" s="8" t="n">
        <v>46081.23371527778</v>
      </c>
      <c r="D2804" s="9">
        <f>(C2804-B2804)*24</f>
        <v/>
      </c>
      <c r="E2804" s="10">
        <f>IF(AND(HOUR(B2804)&gt;=6,HOUR(B2804)&lt;18),"Day Shift","Night Shift")</f>
        <v/>
      </c>
      <c r="F2804" s="11">
        <f>INT(B2804)</f>
        <v/>
      </c>
      <c r="G2804" s="11">
        <f>INT(C2804)</f>
        <v/>
      </c>
    </row>
    <row r="2805">
      <c r="A2805" s="7" t="inlineStr">
        <is>
          <t>EXD56</t>
        </is>
      </c>
      <c r="B2805" s="8" t="n">
        <v>46080.9328125</v>
      </c>
      <c r="C2805" s="8" t="n">
        <v>46081.12195601852</v>
      </c>
      <c r="D2805" s="9">
        <f>(C2805-B2805)*24</f>
        <v/>
      </c>
      <c r="E2805" s="10">
        <f>IF(AND(HOUR(B2805)&gt;=6,HOUR(B2805)&lt;18),"Day Shift","Night Shift")</f>
        <v/>
      </c>
      <c r="F2805" s="11">
        <f>INT(B2805)</f>
        <v/>
      </c>
      <c r="G2805" s="11">
        <f>INT(C2805)</f>
        <v/>
      </c>
    </row>
    <row r="2806">
      <c r="A2806" s="7" t="inlineStr">
        <is>
          <t>EXD101</t>
        </is>
      </c>
      <c r="B2806" s="8" t="n">
        <v>46080.98099537037</v>
      </c>
      <c r="C2806" s="8" t="n">
        <v>46081.25</v>
      </c>
      <c r="D2806" s="9">
        <f>(C2806-B2806)*24</f>
        <v/>
      </c>
      <c r="E2806" s="10">
        <f>IF(AND(HOUR(B2806)&gt;=6,HOUR(B2806)&lt;18),"Day Shift","Night Shift")</f>
        <v/>
      </c>
      <c r="F2806" s="11">
        <f>INT(B2806)</f>
        <v/>
      </c>
      <c r="G2806" s="11">
        <f>INT(C2806)</f>
        <v/>
      </c>
    </row>
    <row r="2807">
      <c r="A2807" s="2" t="inlineStr">
        <is>
          <t>EXD101</t>
        </is>
      </c>
      <c r="B2807" s="3" t="n">
        <v>46081.25</v>
      </c>
      <c r="C2807" s="3" t="n">
        <v>46081.75</v>
      </c>
      <c r="D2807" s="4">
        <f>(C2807-B2807)*24</f>
        <v/>
      </c>
      <c r="E2807" s="5">
        <f>IF(AND(HOUR(B2807)&gt;=6,HOUR(B2807)&lt;18),"Day Shift","Night Shift")</f>
        <v/>
      </c>
      <c r="F2807" s="6">
        <f>INT(B2807)</f>
        <v/>
      </c>
      <c r="G2807" s="6">
        <f>INT(C2807)</f>
        <v/>
      </c>
    </row>
    <row r="2808">
      <c r="A2808" s="7" t="inlineStr">
        <is>
          <t>EXD101</t>
        </is>
      </c>
      <c r="B2808" s="8" t="n">
        <v>46081.75</v>
      </c>
      <c r="C2808" s="8" t="n">
        <v>46082.25</v>
      </c>
      <c r="D2808" s="9">
        <f>(C2808-B2808)*24</f>
        <v/>
      </c>
      <c r="E2808" s="10">
        <f>IF(AND(HOUR(B2808)&gt;=6,HOUR(B2808)&lt;18),"Day Shift","Night Shift")</f>
        <v/>
      </c>
      <c r="F2808" s="11">
        <f>INT(B2808)</f>
        <v/>
      </c>
      <c r="G2808" s="11">
        <f>INT(C2808)</f>
        <v/>
      </c>
    </row>
    <row r="2809">
      <c r="A2809" s="2" t="inlineStr">
        <is>
          <t>EXD101</t>
        </is>
      </c>
      <c r="B2809" s="3" t="n">
        <v>46082.25</v>
      </c>
      <c r="C2809" s="3" t="n">
        <v>46082.29019675926</v>
      </c>
      <c r="D2809" s="4">
        <f>(C2809-B2809)*24</f>
        <v/>
      </c>
      <c r="E2809" s="5">
        <f>IF(AND(HOUR(B2809)&gt;=6,HOUR(B2809)&lt;18),"Day Shift","Night Shift")</f>
        <v/>
      </c>
      <c r="F2809" s="6">
        <f>INT(B2809)</f>
        <v/>
      </c>
      <c r="G2809" s="6">
        <f>INT(C2809)</f>
        <v/>
      </c>
    </row>
    <row r="2810">
      <c r="A2810" s="7" t="inlineStr">
        <is>
          <t>EDD2541</t>
        </is>
      </c>
      <c r="B2810" s="8" t="n">
        <v>46081.0171875</v>
      </c>
      <c r="C2810" s="8" t="n">
        <v>46081.25</v>
      </c>
      <c r="D2810" s="9">
        <f>(C2810-B2810)*24</f>
        <v/>
      </c>
      <c r="E2810" s="10">
        <f>IF(AND(HOUR(B2810)&gt;=6,HOUR(B2810)&lt;18),"Day Shift","Night Shift")</f>
        <v/>
      </c>
      <c r="F2810" s="11">
        <f>INT(B2810)</f>
        <v/>
      </c>
      <c r="G2810" s="11">
        <f>INT(C2810)</f>
        <v/>
      </c>
    </row>
    <row r="2811">
      <c r="A2811" s="2" t="inlineStr">
        <is>
          <t>EDD2541</t>
        </is>
      </c>
      <c r="B2811" s="3" t="n">
        <v>46081.25</v>
      </c>
      <c r="C2811" s="3" t="n">
        <v>46081.3965625</v>
      </c>
      <c r="D2811" s="4">
        <f>(C2811-B2811)*24</f>
        <v/>
      </c>
      <c r="E2811" s="5">
        <f>IF(AND(HOUR(B2811)&gt;=6,HOUR(B2811)&lt;18),"Day Shift","Night Shift")</f>
        <v/>
      </c>
      <c r="F2811" s="6">
        <f>INT(B2811)</f>
        <v/>
      </c>
      <c r="G2811" s="6">
        <f>INT(C2811)</f>
        <v/>
      </c>
    </row>
    <row r="2812">
      <c r="A2812" s="7" t="inlineStr">
        <is>
          <t>EDD175;EDD2134</t>
        </is>
      </c>
      <c r="B2812" s="8" t="n">
        <v>46081.0846875</v>
      </c>
      <c r="C2812" s="8" t="n">
        <v>46081.25</v>
      </c>
      <c r="D2812" s="9">
        <f>(C2812-B2812)*24</f>
        <v/>
      </c>
      <c r="E2812" s="10">
        <f>IF(AND(HOUR(B2812)&gt;=6,HOUR(B2812)&lt;18),"Day Shift","Night Shift")</f>
        <v/>
      </c>
      <c r="F2812" s="11">
        <f>INT(B2812)</f>
        <v/>
      </c>
      <c r="G2812" s="11">
        <f>INT(C2812)</f>
        <v/>
      </c>
    </row>
    <row r="2813">
      <c r="A2813" s="2" t="inlineStr">
        <is>
          <t>EDD175;EDD2134</t>
        </is>
      </c>
      <c r="B2813" s="3" t="n">
        <v>46081.25</v>
      </c>
      <c r="C2813" s="3" t="n">
        <v>46081.75</v>
      </c>
      <c r="D2813" s="4">
        <f>(C2813-B2813)*24</f>
        <v/>
      </c>
      <c r="E2813" s="5">
        <f>IF(AND(HOUR(B2813)&gt;=6,HOUR(B2813)&lt;18),"Day Shift","Night Shift")</f>
        <v/>
      </c>
      <c r="F2813" s="6">
        <f>INT(B2813)</f>
        <v/>
      </c>
      <c r="G2813" s="6">
        <f>INT(C2813)</f>
        <v/>
      </c>
    </row>
    <row r="2814">
      <c r="A2814" s="7" t="inlineStr">
        <is>
          <t>EDD175;EDD2134</t>
        </is>
      </c>
      <c r="B2814" s="8" t="n">
        <v>46081.75</v>
      </c>
      <c r="C2814" s="8" t="n">
        <v>46081.76636574074</v>
      </c>
      <c r="D2814" s="9">
        <f>(C2814-B2814)*24</f>
        <v/>
      </c>
      <c r="E2814" s="10">
        <f>IF(AND(HOUR(B2814)&gt;=6,HOUR(B2814)&lt;18),"Day Shift","Night Shift")</f>
        <v/>
      </c>
      <c r="F2814" s="11">
        <f>INT(B2814)</f>
        <v/>
      </c>
      <c r="G2814" s="11">
        <f>INT(C2814)</f>
        <v/>
      </c>
    </row>
    <row r="2815">
      <c r="A2815" s="7" t="inlineStr">
        <is>
          <t>EXD60</t>
        </is>
      </c>
      <c r="B2815" s="8" t="n">
        <v>46081.09121527777</v>
      </c>
      <c r="C2815" s="8" t="n">
        <v>46081.25</v>
      </c>
      <c r="D2815" s="9">
        <f>(C2815-B2815)*24</f>
        <v/>
      </c>
      <c r="E2815" s="10">
        <f>IF(AND(HOUR(B2815)&gt;=6,HOUR(B2815)&lt;18),"Day Shift","Night Shift")</f>
        <v/>
      </c>
      <c r="F2815" s="11">
        <f>INT(B2815)</f>
        <v/>
      </c>
      <c r="G2815" s="11">
        <f>INT(C2815)</f>
        <v/>
      </c>
    </row>
    <row r="2816">
      <c r="A2816" s="2" t="inlineStr">
        <is>
          <t>EXD60</t>
        </is>
      </c>
      <c r="B2816" s="3" t="n">
        <v>46081.25</v>
      </c>
      <c r="C2816" s="3" t="n">
        <v>46081.75</v>
      </c>
      <c r="D2816" s="4">
        <f>(C2816-B2816)*24</f>
        <v/>
      </c>
      <c r="E2816" s="5">
        <f>IF(AND(HOUR(B2816)&gt;=6,HOUR(B2816)&lt;18),"Day Shift","Night Shift")</f>
        <v/>
      </c>
      <c r="F2816" s="6">
        <f>INT(B2816)</f>
        <v/>
      </c>
      <c r="G2816" s="6">
        <f>INT(C2816)</f>
        <v/>
      </c>
    </row>
    <row r="2817">
      <c r="A2817" s="7" t="inlineStr">
        <is>
          <t>EXD60</t>
        </is>
      </c>
      <c r="B2817" s="8" t="n">
        <v>46081.75</v>
      </c>
      <c r="C2817" s="8" t="n">
        <v>46082.25</v>
      </c>
      <c r="D2817" s="9">
        <f>(C2817-B2817)*24</f>
        <v/>
      </c>
      <c r="E2817" s="10">
        <f>IF(AND(HOUR(B2817)&gt;=6,HOUR(B2817)&lt;18),"Day Shift","Night Shift")</f>
        <v/>
      </c>
      <c r="F2817" s="11">
        <f>INT(B2817)</f>
        <v/>
      </c>
      <c r="G2817" s="11">
        <f>INT(C2817)</f>
        <v/>
      </c>
    </row>
    <row r="2818">
      <c r="A2818" s="2" t="inlineStr">
        <is>
          <t>EXD60</t>
        </is>
      </c>
      <c r="B2818" s="3" t="n">
        <v>46082.25</v>
      </c>
      <c r="C2818" s="3" t="n">
        <v>46082.75</v>
      </c>
      <c r="D2818" s="4">
        <f>(C2818-B2818)*24</f>
        <v/>
      </c>
      <c r="E2818" s="5">
        <f>IF(AND(HOUR(B2818)&gt;=6,HOUR(B2818)&lt;18),"Day Shift","Night Shift")</f>
        <v/>
      </c>
      <c r="F2818" s="6">
        <f>INT(B2818)</f>
        <v/>
      </c>
      <c r="G2818" s="6">
        <f>INT(C2818)</f>
        <v/>
      </c>
    </row>
    <row r="2819">
      <c r="A2819" s="7" t="inlineStr">
        <is>
          <t>EXD60</t>
        </is>
      </c>
      <c r="B2819" s="8" t="n">
        <v>46082.75</v>
      </c>
      <c r="C2819" s="8" t="n">
        <v>46083.25</v>
      </c>
      <c r="D2819" s="9">
        <f>(C2819-B2819)*24</f>
        <v/>
      </c>
      <c r="E2819" s="10">
        <f>IF(AND(HOUR(B2819)&gt;=6,HOUR(B2819)&lt;18),"Day Shift","Night Shift")</f>
        <v/>
      </c>
      <c r="F2819" s="11">
        <f>INT(B2819)</f>
        <v/>
      </c>
      <c r="G2819" s="11">
        <f>INT(C2819)</f>
        <v/>
      </c>
    </row>
    <row r="2820">
      <c r="A2820" s="2" t="inlineStr">
        <is>
          <t>EXD60</t>
        </is>
      </c>
      <c r="B2820" s="3" t="n">
        <v>46083.25</v>
      </c>
      <c r="C2820" s="3" t="n">
        <v>46083.61487268518</v>
      </c>
      <c r="D2820" s="4">
        <f>(C2820-B2820)*24</f>
        <v/>
      </c>
      <c r="E2820" s="5">
        <f>IF(AND(HOUR(B2820)&gt;=6,HOUR(B2820)&lt;18),"Day Shift","Night Shift")</f>
        <v/>
      </c>
      <c r="F2820" s="6">
        <f>INT(B2820)</f>
        <v/>
      </c>
      <c r="G2820" s="6">
        <f>INT(C2820)</f>
        <v/>
      </c>
    </row>
    <row r="2821">
      <c r="A2821" s="7" t="inlineStr">
        <is>
          <t>EXD56</t>
        </is>
      </c>
      <c r="B2821" s="8" t="n">
        <v>46081.12195601852</v>
      </c>
      <c r="C2821" s="8" t="n">
        <v>46081.25</v>
      </c>
      <c r="D2821" s="9">
        <f>(C2821-B2821)*24</f>
        <v/>
      </c>
      <c r="E2821" s="10">
        <f>IF(AND(HOUR(B2821)&gt;=6,HOUR(B2821)&lt;18),"Day Shift","Night Shift")</f>
        <v/>
      </c>
      <c r="F2821" s="11">
        <f>INT(B2821)</f>
        <v/>
      </c>
      <c r="G2821" s="11">
        <f>INT(C2821)</f>
        <v/>
      </c>
    </row>
    <row r="2822">
      <c r="A2822" s="2" t="inlineStr">
        <is>
          <t>EXD56</t>
        </is>
      </c>
      <c r="B2822" s="3" t="n">
        <v>46081.25</v>
      </c>
      <c r="C2822" s="3" t="n">
        <v>46081.75</v>
      </c>
      <c r="D2822" s="4">
        <f>(C2822-B2822)*24</f>
        <v/>
      </c>
      <c r="E2822" s="5">
        <f>IF(AND(HOUR(B2822)&gt;=6,HOUR(B2822)&lt;18),"Day Shift","Night Shift")</f>
        <v/>
      </c>
      <c r="F2822" s="6">
        <f>INT(B2822)</f>
        <v/>
      </c>
      <c r="G2822" s="6">
        <f>INT(C2822)</f>
        <v/>
      </c>
    </row>
    <row r="2823">
      <c r="A2823" s="7" t="inlineStr">
        <is>
          <t>EXD56</t>
        </is>
      </c>
      <c r="B2823" s="8" t="n">
        <v>46081.75</v>
      </c>
      <c r="C2823" s="8" t="n">
        <v>46082.25</v>
      </c>
      <c r="D2823" s="9">
        <f>(C2823-B2823)*24</f>
        <v/>
      </c>
      <c r="E2823" s="10">
        <f>IF(AND(HOUR(B2823)&gt;=6,HOUR(B2823)&lt;18),"Day Shift","Night Shift")</f>
        <v/>
      </c>
      <c r="F2823" s="11">
        <f>INT(B2823)</f>
        <v/>
      </c>
      <c r="G2823" s="11">
        <f>INT(C2823)</f>
        <v/>
      </c>
    </row>
    <row r="2824">
      <c r="A2824" s="2" t="inlineStr">
        <is>
          <t>EXD56</t>
        </is>
      </c>
      <c r="B2824" s="3" t="n">
        <v>46082.25</v>
      </c>
      <c r="C2824" s="3" t="n">
        <v>46082.44489583333</v>
      </c>
      <c r="D2824" s="4">
        <f>(C2824-B2824)*24</f>
        <v/>
      </c>
      <c r="E2824" s="5">
        <f>IF(AND(HOUR(B2824)&gt;=6,HOUR(B2824)&lt;18),"Day Shift","Night Shift")</f>
        <v/>
      </c>
      <c r="F2824" s="6">
        <f>INT(B2824)</f>
        <v/>
      </c>
      <c r="G2824" s="6">
        <f>INT(C2824)</f>
        <v/>
      </c>
    </row>
    <row r="2825">
      <c r="A2825" s="7" t="inlineStr">
        <is>
          <t>EXD98</t>
        </is>
      </c>
      <c r="B2825" s="8" t="n">
        <v>46081.14068287037</v>
      </c>
      <c r="C2825" s="8" t="n">
        <v>46081.25</v>
      </c>
      <c r="D2825" s="9">
        <f>(C2825-B2825)*24</f>
        <v/>
      </c>
      <c r="E2825" s="10">
        <f>IF(AND(HOUR(B2825)&gt;=6,HOUR(B2825)&lt;18),"Day Shift","Night Shift")</f>
        <v/>
      </c>
      <c r="F2825" s="11">
        <f>INT(B2825)</f>
        <v/>
      </c>
      <c r="G2825" s="11">
        <f>INT(C2825)</f>
        <v/>
      </c>
    </row>
    <row r="2826">
      <c r="A2826" s="2" t="inlineStr">
        <is>
          <t>EXD98</t>
        </is>
      </c>
      <c r="B2826" s="3" t="n">
        <v>46081.25</v>
      </c>
      <c r="C2826" s="3" t="n">
        <v>46081.68631944444</v>
      </c>
      <c r="D2826" s="4">
        <f>(C2826-B2826)*24</f>
        <v/>
      </c>
      <c r="E2826" s="5">
        <f>IF(AND(HOUR(B2826)&gt;=6,HOUR(B2826)&lt;18),"Day Shift","Night Shift")</f>
        <v/>
      </c>
      <c r="F2826" s="6">
        <f>INT(B2826)</f>
        <v/>
      </c>
      <c r="G2826" s="6">
        <f>INT(C2826)</f>
        <v/>
      </c>
    </row>
    <row r="2827">
      <c r="A2827" s="7" t="inlineStr">
        <is>
          <t>DRE42</t>
        </is>
      </c>
      <c r="B2827" s="8" t="n">
        <v>46081.19917824074</v>
      </c>
      <c r="C2827" s="8" t="n">
        <v>46081.25</v>
      </c>
      <c r="D2827" s="9">
        <f>(C2827-B2827)*24</f>
        <v/>
      </c>
      <c r="E2827" s="10">
        <f>IF(AND(HOUR(B2827)&gt;=6,HOUR(B2827)&lt;18),"Day Shift","Night Shift")</f>
        <v/>
      </c>
      <c r="F2827" s="11">
        <f>INT(B2827)</f>
        <v/>
      </c>
      <c r="G2827" s="11">
        <f>INT(C2827)</f>
        <v/>
      </c>
    </row>
    <row r="2828">
      <c r="A2828" s="2" t="inlineStr">
        <is>
          <t>DRE42</t>
        </is>
      </c>
      <c r="B2828" s="3" t="n">
        <v>46081.25</v>
      </c>
      <c r="C2828" s="3" t="n">
        <v>46081.75</v>
      </c>
      <c r="D2828" s="4">
        <f>(C2828-B2828)*24</f>
        <v/>
      </c>
      <c r="E2828" s="5">
        <f>IF(AND(HOUR(B2828)&gt;=6,HOUR(B2828)&lt;18),"Day Shift","Night Shift")</f>
        <v/>
      </c>
      <c r="F2828" s="6">
        <f>INT(B2828)</f>
        <v/>
      </c>
      <c r="G2828" s="6">
        <f>INT(C2828)</f>
        <v/>
      </c>
    </row>
    <row r="2829">
      <c r="A2829" s="7" t="inlineStr">
        <is>
          <t>DRE42</t>
        </is>
      </c>
      <c r="B2829" s="8" t="n">
        <v>46081.75</v>
      </c>
      <c r="C2829" s="8" t="n">
        <v>46082.11153935185</v>
      </c>
      <c r="D2829" s="9">
        <f>(C2829-B2829)*24</f>
        <v/>
      </c>
      <c r="E2829" s="10">
        <f>IF(AND(HOUR(B2829)&gt;=6,HOUR(B2829)&lt;18),"Day Shift","Night Shift")</f>
        <v/>
      </c>
      <c r="F2829" s="11">
        <f>INT(B2829)</f>
        <v/>
      </c>
      <c r="G2829" s="11">
        <f>INT(C2829)</f>
        <v/>
      </c>
    </row>
    <row r="2830">
      <c r="A2830" s="7" t="inlineStr">
        <is>
          <t>EXD409</t>
        </is>
      </c>
      <c r="B2830" s="8" t="n">
        <v>46081.22101851852</v>
      </c>
      <c r="C2830" s="8" t="n">
        <v>46081.25</v>
      </c>
      <c r="D2830" s="9">
        <f>(C2830-B2830)*24</f>
        <v/>
      </c>
      <c r="E2830" s="10">
        <f>IF(AND(HOUR(B2830)&gt;=6,HOUR(B2830)&lt;18),"Day Shift","Night Shift")</f>
        <v/>
      </c>
      <c r="F2830" s="11">
        <f>INT(B2830)</f>
        <v/>
      </c>
      <c r="G2830" s="11">
        <f>INT(C2830)</f>
        <v/>
      </c>
    </row>
    <row r="2831">
      <c r="A2831" s="2" t="inlineStr">
        <is>
          <t>EXD409</t>
        </is>
      </c>
      <c r="B2831" s="3" t="n">
        <v>46081.25</v>
      </c>
      <c r="C2831" s="3" t="n">
        <v>46081.75</v>
      </c>
      <c r="D2831" s="4">
        <f>(C2831-B2831)*24</f>
        <v/>
      </c>
      <c r="E2831" s="5">
        <f>IF(AND(HOUR(B2831)&gt;=6,HOUR(B2831)&lt;18),"Day Shift","Night Shift")</f>
        <v/>
      </c>
      <c r="F2831" s="6">
        <f>INT(B2831)</f>
        <v/>
      </c>
      <c r="G2831" s="6">
        <f>INT(C2831)</f>
        <v/>
      </c>
    </row>
    <row r="2832">
      <c r="A2832" s="7" t="inlineStr">
        <is>
          <t>EXD409</t>
        </is>
      </c>
      <c r="B2832" s="8" t="n">
        <v>46081.75</v>
      </c>
      <c r="C2832" s="8" t="n">
        <v>46082.21445601852</v>
      </c>
      <c r="D2832" s="9">
        <f>(C2832-B2832)*24</f>
        <v/>
      </c>
      <c r="E2832" s="10">
        <f>IF(AND(HOUR(B2832)&gt;=6,HOUR(B2832)&lt;18),"Day Shift","Night Shift")</f>
        <v/>
      </c>
      <c r="F2832" s="11">
        <f>INT(B2832)</f>
        <v/>
      </c>
      <c r="G2832" s="11">
        <f>INT(C2832)</f>
        <v/>
      </c>
    </row>
    <row r="2833">
      <c r="A2833" s="7" t="inlineStr">
        <is>
          <t>EXD100</t>
        </is>
      </c>
      <c r="B2833" s="8" t="n">
        <v>46081.23371527778</v>
      </c>
      <c r="C2833" s="8" t="n">
        <v>46081.25</v>
      </c>
      <c r="D2833" s="9">
        <f>(C2833-B2833)*24</f>
        <v/>
      </c>
      <c r="E2833" s="10">
        <f>IF(AND(HOUR(B2833)&gt;=6,HOUR(B2833)&lt;18),"Day Shift","Night Shift")</f>
        <v/>
      </c>
      <c r="F2833" s="11">
        <f>INT(B2833)</f>
        <v/>
      </c>
      <c r="G2833" s="11">
        <f>INT(C2833)</f>
        <v/>
      </c>
    </row>
    <row r="2834">
      <c r="A2834" s="2" t="inlineStr">
        <is>
          <t>EXD100</t>
        </is>
      </c>
      <c r="B2834" s="3" t="n">
        <v>46081.25</v>
      </c>
      <c r="C2834" s="3" t="n">
        <v>46081.45053240741</v>
      </c>
      <c r="D2834" s="4">
        <f>(C2834-B2834)*24</f>
        <v/>
      </c>
      <c r="E2834" s="5">
        <f>IF(AND(HOUR(B2834)&gt;=6,HOUR(B2834)&lt;18),"Day Shift","Night Shift")</f>
        <v/>
      </c>
      <c r="F2834" s="6">
        <f>INT(B2834)</f>
        <v/>
      </c>
      <c r="G2834" s="6">
        <f>INT(C2834)</f>
        <v/>
      </c>
    </row>
    <row r="2835">
      <c r="A2835" s="7" t="inlineStr">
        <is>
          <t>Stag Drill</t>
        </is>
      </c>
      <c r="B2835" s="8" t="n">
        <v>46081.24055555555</v>
      </c>
      <c r="C2835" s="8" t="n">
        <v>46081.25</v>
      </c>
      <c r="D2835" s="9">
        <f>(C2835-B2835)*24</f>
        <v/>
      </c>
      <c r="E2835" s="10">
        <f>IF(AND(HOUR(B2835)&gt;=6,HOUR(B2835)&lt;18),"Day Shift","Night Shift")</f>
        <v/>
      </c>
      <c r="F2835" s="11">
        <f>INT(B2835)</f>
        <v/>
      </c>
      <c r="G2835" s="11">
        <f>INT(C2835)</f>
        <v/>
      </c>
    </row>
    <row r="2836">
      <c r="A2836" s="2" t="inlineStr">
        <is>
          <t>Stag Drill</t>
        </is>
      </c>
      <c r="B2836" s="3" t="n">
        <v>46081.25</v>
      </c>
      <c r="C2836" s="3" t="n">
        <v>46081.75</v>
      </c>
      <c r="D2836" s="4">
        <f>(C2836-B2836)*24</f>
        <v/>
      </c>
      <c r="E2836" s="5">
        <f>IF(AND(HOUR(B2836)&gt;=6,HOUR(B2836)&lt;18),"Day Shift","Night Shift")</f>
        <v/>
      </c>
      <c r="F2836" s="6">
        <f>INT(B2836)</f>
        <v/>
      </c>
      <c r="G2836" s="6">
        <f>INT(C2836)</f>
        <v/>
      </c>
    </row>
    <row r="2837">
      <c r="A2837" s="7" t="inlineStr">
        <is>
          <t>Stag Drill</t>
        </is>
      </c>
      <c r="B2837" s="8" t="n">
        <v>46081.75</v>
      </c>
      <c r="C2837" s="8" t="n">
        <v>46081.84454861111</v>
      </c>
      <c r="D2837" s="9">
        <f>(C2837-B2837)*24</f>
        <v/>
      </c>
      <c r="E2837" s="10">
        <f>IF(AND(HOUR(B2837)&gt;=6,HOUR(B2837)&lt;18),"Day Shift","Night Shift")</f>
        <v/>
      </c>
      <c r="F2837" s="11">
        <f>INT(B2837)</f>
        <v/>
      </c>
      <c r="G2837" s="11">
        <f>INT(C2837)</f>
        <v/>
      </c>
    </row>
    <row r="2838">
      <c r="A2838" s="2" t="inlineStr">
        <is>
          <t>EXD73</t>
        </is>
      </c>
      <c r="B2838" s="3" t="n">
        <v>46081.36444444444</v>
      </c>
      <c r="C2838" s="3" t="n">
        <v>46081.75</v>
      </c>
      <c r="D2838" s="4">
        <f>(C2838-B2838)*24</f>
        <v/>
      </c>
      <c r="E2838" s="5">
        <f>IF(AND(HOUR(B2838)&gt;=6,HOUR(B2838)&lt;18),"Day Shift","Night Shift")</f>
        <v/>
      </c>
      <c r="F2838" s="6">
        <f>INT(B2838)</f>
        <v/>
      </c>
      <c r="G2838" s="6">
        <f>INT(C2838)</f>
        <v/>
      </c>
    </row>
    <row r="2839">
      <c r="A2839" s="7" t="inlineStr">
        <is>
          <t>EXD73</t>
        </is>
      </c>
      <c r="B2839" s="8" t="n">
        <v>46081.75</v>
      </c>
      <c r="C2839" s="8" t="n">
        <v>46082.25</v>
      </c>
      <c r="D2839" s="9">
        <f>(C2839-B2839)*24</f>
        <v/>
      </c>
      <c r="E2839" s="10">
        <f>IF(AND(HOUR(B2839)&gt;=6,HOUR(B2839)&lt;18),"Day Shift","Night Shift")</f>
        <v/>
      </c>
      <c r="F2839" s="11">
        <f>INT(B2839)</f>
        <v/>
      </c>
      <c r="G2839" s="11">
        <f>INT(C2839)</f>
        <v/>
      </c>
    </row>
    <row r="2840">
      <c r="A2840" s="2" t="inlineStr">
        <is>
          <t>EXD73</t>
        </is>
      </c>
      <c r="B2840" s="3" t="n">
        <v>46082.25</v>
      </c>
      <c r="C2840" s="3" t="n">
        <v>46082.39096064815</v>
      </c>
      <c r="D2840" s="4">
        <f>(C2840-B2840)*24</f>
        <v/>
      </c>
      <c r="E2840" s="5">
        <f>IF(AND(HOUR(B2840)&gt;=6,HOUR(B2840)&lt;18),"Day Shift","Night Shift")</f>
        <v/>
      </c>
      <c r="F2840" s="6">
        <f>INT(B2840)</f>
        <v/>
      </c>
      <c r="G2840" s="6">
        <f>INT(C2840)</f>
        <v/>
      </c>
    </row>
    <row r="2841">
      <c r="A2841" s="2" t="inlineStr">
        <is>
          <t>EDD2541</t>
        </is>
      </c>
      <c r="B2841" s="3" t="n">
        <v>46081.3965625</v>
      </c>
      <c r="C2841" s="3" t="n">
        <v>46081.73304398148</v>
      </c>
      <c r="D2841" s="4">
        <f>(C2841-B2841)*24</f>
        <v/>
      </c>
      <c r="E2841" s="5">
        <f>IF(AND(HOUR(B2841)&gt;=6,HOUR(B2841)&lt;18),"Day Shift","Night Shift")</f>
        <v/>
      </c>
      <c r="F2841" s="6">
        <f>INT(B2841)</f>
        <v/>
      </c>
      <c r="G2841" s="6">
        <f>INT(C2841)</f>
        <v/>
      </c>
    </row>
    <row r="2842">
      <c r="A2842" s="2" t="inlineStr">
        <is>
          <t>Blast Crew</t>
        </is>
      </c>
      <c r="B2842" s="3" t="n">
        <v>46081.4005787037</v>
      </c>
      <c r="C2842" s="3" t="n">
        <v>46081.59016203704</v>
      </c>
      <c r="D2842" s="4">
        <f>(C2842-B2842)*24</f>
        <v/>
      </c>
      <c r="E2842" s="5">
        <f>IF(AND(HOUR(B2842)&gt;=6,HOUR(B2842)&lt;18),"Day Shift","Night Shift")</f>
        <v/>
      </c>
      <c r="F2842" s="6">
        <f>INT(B2842)</f>
        <v/>
      </c>
      <c r="G2842" s="6">
        <f>INT(C2842)</f>
        <v/>
      </c>
    </row>
    <row r="2843">
      <c r="A2843" s="2" t="inlineStr">
        <is>
          <t>Blast</t>
        </is>
      </c>
      <c r="B2843" s="3" t="n">
        <v>46081.45833333334</v>
      </c>
      <c r="C2843" s="3" t="n">
        <v>46081.45834490741</v>
      </c>
      <c r="D2843" s="4">
        <f>(C2843-B2843)*24</f>
        <v/>
      </c>
      <c r="E2843" s="5">
        <f>IF(AND(HOUR(B2843)&gt;=6,HOUR(B2843)&lt;18),"Day Shift","Night Shift")</f>
        <v/>
      </c>
      <c r="F2843" s="6">
        <f>INT(B2843)</f>
        <v/>
      </c>
      <c r="G2843" s="6">
        <f>INT(C2843)</f>
        <v/>
      </c>
    </row>
    <row r="2844">
      <c r="A2844" s="2" t="inlineStr">
        <is>
          <t>Blast</t>
        </is>
      </c>
      <c r="B2844" s="3" t="n">
        <v>46081.45834490741</v>
      </c>
      <c r="C2844" s="3" t="n">
        <v>46081.45837962963</v>
      </c>
      <c r="D2844" s="4">
        <f>(C2844-B2844)*24</f>
        <v/>
      </c>
      <c r="E2844" s="5">
        <f>IF(AND(HOUR(B2844)&gt;=6,HOUR(B2844)&lt;18),"Day Shift","Night Shift")</f>
        <v/>
      </c>
      <c r="F2844" s="6">
        <f>INT(B2844)</f>
        <v/>
      </c>
      <c r="G2844" s="6">
        <f>INT(C2844)</f>
        <v/>
      </c>
    </row>
    <row r="2845">
      <c r="A2845" s="2" t="inlineStr">
        <is>
          <t>Blast</t>
        </is>
      </c>
      <c r="B2845" s="3" t="n">
        <v>46081.45837962963</v>
      </c>
      <c r="C2845" s="3" t="n">
        <v>46081.45847222222</v>
      </c>
      <c r="D2845" s="4">
        <f>(C2845-B2845)*24</f>
        <v/>
      </c>
      <c r="E2845" s="5">
        <f>IF(AND(HOUR(B2845)&gt;=6,HOUR(B2845)&lt;18),"Day Shift","Night Shift")</f>
        <v/>
      </c>
      <c r="F2845" s="6">
        <f>INT(B2845)</f>
        <v/>
      </c>
      <c r="G2845" s="6">
        <f>INT(C2845)</f>
        <v/>
      </c>
    </row>
    <row r="2846">
      <c r="A2846" s="2" t="inlineStr">
        <is>
          <t>Blast</t>
        </is>
      </c>
      <c r="B2846" s="3" t="n">
        <v>46081.45847222222</v>
      </c>
      <c r="C2846" s="3" t="n">
        <v>46081.45859953704</v>
      </c>
      <c r="D2846" s="4">
        <f>(C2846-B2846)*24</f>
        <v/>
      </c>
      <c r="E2846" s="5">
        <f>IF(AND(HOUR(B2846)&gt;=6,HOUR(B2846)&lt;18),"Day Shift","Night Shift")</f>
        <v/>
      </c>
      <c r="F2846" s="6">
        <f>INT(B2846)</f>
        <v/>
      </c>
      <c r="G2846" s="6">
        <f>INT(C2846)</f>
        <v/>
      </c>
    </row>
    <row r="2847">
      <c r="A2847" s="2" t="inlineStr">
        <is>
          <t>Blast</t>
        </is>
      </c>
      <c r="B2847" s="3" t="n">
        <v>46081.45859953704</v>
      </c>
      <c r="C2847" s="3" t="n">
        <v>46081.45873842593</v>
      </c>
      <c r="D2847" s="4">
        <f>(C2847-B2847)*24</f>
        <v/>
      </c>
      <c r="E2847" s="5">
        <f>IF(AND(HOUR(B2847)&gt;=6,HOUR(B2847)&lt;18),"Day Shift","Night Shift")</f>
        <v/>
      </c>
      <c r="F2847" s="6">
        <f>INT(B2847)</f>
        <v/>
      </c>
      <c r="G2847" s="6">
        <f>INT(C2847)</f>
        <v/>
      </c>
    </row>
    <row r="2848">
      <c r="A2848" s="2" t="inlineStr">
        <is>
          <t>Blast</t>
        </is>
      </c>
      <c r="B2848" s="3" t="n">
        <v>46081.45873842593</v>
      </c>
      <c r="C2848" s="3" t="n">
        <v>46081.45886574074</v>
      </c>
      <c r="D2848" s="4">
        <f>(C2848-B2848)*24</f>
        <v/>
      </c>
      <c r="E2848" s="5">
        <f>IF(AND(HOUR(B2848)&gt;=6,HOUR(B2848)&lt;18),"Day Shift","Night Shift")</f>
        <v/>
      </c>
      <c r="F2848" s="6">
        <f>INT(B2848)</f>
        <v/>
      </c>
      <c r="G2848" s="6">
        <f>INT(C2848)</f>
        <v/>
      </c>
    </row>
    <row r="2849">
      <c r="A2849" s="2" t="inlineStr">
        <is>
          <t>Blast</t>
        </is>
      </c>
      <c r="B2849" s="3" t="n">
        <v>46081.45886574074</v>
      </c>
      <c r="C2849" s="3" t="n">
        <v>46081.45899305555</v>
      </c>
      <c r="D2849" s="4">
        <f>(C2849-B2849)*24</f>
        <v/>
      </c>
      <c r="E2849" s="5">
        <f>IF(AND(HOUR(B2849)&gt;=6,HOUR(B2849)&lt;18),"Day Shift","Night Shift")</f>
        <v/>
      </c>
      <c r="F2849" s="6">
        <f>INT(B2849)</f>
        <v/>
      </c>
      <c r="G2849" s="6">
        <f>INT(C2849)</f>
        <v/>
      </c>
    </row>
    <row r="2850">
      <c r="A2850" s="2" t="inlineStr">
        <is>
          <t>Blast</t>
        </is>
      </c>
      <c r="B2850" s="3" t="n">
        <v>46081.45899305555</v>
      </c>
      <c r="C2850" s="3" t="n">
        <v>46081.45912037037</v>
      </c>
      <c r="D2850" s="4">
        <f>(C2850-B2850)*24</f>
        <v/>
      </c>
      <c r="E2850" s="5">
        <f>IF(AND(HOUR(B2850)&gt;=6,HOUR(B2850)&lt;18),"Day Shift","Night Shift")</f>
        <v/>
      </c>
      <c r="F2850" s="6">
        <f>INT(B2850)</f>
        <v/>
      </c>
      <c r="G2850" s="6">
        <f>INT(C2850)</f>
        <v/>
      </c>
    </row>
    <row r="2851">
      <c r="A2851" s="2" t="inlineStr">
        <is>
          <t>Blast</t>
        </is>
      </c>
      <c r="B2851" s="3" t="n">
        <v>46081.45912037037</v>
      </c>
      <c r="C2851" s="3" t="n">
        <v>46081.45913194444</v>
      </c>
      <c r="D2851" s="4">
        <f>(C2851-B2851)*24</f>
        <v/>
      </c>
      <c r="E2851" s="5">
        <f>IF(AND(HOUR(B2851)&gt;=6,HOUR(B2851)&lt;18),"Day Shift","Night Shift")</f>
        <v/>
      </c>
      <c r="F2851" s="6">
        <f>INT(B2851)</f>
        <v/>
      </c>
      <c r="G2851" s="6">
        <f>INT(C2851)</f>
        <v/>
      </c>
    </row>
    <row r="2852">
      <c r="A2852" s="2" t="inlineStr">
        <is>
          <t>Blast</t>
        </is>
      </c>
      <c r="B2852" s="3" t="n">
        <v>46081.45913194444</v>
      </c>
      <c r="C2852" s="3" t="n">
        <v>46081.45921296296</v>
      </c>
      <c r="D2852" s="4">
        <f>(C2852-B2852)*24</f>
        <v/>
      </c>
      <c r="E2852" s="5">
        <f>IF(AND(HOUR(B2852)&gt;=6,HOUR(B2852)&lt;18),"Day Shift","Night Shift")</f>
        <v/>
      </c>
      <c r="F2852" s="6">
        <f>INT(B2852)</f>
        <v/>
      </c>
      <c r="G2852" s="6">
        <f>INT(C2852)</f>
        <v/>
      </c>
    </row>
    <row r="2853">
      <c r="A2853" s="2" t="inlineStr">
        <is>
          <t>Blast</t>
        </is>
      </c>
      <c r="B2853" s="3" t="n">
        <v>46081.45921296296</v>
      </c>
      <c r="C2853" s="3" t="n">
        <v>46081.45934027778</v>
      </c>
      <c r="D2853" s="4">
        <f>(C2853-B2853)*24</f>
        <v/>
      </c>
      <c r="E2853" s="5">
        <f>IF(AND(HOUR(B2853)&gt;=6,HOUR(B2853)&lt;18),"Day Shift","Night Shift")</f>
        <v/>
      </c>
      <c r="F2853" s="6">
        <f>INT(B2853)</f>
        <v/>
      </c>
      <c r="G2853" s="6">
        <f>INT(C2853)</f>
        <v/>
      </c>
    </row>
    <row r="2854">
      <c r="A2854" s="2" t="inlineStr">
        <is>
          <t>Blast</t>
        </is>
      </c>
      <c r="B2854" s="3" t="n">
        <v>46081.45934027778</v>
      </c>
      <c r="C2854" s="3" t="n">
        <v>46081.45947916667</v>
      </c>
      <c r="D2854" s="4">
        <f>(C2854-B2854)*24</f>
        <v/>
      </c>
      <c r="E2854" s="5">
        <f>IF(AND(HOUR(B2854)&gt;=6,HOUR(B2854)&lt;18),"Day Shift","Night Shift")</f>
        <v/>
      </c>
      <c r="F2854" s="6">
        <f>INT(B2854)</f>
        <v/>
      </c>
      <c r="G2854" s="6">
        <f>INT(C2854)</f>
        <v/>
      </c>
    </row>
    <row r="2855">
      <c r="A2855" s="2" t="inlineStr">
        <is>
          <t>Blast</t>
        </is>
      </c>
      <c r="B2855" s="3" t="n">
        <v>46081.45947916667</v>
      </c>
      <c r="C2855" s="3" t="n">
        <v>46081.45964120371</v>
      </c>
      <c r="D2855" s="4">
        <f>(C2855-B2855)*24</f>
        <v/>
      </c>
      <c r="E2855" s="5">
        <f>IF(AND(HOUR(B2855)&gt;=6,HOUR(B2855)&lt;18),"Day Shift","Night Shift")</f>
        <v/>
      </c>
      <c r="F2855" s="6">
        <f>INT(B2855)</f>
        <v/>
      </c>
      <c r="G2855" s="6">
        <f>INT(C2855)</f>
        <v/>
      </c>
    </row>
    <row r="2856">
      <c r="A2856" s="2" t="inlineStr">
        <is>
          <t>Blast</t>
        </is>
      </c>
      <c r="B2856" s="3" t="n">
        <v>46081.45964120371</v>
      </c>
      <c r="C2856" s="3" t="n">
        <v>46081.45981481481</v>
      </c>
      <c r="D2856" s="4">
        <f>(C2856-B2856)*24</f>
        <v/>
      </c>
      <c r="E2856" s="5">
        <f>IF(AND(HOUR(B2856)&gt;=6,HOUR(B2856)&lt;18),"Day Shift","Night Shift")</f>
        <v/>
      </c>
      <c r="F2856" s="6">
        <f>INT(B2856)</f>
        <v/>
      </c>
      <c r="G2856" s="6">
        <f>INT(C2856)</f>
        <v/>
      </c>
    </row>
    <row r="2857">
      <c r="A2857" s="2" t="inlineStr">
        <is>
          <t>Blast</t>
        </is>
      </c>
      <c r="B2857" s="3" t="n">
        <v>46081.45981481481</v>
      </c>
      <c r="C2857" s="3" t="n">
        <v>46081.45984953704</v>
      </c>
      <c r="D2857" s="4">
        <f>(C2857-B2857)*24</f>
        <v/>
      </c>
      <c r="E2857" s="5">
        <f>IF(AND(HOUR(B2857)&gt;=6,HOUR(B2857)&lt;18),"Day Shift","Night Shift")</f>
        <v/>
      </c>
      <c r="F2857" s="6">
        <f>INT(B2857)</f>
        <v/>
      </c>
      <c r="G2857" s="6">
        <f>INT(C2857)</f>
        <v/>
      </c>
    </row>
    <row r="2858">
      <c r="A2858" s="2" t="inlineStr">
        <is>
          <t>Blast</t>
        </is>
      </c>
      <c r="B2858" s="3" t="n">
        <v>46081.45984953704</v>
      </c>
      <c r="C2858" s="3" t="n">
        <v>46081.46002314815</v>
      </c>
      <c r="D2858" s="4">
        <f>(C2858-B2858)*24</f>
        <v/>
      </c>
      <c r="E2858" s="5">
        <f>IF(AND(HOUR(B2858)&gt;=6,HOUR(B2858)&lt;18),"Day Shift","Night Shift")</f>
        <v/>
      </c>
      <c r="F2858" s="6">
        <f>INT(B2858)</f>
        <v/>
      </c>
      <c r="G2858" s="6">
        <f>INT(C2858)</f>
        <v/>
      </c>
    </row>
    <row r="2859">
      <c r="A2859" s="2" t="inlineStr">
        <is>
          <t>Blast</t>
        </is>
      </c>
      <c r="B2859" s="3" t="n">
        <v>46081.46002314815</v>
      </c>
      <c r="C2859" s="3" t="n">
        <v>46081.46018518518</v>
      </c>
      <c r="D2859" s="4">
        <f>(C2859-B2859)*24</f>
        <v/>
      </c>
      <c r="E2859" s="5">
        <f>IF(AND(HOUR(B2859)&gt;=6,HOUR(B2859)&lt;18),"Day Shift","Night Shift")</f>
        <v/>
      </c>
      <c r="F2859" s="6">
        <f>INT(B2859)</f>
        <v/>
      </c>
      <c r="G2859" s="6">
        <f>INT(C2859)</f>
        <v/>
      </c>
    </row>
    <row r="2860">
      <c r="A2860" s="2" t="inlineStr">
        <is>
          <t>Blast</t>
        </is>
      </c>
      <c r="B2860" s="3" t="n">
        <v>46081.46018518518</v>
      </c>
      <c r="C2860" s="3" t="n">
        <v>46081.4603125</v>
      </c>
      <c r="D2860" s="4">
        <f>(C2860-B2860)*24</f>
        <v/>
      </c>
      <c r="E2860" s="5">
        <f>IF(AND(HOUR(B2860)&gt;=6,HOUR(B2860)&lt;18),"Day Shift","Night Shift")</f>
        <v/>
      </c>
      <c r="F2860" s="6">
        <f>INT(B2860)</f>
        <v/>
      </c>
      <c r="G2860" s="6">
        <f>INT(C2860)</f>
        <v/>
      </c>
    </row>
    <row r="2861">
      <c r="A2861" s="2" t="inlineStr">
        <is>
          <t>Blast</t>
        </is>
      </c>
      <c r="B2861" s="3" t="n">
        <v>46081.4603125</v>
      </c>
      <c r="C2861" s="3" t="n">
        <v>46081.46043981481</v>
      </c>
      <c r="D2861" s="4">
        <f>(C2861-B2861)*24</f>
        <v/>
      </c>
      <c r="E2861" s="5">
        <f>IF(AND(HOUR(B2861)&gt;=6,HOUR(B2861)&lt;18),"Day Shift","Night Shift")</f>
        <v/>
      </c>
      <c r="F2861" s="6">
        <f>INT(B2861)</f>
        <v/>
      </c>
      <c r="G2861" s="6">
        <f>INT(C2861)</f>
        <v/>
      </c>
    </row>
    <row r="2862">
      <c r="A2862" s="2" t="inlineStr">
        <is>
          <t>Blast</t>
        </is>
      </c>
      <c r="B2862" s="3" t="n">
        <v>46081.46043981481</v>
      </c>
      <c r="C2862" s="3" t="n">
        <v>46081.46046296296</v>
      </c>
      <c r="D2862" s="4">
        <f>(C2862-B2862)*24</f>
        <v/>
      </c>
      <c r="E2862" s="5">
        <f>IF(AND(HOUR(B2862)&gt;=6,HOUR(B2862)&lt;18),"Day Shift","Night Shift")</f>
        <v/>
      </c>
      <c r="F2862" s="6">
        <f>INT(B2862)</f>
        <v/>
      </c>
      <c r="G2862" s="6">
        <f>INT(C2862)</f>
        <v/>
      </c>
    </row>
    <row r="2863">
      <c r="A2863" s="2" t="inlineStr">
        <is>
          <t>Blast</t>
        </is>
      </c>
      <c r="B2863" s="3" t="n">
        <v>46081.46046296296</v>
      </c>
      <c r="C2863" s="3" t="n">
        <v>46081.46057870371</v>
      </c>
      <c r="D2863" s="4">
        <f>(C2863-B2863)*24</f>
        <v/>
      </c>
      <c r="E2863" s="5">
        <f>IF(AND(HOUR(B2863)&gt;=6,HOUR(B2863)&lt;18),"Day Shift","Night Shift")</f>
        <v/>
      </c>
      <c r="F2863" s="6">
        <f>INT(B2863)</f>
        <v/>
      </c>
      <c r="G2863" s="6">
        <f>INT(C2863)</f>
        <v/>
      </c>
    </row>
    <row r="2864">
      <c r="A2864" s="2" t="inlineStr">
        <is>
          <t>Blast</t>
        </is>
      </c>
      <c r="B2864" s="3" t="n">
        <v>46081.46057870371</v>
      </c>
      <c r="C2864" s="3" t="n">
        <v>46081.46070601852</v>
      </c>
      <c r="D2864" s="4">
        <f>(C2864-B2864)*24</f>
        <v/>
      </c>
      <c r="E2864" s="5">
        <f>IF(AND(HOUR(B2864)&gt;=6,HOUR(B2864)&lt;18),"Day Shift","Night Shift")</f>
        <v/>
      </c>
      <c r="F2864" s="6">
        <f>INT(B2864)</f>
        <v/>
      </c>
      <c r="G2864" s="6">
        <f>INT(C2864)</f>
        <v/>
      </c>
    </row>
    <row r="2865">
      <c r="A2865" s="2" t="inlineStr">
        <is>
          <t>Blast</t>
        </is>
      </c>
      <c r="B2865" s="3" t="n">
        <v>46081.46070601852</v>
      </c>
      <c r="C2865" s="3" t="n">
        <v>46081.46084490741</v>
      </c>
      <c r="D2865" s="4">
        <f>(C2865-B2865)*24</f>
        <v/>
      </c>
      <c r="E2865" s="5">
        <f>IF(AND(HOUR(B2865)&gt;=6,HOUR(B2865)&lt;18),"Day Shift","Night Shift")</f>
        <v/>
      </c>
      <c r="F2865" s="6">
        <f>INT(B2865)</f>
        <v/>
      </c>
      <c r="G2865" s="6">
        <f>INT(C2865)</f>
        <v/>
      </c>
    </row>
    <row r="2866">
      <c r="A2866" s="2" t="inlineStr">
        <is>
          <t>Blast</t>
        </is>
      </c>
      <c r="B2866" s="3" t="n">
        <v>46081.46084490741</v>
      </c>
      <c r="C2866" s="3" t="n">
        <v>46081.4609837963</v>
      </c>
      <c r="D2866" s="4">
        <f>(C2866-B2866)*24</f>
        <v/>
      </c>
      <c r="E2866" s="5">
        <f>IF(AND(HOUR(B2866)&gt;=6,HOUR(B2866)&lt;18),"Day Shift","Night Shift")</f>
        <v/>
      </c>
      <c r="F2866" s="6">
        <f>INT(B2866)</f>
        <v/>
      </c>
      <c r="G2866" s="6">
        <f>INT(C2866)</f>
        <v/>
      </c>
    </row>
    <row r="2867">
      <c r="A2867" s="2" t="inlineStr">
        <is>
          <t>Blast</t>
        </is>
      </c>
      <c r="B2867" s="3" t="n">
        <v>46081.4609837963</v>
      </c>
      <c r="C2867" s="3" t="n">
        <v>46081.46101851852</v>
      </c>
      <c r="D2867" s="4">
        <f>(C2867-B2867)*24</f>
        <v/>
      </c>
      <c r="E2867" s="5">
        <f>IF(AND(HOUR(B2867)&gt;=6,HOUR(B2867)&lt;18),"Day Shift","Night Shift")</f>
        <v/>
      </c>
      <c r="F2867" s="6">
        <f>INT(B2867)</f>
        <v/>
      </c>
      <c r="G2867" s="6">
        <f>INT(C2867)</f>
        <v/>
      </c>
    </row>
    <row r="2868">
      <c r="A2868" s="2" t="inlineStr">
        <is>
          <t>Blast</t>
        </is>
      </c>
      <c r="B2868" s="3" t="n">
        <v>46081.46101851852</v>
      </c>
      <c r="C2868" s="3" t="n">
        <v>46081.46114583333</v>
      </c>
      <c r="D2868" s="4">
        <f>(C2868-B2868)*24</f>
        <v/>
      </c>
      <c r="E2868" s="5">
        <f>IF(AND(HOUR(B2868)&gt;=6,HOUR(B2868)&lt;18),"Day Shift","Night Shift")</f>
        <v/>
      </c>
      <c r="F2868" s="6">
        <f>INT(B2868)</f>
        <v/>
      </c>
      <c r="G2868" s="6">
        <f>INT(C2868)</f>
        <v/>
      </c>
    </row>
    <row r="2869">
      <c r="A2869" s="2" t="inlineStr">
        <is>
          <t>Blast</t>
        </is>
      </c>
      <c r="B2869" s="3" t="n">
        <v>46081.46114583333</v>
      </c>
      <c r="C2869" s="3" t="n">
        <v>46081.46127314815</v>
      </c>
      <c r="D2869" s="4">
        <f>(C2869-B2869)*24</f>
        <v/>
      </c>
      <c r="E2869" s="5">
        <f>IF(AND(HOUR(B2869)&gt;=6,HOUR(B2869)&lt;18),"Day Shift","Night Shift")</f>
        <v/>
      </c>
      <c r="F2869" s="6">
        <f>INT(B2869)</f>
        <v/>
      </c>
      <c r="G2869" s="6">
        <f>INT(C2869)</f>
        <v/>
      </c>
    </row>
    <row r="2870">
      <c r="A2870" s="2" t="inlineStr">
        <is>
          <t>Blast</t>
        </is>
      </c>
      <c r="B2870" s="3" t="n">
        <v>46081.46127314815</v>
      </c>
      <c r="C2870" s="3" t="n">
        <v>46081.46141203704</v>
      </c>
      <c r="D2870" s="4">
        <f>(C2870-B2870)*24</f>
        <v/>
      </c>
      <c r="E2870" s="5">
        <f>IF(AND(HOUR(B2870)&gt;=6,HOUR(B2870)&lt;18),"Day Shift","Night Shift")</f>
        <v/>
      </c>
      <c r="F2870" s="6">
        <f>INT(B2870)</f>
        <v/>
      </c>
      <c r="G2870" s="6">
        <f>INT(C2870)</f>
        <v/>
      </c>
    </row>
    <row r="2871">
      <c r="A2871" s="2" t="inlineStr">
        <is>
          <t>Blast</t>
        </is>
      </c>
      <c r="B2871" s="3" t="n">
        <v>46081.46141203704</v>
      </c>
      <c r="C2871" s="3" t="n">
        <v>46081.46155092592</v>
      </c>
      <c r="D2871" s="4">
        <f>(C2871-B2871)*24</f>
        <v/>
      </c>
      <c r="E2871" s="5">
        <f>IF(AND(HOUR(B2871)&gt;=6,HOUR(B2871)&lt;18),"Day Shift","Night Shift")</f>
        <v/>
      </c>
      <c r="F2871" s="6">
        <f>INT(B2871)</f>
        <v/>
      </c>
      <c r="G2871" s="6">
        <f>INT(C2871)</f>
        <v/>
      </c>
    </row>
    <row r="2872">
      <c r="A2872" s="2" t="inlineStr">
        <is>
          <t>Blast</t>
        </is>
      </c>
      <c r="B2872" s="3" t="n">
        <v>46081.46155092592</v>
      </c>
      <c r="C2872" s="3" t="n">
        <v>46081.46159722222</v>
      </c>
      <c r="D2872" s="4">
        <f>(C2872-B2872)*24</f>
        <v/>
      </c>
      <c r="E2872" s="5">
        <f>IF(AND(HOUR(B2872)&gt;=6,HOUR(B2872)&lt;18),"Day Shift","Night Shift")</f>
        <v/>
      </c>
      <c r="F2872" s="6">
        <f>INT(B2872)</f>
        <v/>
      </c>
      <c r="G2872" s="6">
        <f>INT(C2872)</f>
        <v/>
      </c>
    </row>
    <row r="2873">
      <c r="A2873" s="2" t="inlineStr">
        <is>
          <t>Blast</t>
        </is>
      </c>
      <c r="B2873" s="3" t="n">
        <v>46081.46159722222</v>
      </c>
      <c r="C2873" s="3" t="n">
        <v>46081.46167824074</v>
      </c>
      <c r="D2873" s="4">
        <f>(C2873-B2873)*24</f>
        <v/>
      </c>
      <c r="E2873" s="5">
        <f>IF(AND(HOUR(B2873)&gt;=6,HOUR(B2873)&lt;18),"Day Shift","Night Shift")</f>
        <v/>
      </c>
      <c r="F2873" s="6">
        <f>INT(B2873)</f>
        <v/>
      </c>
      <c r="G2873" s="6">
        <f>INT(C2873)</f>
        <v/>
      </c>
    </row>
    <row r="2874">
      <c r="A2874" s="2" t="inlineStr">
        <is>
          <t>Blast</t>
        </is>
      </c>
      <c r="B2874" s="3" t="n">
        <v>46081.46167824074</v>
      </c>
      <c r="C2874" s="3" t="n">
        <v>46081.46177083333</v>
      </c>
      <c r="D2874" s="4">
        <f>(C2874-B2874)*24</f>
        <v/>
      </c>
      <c r="E2874" s="5">
        <f>IF(AND(HOUR(B2874)&gt;=6,HOUR(B2874)&lt;18),"Day Shift","Night Shift")</f>
        <v/>
      </c>
      <c r="F2874" s="6">
        <f>INT(B2874)</f>
        <v/>
      </c>
      <c r="G2874" s="6">
        <f>INT(C2874)</f>
        <v/>
      </c>
    </row>
    <row r="2875">
      <c r="A2875" s="2" t="inlineStr">
        <is>
          <t>Blast</t>
        </is>
      </c>
      <c r="B2875" s="3" t="n">
        <v>46081.46177083333</v>
      </c>
      <c r="C2875" s="3" t="n">
        <v>46081.46185185185</v>
      </c>
      <c r="D2875" s="4">
        <f>(C2875-B2875)*24</f>
        <v/>
      </c>
      <c r="E2875" s="5">
        <f>IF(AND(HOUR(B2875)&gt;=6,HOUR(B2875)&lt;18),"Day Shift","Night Shift")</f>
        <v/>
      </c>
      <c r="F2875" s="6">
        <f>INT(B2875)</f>
        <v/>
      </c>
      <c r="G2875" s="6">
        <f>INT(C2875)</f>
        <v/>
      </c>
    </row>
    <row r="2876">
      <c r="A2876" s="2" t="inlineStr">
        <is>
          <t>Blast</t>
        </is>
      </c>
      <c r="B2876" s="3" t="n">
        <v>46081.46185185185</v>
      </c>
      <c r="C2876" s="3" t="n">
        <v>46081.46193287037</v>
      </c>
      <c r="D2876" s="4">
        <f>(C2876-B2876)*24</f>
        <v/>
      </c>
      <c r="E2876" s="5">
        <f>IF(AND(HOUR(B2876)&gt;=6,HOUR(B2876)&lt;18),"Day Shift","Night Shift")</f>
        <v/>
      </c>
      <c r="F2876" s="6">
        <f>INT(B2876)</f>
        <v/>
      </c>
      <c r="G2876" s="6">
        <f>INT(C2876)</f>
        <v/>
      </c>
    </row>
    <row r="2877">
      <c r="A2877" s="2" t="inlineStr">
        <is>
          <t>EDD1932</t>
        </is>
      </c>
      <c r="B2877" s="3" t="n">
        <v>46081.46623842593</v>
      </c>
      <c r="C2877" s="3" t="n">
        <v>46081.75</v>
      </c>
      <c r="D2877" s="4">
        <f>(C2877-B2877)*24</f>
        <v/>
      </c>
      <c r="E2877" s="5">
        <f>IF(AND(HOUR(B2877)&gt;=6,HOUR(B2877)&lt;18),"Day Shift","Night Shift")</f>
        <v/>
      </c>
      <c r="F2877" s="6">
        <f>INT(B2877)</f>
        <v/>
      </c>
      <c r="G2877" s="6">
        <f>INT(C2877)</f>
        <v/>
      </c>
    </row>
    <row r="2878">
      <c r="A2878" s="7" t="inlineStr">
        <is>
          <t>EDD1932</t>
        </is>
      </c>
      <c r="B2878" s="8" t="n">
        <v>46081.75</v>
      </c>
      <c r="C2878" s="8" t="n">
        <v>46082.25</v>
      </c>
      <c r="D2878" s="9">
        <f>(C2878-B2878)*24</f>
        <v/>
      </c>
      <c r="E2878" s="10">
        <f>IF(AND(HOUR(B2878)&gt;=6,HOUR(B2878)&lt;18),"Day Shift","Night Shift")</f>
        <v/>
      </c>
      <c r="F2878" s="11">
        <f>INT(B2878)</f>
        <v/>
      </c>
      <c r="G2878" s="11">
        <f>INT(C2878)</f>
        <v/>
      </c>
    </row>
    <row r="2879">
      <c r="A2879" s="2" t="inlineStr">
        <is>
          <t>EDD1932</t>
        </is>
      </c>
      <c r="B2879" s="3" t="n">
        <v>46082.25</v>
      </c>
      <c r="C2879" s="3" t="n">
        <v>46082.75</v>
      </c>
      <c r="D2879" s="4">
        <f>(C2879-B2879)*24</f>
        <v/>
      </c>
      <c r="E2879" s="5">
        <f>IF(AND(HOUR(B2879)&gt;=6,HOUR(B2879)&lt;18),"Day Shift","Night Shift")</f>
        <v/>
      </c>
      <c r="F2879" s="6">
        <f>INT(B2879)</f>
        <v/>
      </c>
      <c r="G2879" s="6">
        <f>INT(C2879)</f>
        <v/>
      </c>
    </row>
    <row r="2880">
      <c r="A2880" s="7" t="inlineStr">
        <is>
          <t>EDD1932</t>
        </is>
      </c>
      <c r="B2880" s="8" t="n">
        <v>46082.75</v>
      </c>
      <c r="C2880" s="8" t="n">
        <v>46083.06012731481</v>
      </c>
      <c r="D2880" s="9">
        <f>(C2880-B2880)*24</f>
        <v/>
      </c>
      <c r="E2880" s="10">
        <f>IF(AND(HOUR(B2880)&gt;=6,HOUR(B2880)&lt;18),"Day Shift","Night Shift")</f>
        <v/>
      </c>
      <c r="F2880" s="11">
        <f>INT(B2880)</f>
        <v/>
      </c>
      <c r="G2880" s="11">
        <f>INT(C2880)</f>
        <v/>
      </c>
    </row>
    <row r="2881">
      <c r="A2881" s="2" t="inlineStr">
        <is>
          <t>DRE12</t>
        </is>
      </c>
      <c r="B2881" s="3" t="n">
        <v>46081.47609953704</v>
      </c>
      <c r="C2881" s="3" t="n">
        <v>46081.75</v>
      </c>
      <c r="D2881" s="4">
        <f>(C2881-B2881)*24</f>
        <v/>
      </c>
      <c r="E2881" s="5">
        <f>IF(AND(HOUR(B2881)&gt;=6,HOUR(B2881)&lt;18),"Day Shift","Night Shift")</f>
        <v/>
      </c>
      <c r="F2881" s="6">
        <f>INT(B2881)</f>
        <v/>
      </c>
      <c r="G2881" s="6">
        <f>INT(C2881)</f>
        <v/>
      </c>
    </row>
    <row r="2882">
      <c r="A2882" s="7" t="inlineStr">
        <is>
          <t>DRE12</t>
        </is>
      </c>
      <c r="B2882" s="8" t="n">
        <v>46081.75</v>
      </c>
      <c r="C2882" s="8" t="n">
        <v>46082.25</v>
      </c>
      <c r="D2882" s="9">
        <f>(C2882-B2882)*24</f>
        <v/>
      </c>
      <c r="E2882" s="10">
        <f>IF(AND(HOUR(B2882)&gt;=6,HOUR(B2882)&lt;18),"Day Shift","Night Shift")</f>
        <v/>
      </c>
      <c r="F2882" s="11">
        <f>INT(B2882)</f>
        <v/>
      </c>
      <c r="G2882" s="11">
        <f>INT(C2882)</f>
        <v/>
      </c>
    </row>
    <row r="2883">
      <c r="A2883" s="2" t="inlineStr">
        <is>
          <t>DRE12</t>
        </is>
      </c>
      <c r="B2883" s="3" t="n">
        <v>46082.25</v>
      </c>
      <c r="C2883" s="3" t="n">
        <v>46082.75</v>
      </c>
      <c r="D2883" s="4">
        <f>(C2883-B2883)*24</f>
        <v/>
      </c>
      <c r="E2883" s="5">
        <f>IF(AND(HOUR(B2883)&gt;=6,HOUR(B2883)&lt;18),"Day Shift","Night Shift")</f>
        <v/>
      </c>
      <c r="F2883" s="6">
        <f>INT(B2883)</f>
        <v/>
      </c>
      <c r="G2883" s="6">
        <f>INT(C2883)</f>
        <v/>
      </c>
    </row>
    <row r="2884">
      <c r="A2884" s="7" t="inlineStr">
        <is>
          <t>DRE12</t>
        </is>
      </c>
      <c r="B2884" s="8" t="n">
        <v>46082.75</v>
      </c>
      <c r="C2884" s="8" t="n">
        <v>46083.25</v>
      </c>
      <c r="D2884" s="9">
        <f>(C2884-B2884)*24</f>
        <v/>
      </c>
      <c r="E2884" s="10">
        <f>IF(AND(HOUR(B2884)&gt;=6,HOUR(B2884)&lt;18),"Day Shift","Night Shift")</f>
        <v/>
      </c>
      <c r="F2884" s="11">
        <f>INT(B2884)</f>
        <v/>
      </c>
      <c r="G2884" s="11">
        <f>INT(C2884)</f>
        <v/>
      </c>
    </row>
    <row r="2885">
      <c r="A2885" s="2" t="inlineStr">
        <is>
          <t>DRE12</t>
        </is>
      </c>
      <c r="B2885" s="3" t="n">
        <v>46083.25</v>
      </c>
      <c r="C2885" s="3" t="n">
        <v>46083.75</v>
      </c>
      <c r="D2885" s="4">
        <f>(C2885-B2885)*24</f>
        <v/>
      </c>
      <c r="E2885" s="5">
        <f>IF(AND(HOUR(B2885)&gt;=6,HOUR(B2885)&lt;18),"Day Shift","Night Shift")</f>
        <v/>
      </c>
      <c r="F2885" s="6">
        <f>INT(B2885)</f>
        <v/>
      </c>
      <c r="G2885" s="6">
        <f>INT(C2885)</f>
        <v/>
      </c>
    </row>
    <row r="2886">
      <c r="A2886" s="7" t="inlineStr">
        <is>
          <t>DRE12</t>
        </is>
      </c>
      <c r="B2886" s="8" t="n">
        <v>46083.75</v>
      </c>
      <c r="C2886" s="8" t="n">
        <v>46084.25</v>
      </c>
      <c r="D2886" s="9">
        <f>(C2886-B2886)*24</f>
        <v/>
      </c>
      <c r="E2886" s="10">
        <f>IF(AND(HOUR(B2886)&gt;=6,HOUR(B2886)&lt;18),"Day Shift","Night Shift")</f>
        <v/>
      </c>
      <c r="F2886" s="11">
        <f>INT(B2886)</f>
        <v/>
      </c>
      <c r="G2886" s="11">
        <f>INT(C2886)</f>
        <v/>
      </c>
    </row>
    <row r="2887">
      <c r="A2887" s="2" t="inlineStr">
        <is>
          <t>DRE12</t>
        </is>
      </c>
      <c r="B2887" s="3" t="n">
        <v>46084.25</v>
      </c>
      <c r="C2887" s="3" t="n">
        <v>46084.75</v>
      </c>
      <c r="D2887" s="4">
        <f>(C2887-B2887)*24</f>
        <v/>
      </c>
      <c r="E2887" s="5">
        <f>IF(AND(HOUR(B2887)&gt;=6,HOUR(B2887)&lt;18),"Day Shift","Night Shift")</f>
        <v/>
      </c>
      <c r="F2887" s="6">
        <f>INT(B2887)</f>
        <v/>
      </c>
      <c r="G2887" s="6">
        <f>INT(C2887)</f>
        <v/>
      </c>
    </row>
    <row r="2888">
      <c r="A2888" s="7" t="inlineStr">
        <is>
          <t>DRE12</t>
        </is>
      </c>
      <c r="B2888" s="8" t="n">
        <v>46084.75</v>
      </c>
      <c r="C2888" s="8" t="n">
        <v>46085.25</v>
      </c>
      <c r="D2888" s="9">
        <f>(C2888-B2888)*24</f>
        <v/>
      </c>
      <c r="E2888" s="10">
        <f>IF(AND(HOUR(B2888)&gt;=6,HOUR(B2888)&lt;18),"Day Shift","Night Shift")</f>
        <v/>
      </c>
      <c r="F2888" s="11">
        <f>INT(B2888)</f>
        <v/>
      </c>
      <c r="G2888" s="11">
        <f>INT(C2888)</f>
        <v/>
      </c>
    </row>
    <row r="2889">
      <c r="A2889" s="2" t="inlineStr">
        <is>
          <t>DRE12</t>
        </is>
      </c>
      <c r="B2889" s="3" t="n">
        <v>46085.25</v>
      </c>
      <c r="C2889" s="3" t="n">
        <v>46085.75</v>
      </c>
      <c r="D2889" s="4">
        <f>(C2889-B2889)*24</f>
        <v/>
      </c>
      <c r="E2889" s="5">
        <f>IF(AND(HOUR(B2889)&gt;=6,HOUR(B2889)&lt;18),"Day Shift","Night Shift")</f>
        <v/>
      </c>
      <c r="F2889" s="6">
        <f>INT(B2889)</f>
        <v/>
      </c>
      <c r="G2889" s="6">
        <f>INT(C2889)</f>
        <v/>
      </c>
    </row>
    <row r="2890">
      <c r="A2890" s="7" t="inlineStr">
        <is>
          <t>DRE12</t>
        </is>
      </c>
      <c r="B2890" s="8" t="n">
        <v>46085.75</v>
      </c>
      <c r="C2890" s="8" t="n">
        <v>46086.25</v>
      </c>
      <c r="D2890" s="9">
        <f>(C2890-B2890)*24</f>
        <v/>
      </c>
      <c r="E2890" s="10">
        <f>IF(AND(HOUR(B2890)&gt;=6,HOUR(B2890)&lt;18),"Day Shift","Night Shift")</f>
        <v/>
      </c>
      <c r="F2890" s="11">
        <f>INT(B2890)</f>
        <v/>
      </c>
      <c r="G2890" s="11">
        <f>INT(C2890)</f>
        <v/>
      </c>
    </row>
    <row r="2891">
      <c r="A2891" s="2" t="inlineStr">
        <is>
          <t>DRE12</t>
        </is>
      </c>
      <c r="B2891" s="3" t="n">
        <v>46086.25</v>
      </c>
      <c r="C2891" s="3" t="n">
        <v>46086.75</v>
      </c>
      <c r="D2891" s="4">
        <f>(C2891-B2891)*24</f>
        <v/>
      </c>
      <c r="E2891" s="5">
        <f>IF(AND(HOUR(B2891)&gt;=6,HOUR(B2891)&lt;18),"Day Shift","Night Shift")</f>
        <v/>
      </c>
      <c r="F2891" s="6">
        <f>INT(B2891)</f>
        <v/>
      </c>
      <c r="G2891" s="6">
        <f>INT(C2891)</f>
        <v/>
      </c>
    </row>
    <row r="2892">
      <c r="A2892" s="7" t="inlineStr">
        <is>
          <t>DRE12</t>
        </is>
      </c>
      <c r="B2892" s="8" t="n">
        <v>46086.75</v>
      </c>
      <c r="C2892" s="8" t="n">
        <v>46087.25</v>
      </c>
      <c r="D2892" s="9">
        <f>(C2892-B2892)*24</f>
        <v/>
      </c>
      <c r="E2892" s="10">
        <f>IF(AND(HOUR(B2892)&gt;=6,HOUR(B2892)&lt;18),"Day Shift","Night Shift")</f>
        <v/>
      </c>
      <c r="F2892" s="11">
        <f>INT(B2892)</f>
        <v/>
      </c>
      <c r="G2892" s="11">
        <f>INT(C2892)</f>
        <v/>
      </c>
    </row>
    <row r="2893">
      <c r="A2893" s="2" t="inlineStr">
        <is>
          <t>DRE12</t>
        </is>
      </c>
      <c r="B2893" s="3" t="n">
        <v>46087.25</v>
      </c>
      <c r="C2893" s="3" t="n">
        <v>46087.75</v>
      </c>
      <c r="D2893" s="4">
        <f>(C2893-B2893)*24</f>
        <v/>
      </c>
      <c r="E2893" s="5">
        <f>IF(AND(HOUR(B2893)&gt;=6,HOUR(B2893)&lt;18),"Day Shift","Night Shift")</f>
        <v/>
      </c>
      <c r="F2893" s="6">
        <f>INT(B2893)</f>
        <v/>
      </c>
      <c r="G2893" s="6">
        <f>INT(C2893)</f>
        <v/>
      </c>
    </row>
    <row r="2894">
      <c r="A2894" s="7" t="inlineStr">
        <is>
          <t>DRE12</t>
        </is>
      </c>
      <c r="B2894" s="8" t="n">
        <v>46087.75</v>
      </c>
      <c r="C2894" s="8" t="n">
        <v>46088.25</v>
      </c>
      <c r="D2894" s="9">
        <f>(C2894-B2894)*24</f>
        <v/>
      </c>
      <c r="E2894" s="10">
        <f>IF(AND(HOUR(B2894)&gt;=6,HOUR(B2894)&lt;18),"Day Shift","Night Shift")</f>
        <v/>
      </c>
      <c r="F2894" s="11">
        <f>INT(B2894)</f>
        <v/>
      </c>
      <c r="G2894" s="11">
        <f>INT(C2894)</f>
        <v/>
      </c>
    </row>
    <row r="2895">
      <c r="A2895" s="2" t="inlineStr">
        <is>
          <t>DRE12</t>
        </is>
      </c>
      <c r="B2895" s="3" t="n">
        <v>46088.25</v>
      </c>
      <c r="C2895" s="3" t="n">
        <v>46088.75</v>
      </c>
      <c r="D2895" s="4">
        <f>(C2895-B2895)*24</f>
        <v/>
      </c>
      <c r="E2895" s="5">
        <f>IF(AND(HOUR(B2895)&gt;=6,HOUR(B2895)&lt;18),"Day Shift","Night Shift")</f>
        <v/>
      </c>
      <c r="F2895" s="6">
        <f>INT(B2895)</f>
        <v/>
      </c>
      <c r="G2895" s="6">
        <f>INT(C2895)</f>
        <v/>
      </c>
    </row>
    <row r="2896">
      <c r="A2896" s="7" t="inlineStr">
        <is>
          <t>DRE12</t>
        </is>
      </c>
      <c r="B2896" s="8" t="n">
        <v>46088.75</v>
      </c>
      <c r="C2896" s="8" t="n">
        <v>46088.77899305556</v>
      </c>
      <c r="D2896" s="9">
        <f>(C2896-B2896)*24</f>
        <v/>
      </c>
      <c r="E2896" s="10">
        <f>IF(AND(HOUR(B2896)&gt;=6,HOUR(B2896)&lt;18),"Day Shift","Night Shift")</f>
        <v/>
      </c>
      <c r="F2896" s="11">
        <f>INT(B2896)</f>
        <v/>
      </c>
      <c r="G2896" s="11">
        <f>INT(C2896)</f>
        <v/>
      </c>
    </row>
    <row r="2897">
      <c r="A2897" s="2" t="inlineStr">
        <is>
          <t>EXD100</t>
        </is>
      </c>
      <c r="B2897" s="3" t="n">
        <v>46081.56148148148</v>
      </c>
      <c r="C2897" s="3" t="n">
        <v>46081.72851851852</v>
      </c>
      <c r="D2897" s="4">
        <f>(C2897-B2897)*24</f>
        <v/>
      </c>
      <c r="E2897" s="5">
        <f>IF(AND(HOUR(B2897)&gt;=6,HOUR(B2897)&lt;18),"Day Shift","Night Shift")</f>
        <v/>
      </c>
      <c r="F2897" s="6">
        <f>INT(B2897)</f>
        <v/>
      </c>
      <c r="G2897" s="6">
        <f>INT(C2897)</f>
        <v/>
      </c>
    </row>
    <row r="2898">
      <c r="A2898" s="2" t="inlineStr">
        <is>
          <t>Blast Crew</t>
        </is>
      </c>
      <c r="B2898" s="3" t="n">
        <v>46081.59016203704</v>
      </c>
      <c r="C2898" s="3" t="n">
        <v>46081.75</v>
      </c>
      <c r="D2898" s="4">
        <f>(C2898-B2898)*24</f>
        <v/>
      </c>
      <c r="E2898" s="5">
        <f>IF(AND(HOUR(B2898)&gt;=6,HOUR(B2898)&lt;18),"Day Shift","Night Shift")</f>
        <v/>
      </c>
      <c r="F2898" s="6">
        <f>INT(B2898)</f>
        <v/>
      </c>
      <c r="G2898" s="6">
        <f>INT(C2898)</f>
        <v/>
      </c>
    </row>
    <row r="2899">
      <c r="A2899" s="7" t="inlineStr">
        <is>
          <t>Blast Crew</t>
        </is>
      </c>
      <c r="B2899" s="8" t="n">
        <v>46081.75</v>
      </c>
      <c r="C2899" s="8" t="n">
        <v>46082.00106481482</v>
      </c>
      <c r="D2899" s="9">
        <f>(C2899-B2899)*24</f>
        <v/>
      </c>
      <c r="E2899" s="10">
        <f>IF(AND(HOUR(B2899)&gt;=6,HOUR(B2899)&lt;18),"Day Shift","Night Shift")</f>
        <v/>
      </c>
      <c r="F2899" s="11">
        <f>INT(B2899)</f>
        <v/>
      </c>
      <c r="G2899" s="11">
        <f>INT(C2899)</f>
        <v/>
      </c>
    </row>
    <row r="2900">
      <c r="A2900" s="2" t="inlineStr">
        <is>
          <t>EDD812</t>
        </is>
      </c>
      <c r="B2900" s="3" t="n">
        <v>46081.59556712963</v>
      </c>
      <c r="C2900" s="3" t="n">
        <v>46081.75</v>
      </c>
      <c r="D2900" s="4">
        <f>(C2900-B2900)*24</f>
        <v/>
      </c>
      <c r="E2900" s="5">
        <f>IF(AND(HOUR(B2900)&gt;=6,HOUR(B2900)&lt;18),"Day Shift","Night Shift")</f>
        <v/>
      </c>
      <c r="F2900" s="6">
        <f>INT(B2900)</f>
        <v/>
      </c>
      <c r="G2900" s="6">
        <f>INT(C2900)</f>
        <v/>
      </c>
    </row>
    <row r="2901">
      <c r="A2901" s="7" t="inlineStr">
        <is>
          <t>EDD812</t>
        </is>
      </c>
      <c r="B2901" s="8" t="n">
        <v>46081.75</v>
      </c>
      <c r="C2901" s="8" t="n">
        <v>46082.25</v>
      </c>
      <c r="D2901" s="9">
        <f>(C2901-B2901)*24</f>
        <v/>
      </c>
      <c r="E2901" s="10">
        <f>IF(AND(HOUR(B2901)&gt;=6,HOUR(B2901)&lt;18),"Day Shift","Night Shift")</f>
        <v/>
      </c>
      <c r="F2901" s="11">
        <f>INT(B2901)</f>
        <v/>
      </c>
      <c r="G2901" s="11">
        <f>INT(C2901)</f>
        <v/>
      </c>
    </row>
    <row r="2902">
      <c r="A2902" s="2" t="inlineStr">
        <is>
          <t>EDD812</t>
        </is>
      </c>
      <c r="B2902" s="3" t="n">
        <v>46082.25</v>
      </c>
      <c r="C2902" s="3" t="n">
        <v>46082.75</v>
      </c>
      <c r="D2902" s="4">
        <f>(C2902-B2902)*24</f>
        <v/>
      </c>
      <c r="E2902" s="5">
        <f>IF(AND(HOUR(B2902)&gt;=6,HOUR(B2902)&lt;18),"Day Shift","Night Shift")</f>
        <v/>
      </c>
      <c r="F2902" s="6">
        <f>INT(B2902)</f>
        <v/>
      </c>
      <c r="G2902" s="6">
        <f>INT(C2902)</f>
        <v/>
      </c>
    </row>
    <row r="2903">
      <c r="A2903" s="7" t="inlineStr">
        <is>
          <t>EDD812</t>
        </is>
      </c>
      <c r="B2903" s="8" t="n">
        <v>46082.75</v>
      </c>
      <c r="C2903" s="8" t="n">
        <v>46082.93305555556</v>
      </c>
      <c r="D2903" s="9">
        <f>(C2903-B2903)*24</f>
        <v/>
      </c>
      <c r="E2903" s="10">
        <f>IF(AND(HOUR(B2903)&gt;=6,HOUR(B2903)&lt;18),"Day Shift","Night Shift")</f>
        <v/>
      </c>
      <c r="F2903" s="11">
        <f>INT(B2903)</f>
        <v/>
      </c>
      <c r="G2903" s="11">
        <f>INT(C2903)</f>
        <v/>
      </c>
    </row>
    <row r="2904">
      <c r="A2904" s="2" t="inlineStr">
        <is>
          <t>EXD98</t>
        </is>
      </c>
      <c r="B2904" s="3" t="n">
        <v>46081.68631944444</v>
      </c>
      <c r="C2904" s="3" t="n">
        <v>46081.75</v>
      </c>
      <c r="D2904" s="4">
        <f>(C2904-B2904)*24</f>
        <v/>
      </c>
      <c r="E2904" s="5">
        <f>IF(AND(HOUR(B2904)&gt;=6,HOUR(B2904)&lt;18),"Day Shift","Night Shift")</f>
        <v/>
      </c>
      <c r="F2904" s="6">
        <f>INT(B2904)</f>
        <v/>
      </c>
      <c r="G2904" s="6">
        <f>INT(C2904)</f>
        <v/>
      </c>
    </row>
    <row r="2905">
      <c r="A2905" s="7" t="inlineStr">
        <is>
          <t>EXD98</t>
        </is>
      </c>
      <c r="B2905" s="8" t="n">
        <v>46081.75</v>
      </c>
      <c r="C2905" s="8" t="n">
        <v>46081.96938657408</v>
      </c>
      <c r="D2905" s="9">
        <f>(C2905-B2905)*24</f>
        <v/>
      </c>
      <c r="E2905" s="10">
        <f>IF(AND(HOUR(B2905)&gt;=6,HOUR(B2905)&lt;18),"Day Shift","Night Shift")</f>
        <v/>
      </c>
      <c r="F2905" s="11">
        <f>INT(B2905)</f>
        <v/>
      </c>
      <c r="G2905" s="11">
        <f>INT(C2905)</f>
        <v/>
      </c>
    </row>
    <row r="2906">
      <c r="A2906" s="2" t="inlineStr">
        <is>
          <t>EXD100</t>
        </is>
      </c>
      <c r="B2906" s="3" t="n">
        <v>46081.72851851852</v>
      </c>
      <c r="C2906" s="3" t="n">
        <v>46081.75</v>
      </c>
      <c r="D2906" s="4">
        <f>(C2906-B2906)*24</f>
        <v/>
      </c>
      <c r="E2906" s="5">
        <f>IF(AND(HOUR(B2906)&gt;=6,HOUR(B2906)&lt;18),"Day Shift","Night Shift")</f>
        <v/>
      </c>
      <c r="F2906" s="6">
        <f>INT(B2906)</f>
        <v/>
      </c>
      <c r="G2906" s="6">
        <f>INT(C2906)</f>
        <v/>
      </c>
    </row>
    <row r="2907">
      <c r="A2907" s="7" t="inlineStr">
        <is>
          <t>EXD100</t>
        </is>
      </c>
      <c r="B2907" s="8" t="n">
        <v>46081.75</v>
      </c>
      <c r="C2907" s="8" t="n">
        <v>46082.08716435185</v>
      </c>
      <c r="D2907" s="9">
        <f>(C2907-B2907)*24</f>
        <v/>
      </c>
      <c r="E2907" s="10">
        <f>IF(AND(HOUR(B2907)&gt;=6,HOUR(B2907)&lt;18),"Day Shift","Night Shift")</f>
        <v/>
      </c>
      <c r="F2907" s="11">
        <f>INT(B2907)</f>
        <v/>
      </c>
      <c r="G2907" s="11">
        <f>INT(C2907)</f>
        <v/>
      </c>
    </row>
    <row r="2908">
      <c r="A2908" s="2" t="inlineStr">
        <is>
          <t>EDD2541</t>
        </is>
      </c>
      <c r="B2908" s="3" t="n">
        <v>46081.73304398148</v>
      </c>
      <c r="C2908" s="3" t="n">
        <v>46081.75</v>
      </c>
      <c r="D2908" s="4">
        <f>(C2908-B2908)*24</f>
        <v/>
      </c>
      <c r="E2908" s="5">
        <f>IF(AND(HOUR(B2908)&gt;=6,HOUR(B2908)&lt;18),"Day Shift","Night Shift")</f>
        <v/>
      </c>
      <c r="F2908" s="6">
        <f>INT(B2908)</f>
        <v/>
      </c>
      <c r="G2908" s="6">
        <f>INT(C2908)</f>
        <v/>
      </c>
    </row>
    <row r="2909">
      <c r="A2909" s="7" t="inlineStr">
        <is>
          <t>EDD2541</t>
        </is>
      </c>
      <c r="B2909" s="8" t="n">
        <v>46081.75</v>
      </c>
      <c r="C2909" s="8" t="n">
        <v>46082.04180555556</v>
      </c>
      <c r="D2909" s="9">
        <f>(C2909-B2909)*24</f>
        <v/>
      </c>
      <c r="E2909" s="10">
        <f>IF(AND(HOUR(B2909)&gt;=6,HOUR(B2909)&lt;18),"Day Shift","Night Shift")</f>
        <v/>
      </c>
      <c r="F2909" s="11">
        <f>INT(B2909)</f>
        <v/>
      </c>
      <c r="G2909" s="11">
        <f>INT(C2909)</f>
        <v/>
      </c>
    </row>
    <row r="2910">
      <c r="A2910" s="2" t="inlineStr">
        <is>
          <t>SHE36</t>
        </is>
      </c>
      <c r="B2910" s="3" t="n">
        <v>46081.73371527778</v>
      </c>
      <c r="C2910" s="3" t="n">
        <v>46081.75</v>
      </c>
      <c r="D2910" s="4">
        <f>(C2910-B2910)*24</f>
        <v/>
      </c>
      <c r="E2910" s="5">
        <f>IF(AND(HOUR(B2910)&gt;=6,HOUR(B2910)&lt;18),"Day Shift","Night Shift")</f>
        <v/>
      </c>
      <c r="F2910" s="6">
        <f>INT(B2910)</f>
        <v/>
      </c>
      <c r="G2910" s="6">
        <f>INT(C2910)</f>
        <v/>
      </c>
    </row>
    <row r="2911">
      <c r="A2911" s="7" t="inlineStr">
        <is>
          <t>SHE36</t>
        </is>
      </c>
      <c r="B2911" s="8" t="n">
        <v>46081.75</v>
      </c>
      <c r="C2911" s="8" t="n">
        <v>46082.25</v>
      </c>
      <c r="D2911" s="9">
        <f>(C2911-B2911)*24</f>
        <v/>
      </c>
      <c r="E2911" s="10">
        <f>IF(AND(HOUR(B2911)&gt;=6,HOUR(B2911)&lt;18),"Day Shift","Night Shift")</f>
        <v/>
      </c>
      <c r="F2911" s="11">
        <f>INT(B2911)</f>
        <v/>
      </c>
      <c r="G2911" s="11">
        <f>INT(C2911)</f>
        <v/>
      </c>
    </row>
    <row r="2912">
      <c r="A2912" s="2" t="inlineStr">
        <is>
          <t>SHE36</t>
        </is>
      </c>
      <c r="B2912" s="3" t="n">
        <v>46082.25</v>
      </c>
      <c r="C2912" s="3" t="n">
        <v>46082.75</v>
      </c>
      <c r="D2912" s="4">
        <f>(C2912-B2912)*24</f>
        <v/>
      </c>
      <c r="E2912" s="5">
        <f>IF(AND(HOUR(B2912)&gt;=6,HOUR(B2912)&lt;18),"Day Shift","Night Shift")</f>
        <v/>
      </c>
      <c r="F2912" s="6">
        <f>INT(B2912)</f>
        <v/>
      </c>
      <c r="G2912" s="6">
        <f>INT(C2912)</f>
        <v/>
      </c>
    </row>
    <row r="2913">
      <c r="A2913" s="7" t="inlineStr">
        <is>
          <t>SHE36</t>
        </is>
      </c>
      <c r="B2913" s="8" t="n">
        <v>46082.75</v>
      </c>
      <c r="C2913" s="8" t="n">
        <v>46082.78400462963</v>
      </c>
      <c r="D2913" s="9">
        <f>(C2913-B2913)*24</f>
        <v/>
      </c>
      <c r="E2913" s="10">
        <f>IF(AND(HOUR(B2913)&gt;=6,HOUR(B2913)&lt;18),"Day Shift","Night Shift")</f>
        <v/>
      </c>
      <c r="F2913" s="11">
        <f>INT(B2913)</f>
        <v/>
      </c>
      <c r="G2913" s="11">
        <f>INT(C2913)</f>
        <v/>
      </c>
    </row>
    <row r="2914">
      <c r="A2914" s="7" t="inlineStr">
        <is>
          <t>EDD175;EDD2134</t>
        </is>
      </c>
      <c r="B2914" s="8" t="n">
        <v>46081.76636574074</v>
      </c>
      <c r="C2914" s="8" t="n">
        <v>46082.25</v>
      </c>
      <c r="D2914" s="9">
        <f>(C2914-B2914)*24</f>
        <v/>
      </c>
      <c r="E2914" s="10">
        <f>IF(AND(HOUR(B2914)&gt;=6,HOUR(B2914)&lt;18),"Day Shift","Night Shift")</f>
        <v/>
      </c>
      <c r="F2914" s="11">
        <f>INT(B2914)</f>
        <v/>
      </c>
      <c r="G2914" s="11">
        <f>INT(C2914)</f>
        <v/>
      </c>
    </row>
    <row r="2915">
      <c r="A2915" s="2" t="inlineStr">
        <is>
          <t>EDD175;EDD2134</t>
        </is>
      </c>
      <c r="B2915" s="3" t="n">
        <v>46082.25</v>
      </c>
      <c r="C2915" s="3" t="n">
        <v>46082.75</v>
      </c>
      <c r="D2915" s="4">
        <f>(C2915-B2915)*24</f>
        <v/>
      </c>
      <c r="E2915" s="5">
        <f>IF(AND(HOUR(B2915)&gt;=6,HOUR(B2915)&lt;18),"Day Shift","Night Shift")</f>
        <v/>
      </c>
      <c r="F2915" s="6">
        <f>INT(B2915)</f>
        <v/>
      </c>
      <c r="G2915" s="6">
        <f>INT(C2915)</f>
        <v/>
      </c>
    </row>
    <row r="2916">
      <c r="A2916" s="7" t="inlineStr">
        <is>
          <t>EDD175;EDD2134</t>
        </is>
      </c>
      <c r="B2916" s="8" t="n">
        <v>46082.75</v>
      </c>
      <c r="C2916" s="8" t="n">
        <v>46082.80476851852</v>
      </c>
      <c r="D2916" s="9">
        <f>(C2916-B2916)*24</f>
        <v/>
      </c>
      <c r="E2916" s="10">
        <f>IF(AND(HOUR(B2916)&gt;=6,HOUR(B2916)&lt;18),"Day Shift","Night Shift")</f>
        <v/>
      </c>
      <c r="F2916" s="11">
        <f>INT(B2916)</f>
        <v/>
      </c>
      <c r="G2916" s="11">
        <f>INT(C2916)</f>
        <v/>
      </c>
    </row>
    <row r="2917">
      <c r="A2917" s="7" t="inlineStr">
        <is>
          <t>EXD98</t>
        </is>
      </c>
      <c r="B2917" s="8" t="n">
        <v>46081.96938657408</v>
      </c>
      <c r="C2917" s="8" t="n">
        <v>46082.25</v>
      </c>
      <c r="D2917" s="9">
        <f>(C2917-B2917)*24</f>
        <v/>
      </c>
      <c r="E2917" s="10">
        <f>IF(AND(HOUR(B2917)&gt;=6,HOUR(B2917)&lt;18),"Day Shift","Night Shift")</f>
        <v/>
      </c>
      <c r="F2917" s="11">
        <f>INT(B2917)</f>
        <v/>
      </c>
      <c r="G2917" s="11">
        <f>INT(C2917)</f>
        <v/>
      </c>
    </row>
    <row r="2918">
      <c r="A2918" s="2" t="inlineStr">
        <is>
          <t>EXD98</t>
        </is>
      </c>
      <c r="B2918" s="3" t="n">
        <v>46082.25</v>
      </c>
      <c r="C2918" s="3" t="n">
        <v>46082.29471064815</v>
      </c>
      <c r="D2918" s="4">
        <f>(C2918-B2918)*24</f>
        <v/>
      </c>
      <c r="E2918" s="5">
        <f>IF(AND(HOUR(B2918)&gt;=6,HOUR(B2918)&lt;18),"Day Shift","Night Shift")</f>
        <v/>
      </c>
      <c r="F2918" s="6">
        <f>INT(B2918)</f>
        <v/>
      </c>
      <c r="G2918" s="6">
        <f>INT(C2918)</f>
        <v/>
      </c>
    </row>
    <row r="2919">
      <c r="A2919" s="7" t="inlineStr">
        <is>
          <t>Stag Drill</t>
        </is>
      </c>
      <c r="B2919" s="8" t="n">
        <v>46081.99450231482</v>
      </c>
      <c r="C2919" s="8" t="n">
        <v>46082.25</v>
      </c>
      <c r="D2919" s="9">
        <f>(C2919-B2919)*24</f>
        <v/>
      </c>
      <c r="E2919" s="10">
        <f>IF(AND(HOUR(B2919)&gt;=6,HOUR(B2919)&lt;18),"Day Shift","Night Shift")</f>
        <v/>
      </c>
      <c r="F2919" s="11">
        <f>INT(B2919)</f>
        <v/>
      </c>
      <c r="G2919" s="11">
        <f>INT(C2919)</f>
        <v/>
      </c>
    </row>
    <row r="2920">
      <c r="A2920" s="2" t="inlineStr">
        <is>
          <t>Stag Drill</t>
        </is>
      </c>
      <c r="B2920" s="3" t="n">
        <v>46082.25</v>
      </c>
      <c r="C2920" s="3" t="n">
        <v>46082.60133101852</v>
      </c>
      <c r="D2920" s="4">
        <f>(C2920-B2920)*24</f>
        <v/>
      </c>
      <c r="E2920" s="5">
        <f>IF(AND(HOUR(B2920)&gt;=6,HOUR(B2920)&lt;18),"Day Shift","Night Shift")</f>
        <v/>
      </c>
      <c r="F2920" s="6">
        <f>INT(B2920)</f>
        <v/>
      </c>
      <c r="G2920" s="6">
        <f>INT(C2920)</f>
        <v/>
      </c>
    </row>
    <row r="2921">
      <c r="A2921" s="7" t="inlineStr">
        <is>
          <t>Blast Crew</t>
        </is>
      </c>
      <c r="B2921" s="8" t="n">
        <v>46082.00106481482</v>
      </c>
      <c r="C2921" s="8" t="n">
        <v>46082.25</v>
      </c>
      <c r="D2921" s="9">
        <f>(C2921-B2921)*24</f>
        <v/>
      </c>
      <c r="E2921" s="10">
        <f>IF(AND(HOUR(B2921)&gt;=6,HOUR(B2921)&lt;18),"Day Shift","Night Shift")</f>
        <v/>
      </c>
      <c r="F2921" s="11">
        <f>INT(B2921)</f>
        <v/>
      </c>
      <c r="G2921" s="11">
        <f>INT(C2921)</f>
        <v/>
      </c>
    </row>
    <row r="2922">
      <c r="A2922" s="2" t="inlineStr">
        <is>
          <t>Blast Crew</t>
        </is>
      </c>
      <c r="B2922" s="3" t="n">
        <v>46082.25</v>
      </c>
      <c r="C2922" s="3" t="n">
        <v>46082.41421296296</v>
      </c>
      <c r="D2922" s="4">
        <f>(C2922-B2922)*24</f>
        <v/>
      </c>
      <c r="E2922" s="5">
        <f>IF(AND(HOUR(B2922)&gt;=6,HOUR(B2922)&lt;18),"Day Shift","Night Shift")</f>
        <v/>
      </c>
      <c r="F2922" s="6">
        <f>INT(B2922)</f>
        <v/>
      </c>
      <c r="G2922" s="6">
        <f>INT(C2922)</f>
        <v/>
      </c>
    </row>
    <row r="2923">
      <c r="A2923" s="7" t="inlineStr">
        <is>
          <t>EDD2541</t>
        </is>
      </c>
      <c r="B2923" s="8" t="n">
        <v>46082.04180555556</v>
      </c>
      <c r="C2923" s="8" t="n">
        <v>46082.22747685185</v>
      </c>
      <c r="D2923" s="9">
        <f>(C2923-B2923)*24</f>
        <v/>
      </c>
      <c r="E2923" s="10">
        <f>IF(AND(HOUR(B2923)&gt;=6,HOUR(B2923)&lt;18),"Day Shift","Night Shift")</f>
        <v/>
      </c>
      <c r="F2923" s="11">
        <f>INT(B2923)</f>
        <v/>
      </c>
      <c r="G2923" s="11">
        <f>INT(C2923)</f>
        <v/>
      </c>
    </row>
    <row r="2924">
      <c r="A2924" s="7" t="inlineStr">
        <is>
          <t>EXD61</t>
        </is>
      </c>
      <c r="B2924" s="8" t="n">
        <v>46082.07016203704</v>
      </c>
      <c r="C2924" s="8" t="n">
        <v>46082.25</v>
      </c>
      <c r="D2924" s="9">
        <f>(C2924-B2924)*24</f>
        <v/>
      </c>
      <c r="E2924" s="10">
        <f>IF(AND(HOUR(B2924)&gt;=6,HOUR(B2924)&lt;18),"Day Shift","Night Shift")</f>
        <v/>
      </c>
      <c r="F2924" s="11">
        <f>INT(B2924)</f>
        <v/>
      </c>
      <c r="G2924" s="11">
        <f>INT(C2924)</f>
        <v/>
      </c>
    </row>
    <row r="2925">
      <c r="A2925" s="2" t="inlineStr">
        <is>
          <t>EXD61</t>
        </is>
      </c>
      <c r="B2925" s="3" t="n">
        <v>46082.25</v>
      </c>
      <c r="C2925" s="3" t="n">
        <v>46082.75</v>
      </c>
      <c r="D2925" s="4">
        <f>(C2925-B2925)*24</f>
        <v/>
      </c>
      <c r="E2925" s="5">
        <f>IF(AND(HOUR(B2925)&gt;=6,HOUR(B2925)&lt;18),"Day Shift","Night Shift")</f>
        <v/>
      </c>
      <c r="F2925" s="6">
        <f>INT(B2925)</f>
        <v/>
      </c>
      <c r="G2925" s="6">
        <f>INT(C2925)</f>
        <v/>
      </c>
    </row>
    <row r="2926">
      <c r="A2926" s="7" t="inlineStr">
        <is>
          <t>EXD61</t>
        </is>
      </c>
      <c r="B2926" s="8" t="n">
        <v>46082.75</v>
      </c>
      <c r="C2926" s="8" t="n">
        <v>46083.25</v>
      </c>
      <c r="D2926" s="9">
        <f>(C2926-B2926)*24</f>
        <v/>
      </c>
      <c r="E2926" s="10">
        <f>IF(AND(HOUR(B2926)&gt;=6,HOUR(B2926)&lt;18),"Day Shift","Night Shift")</f>
        <v/>
      </c>
      <c r="F2926" s="11">
        <f>INT(B2926)</f>
        <v/>
      </c>
      <c r="G2926" s="11">
        <f>INT(C2926)</f>
        <v/>
      </c>
    </row>
    <row r="2927">
      <c r="A2927" s="2" t="inlineStr">
        <is>
          <t>EXD61</t>
        </is>
      </c>
      <c r="B2927" s="3" t="n">
        <v>46083.25</v>
      </c>
      <c r="C2927" s="3" t="n">
        <v>46083.75</v>
      </c>
      <c r="D2927" s="4">
        <f>(C2927-B2927)*24</f>
        <v/>
      </c>
      <c r="E2927" s="5">
        <f>IF(AND(HOUR(B2927)&gt;=6,HOUR(B2927)&lt;18),"Day Shift","Night Shift")</f>
        <v/>
      </c>
      <c r="F2927" s="6">
        <f>INT(B2927)</f>
        <v/>
      </c>
      <c r="G2927" s="6">
        <f>INT(C2927)</f>
        <v/>
      </c>
    </row>
    <row r="2928">
      <c r="A2928" s="7" t="inlineStr">
        <is>
          <t>EXD61</t>
        </is>
      </c>
      <c r="B2928" s="8" t="n">
        <v>46083.75</v>
      </c>
      <c r="C2928" s="8" t="n">
        <v>46084.25</v>
      </c>
      <c r="D2928" s="9">
        <f>(C2928-B2928)*24</f>
        <v/>
      </c>
      <c r="E2928" s="10">
        <f>IF(AND(HOUR(B2928)&gt;=6,HOUR(B2928)&lt;18),"Day Shift","Night Shift")</f>
        <v/>
      </c>
      <c r="F2928" s="11">
        <f>INT(B2928)</f>
        <v/>
      </c>
      <c r="G2928" s="11">
        <f>INT(C2928)</f>
        <v/>
      </c>
    </row>
    <row r="2929">
      <c r="A2929" s="2" t="inlineStr">
        <is>
          <t>EXD61</t>
        </is>
      </c>
      <c r="B2929" s="3" t="n">
        <v>46084.25</v>
      </c>
      <c r="C2929" s="3" t="n">
        <v>46084.75</v>
      </c>
      <c r="D2929" s="4">
        <f>(C2929-B2929)*24</f>
        <v/>
      </c>
      <c r="E2929" s="5">
        <f>IF(AND(HOUR(B2929)&gt;=6,HOUR(B2929)&lt;18),"Day Shift","Night Shift")</f>
        <v/>
      </c>
      <c r="F2929" s="6">
        <f>INT(B2929)</f>
        <v/>
      </c>
      <c r="G2929" s="6">
        <f>INT(C2929)</f>
        <v/>
      </c>
    </row>
    <row r="2930">
      <c r="A2930" s="7" t="inlineStr">
        <is>
          <t>EXD61</t>
        </is>
      </c>
      <c r="B2930" s="8" t="n">
        <v>46084.75</v>
      </c>
      <c r="C2930" s="8" t="n">
        <v>46085.25</v>
      </c>
      <c r="D2930" s="9">
        <f>(C2930-B2930)*24</f>
        <v/>
      </c>
      <c r="E2930" s="10">
        <f>IF(AND(HOUR(B2930)&gt;=6,HOUR(B2930)&lt;18),"Day Shift","Night Shift")</f>
        <v/>
      </c>
      <c r="F2930" s="11">
        <f>INT(B2930)</f>
        <v/>
      </c>
      <c r="G2930" s="11">
        <f>INT(C2930)</f>
        <v/>
      </c>
    </row>
    <row r="2931">
      <c r="A2931" s="2" t="inlineStr">
        <is>
          <t>EXD61</t>
        </is>
      </c>
      <c r="B2931" s="3" t="n">
        <v>46085.25</v>
      </c>
      <c r="C2931" s="3" t="n">
        <v>46085.75</v>
      </c>
      <c r="D2931" s="4">
        <f>(C2931-B2931)*24</f>
        <v/>
      </c>
      <c r="E2931" s="5">
        <f>IF(AND(HOUR(B2931)&gt;=6,HOUR(B2931)&lt;18),"Day Shift","Night Shift")</f>
        <v/>
      </c>
      <c r="F2931" s="6">
        <f>INT(B2931)</f>
        <v/>
      </c>
      <c r="G2931" s="6">
        <f>INT(C2931)</f>
        <v/>
      </c>
    </row>
    <row r="2932">
      <c r="A2932" s="7" t="inlineStr">
        <is>
          <t>EXD61</t>
        </is>
      </c>
      <c r="B2932" s="8" t="n">
        <v>46085.75</v>
      </c>
      <c r="C2932" s="8" t="n">
        <v>46086.03055555555</v>
      </c>
      <c r="D2932" s="9">
        <f>(C2932-B2932)*24</f>
        <v/>
      </c>
      <c r="E2932" s="10">
        <f>IF(AND(HOUR(B2932)&gt;=6,HOUR(B2932)&lt;18),"Day Shift","Night Shift")</f>
        <v/>
      </c>
      <c r="F2932" s="11">
        <f>INT(B2932)</f>
        <v/>
      </c>
      <c r="G2932" s="11">
        <f>INT(C2932)</f>
        <v/>
      </c>
    </row>
    <row r="2933">
      <c r="A2933" s="7" t="inlineStr">
        <is>
          <t>DRE42</t>
        </is>
      </c>
      <c r="B2933" s="8" t="n">
        <v>46082.11153935185</v>
      </c>
      <c r="C2933" s="8" t="n">
        <v>46082.25</v>
      </c>
      <c r="D2933" s="9">
        <f>(C2933-B2933)*24</f>
        <v/>
      </c>
      <c r="E2933" s="10">
        <f>IF(AND(HOUR(B2933)&gt;=6,HOUR(B2933)&lt;18),"Day Shift","Night Shift")</f>
        <v/>
      </c>
      <c r="F2933" s="11">
        <f>INT(B2933)</f>
        <v/>
      </c>
      <c r="G2933" s="11">
        <f>INT(C2933)</f>
        <v/>
      </c>
    </row>
    <row r="2934">
      <c r="A2934" s="2" t="inlineStr">
        <is>
          <t>DRE42</t>
        </is>
      </c>
      <c r="B2934" s="3" t="n">
        <v>46082.25</v>
      </c>
      <c r="C2934" s="3" t="n">
        <v>46082.75</v>
      </c>
      <c r="D2934" s="4">
        <f>(C2934-B2934)*24</f>
        <v/>
      </c>
      <c r="E2934" s="5">
        <f>IF(AND(HOUR(B2934)&gt;=6,HOUR(B2934)&lt;18),"Day Shift","Night Shift")</f>
        <v/>
      </c>
      <c r="F2934" s="6">
        <f>INT(B2934)</f>
        <v/>
      </c>
      <c r="G2934" s="6">
        <f>INT(C2934)</f>
        <v/>
      </c>
    </row>
    <row r="2935">
      <c r="A2935" s="7" t="inlineStr">
        <is>
          <t>DRE42</t>
        </is>
      </c>
      <c r="B2935" s="8" t="n">
        <v>46082.75</v>
      </c>
      <c r="C2935" s="8" t="n">
        <v>46083.25</v>
      </c>
      <c r="D2935" s="9">
        <f>(C2935-B2935)*24</f>
        <v/>
      </c>
      <c r="E2935" s="10">
        <f>IF(AND(HOUR(B2935)&gt;=6,HOUR(B2935)&lt;18),"Day Shift","Night Shift")</f>
        <v/>
      </c>
      <c r="F2935" s="11">
        <f>INT(B2935)</f>
        <v/>
      </c>
      <c r="G2935" s="11">
        <f>INT(C2935)</f>
        <v/>
      </c>
    </row>
    <row r="2936">
      <c r="A2936" s="2" t="inlineStr">
        <is>
          <t>DRE42</t>
        </is>
      </c>
      <c r="B2936" s="3" t="n">
        <v>46083.25</v>
      </c>
      <c r="C2936" s="3" t="n">
        <v>46083.75</v>
      </c>
      <c r="D2936" s="4">
        <f>(C2936-B2936)*24</f>
        <v/>
      </c>
      <c r="E2936" s="5">
        <f>IF(AND(HOUR(B2936)&gt;=6,HOUR(B2936)&lt;18),"Day Shift","Night Shift")</f>
        <v/>
      </c>
      <c r="F2936" s="6">
        <f>INT(B2936)</f>
        <v/>
      </c>
      <c r="G2936" s="6">
        <f>INT(C2936)</f>
        <v/>
      </c>
    </row>
    <row r="2937">
      <c r="A2937" s="7" t="inlineStr">
        <is>
          <t>DRE42</t>
        </is>
      </c>
      <c r="B2937" s="8" t="n">
        <v>46083.75</v>
      </c>
      <c r="C2937" s="8" t="n">
        <v>46083.87488425926</v>
      </c>
      <c r="D2937" s="9">
        <f>(C2937-B2937)*24</f>
        <v/>
      </c>
      <c r="E2937" s="10">
        <f>IF(AND(HOUR(B2937)&gt;=6,HOUR(B2937)&lt;18),"Day Shift","Night Shift")</f>
        <v/>
      </c>
      <c r="F2937" s="11">
        <f>INT(B2937)</f>
        <v/>
      </c>
      <c r="G2937" s="11">
        <f>INT(C2937)</f>
        <v/>
      </c>
    </row>
    <row r="2938">
      <c r="A2938" s="7" t="inlineStr">
        <is>
          <t>EXD100</t>
        </is>
      </c>
      <c r="B2938" s="8" t="n">
        <v>46082.12666666666</v>
      </c>
      <c r="C2938" s="8" t="n">
        <v>46082.25</v>
      </c>
      <c r="D2938" s="9">
        <f>(C2938-B2938)*24</f>
        <v/>
      </c>
      <c r="E2938" s="10">
        <f>IF(AND(HOUR(B2938)&gt;=6,HOUR(B2938)&lt;18),"Day Shift","Night Shift")</f>
        <v/>
      </c>
      <c r="F2938" s="11">
        <f>INT(B2938)</f>
        <v/>
      </c>
      <c r="G2938" s="11">
        <f>INT(C2938)</f>
        <v/>
      </c>
    </row>
    <row r="2939">
      <c r="A2939" s="2" t="inlineStr">
        <is>
          <t>EXD100</t>
        </is>
      </c>
      <c r="B2939" s="3" t="n">
        <v>46082.25</v>
      </c>
      <c r="C2939" s="3" t="n">
        <v>46082.70811342593</v>
      </c>
      <c r="D2939" s="4">
        <f>(C2939-B2939)*24</f>
        <v/>
      </c>
      <c r="E2939" s="5">
        <f>IF(AND(HOUR(B2939)&gt;=6,HOUR(B2939)&lt;18),"Day Shift","Night Shift")</f>
        <v/>
      </c>
      <c r="F2939" s="6">
        <f>INT(B2939)</f>
        <v/>
      </c>
      <c r="G2939" s="6">
        <f>INT(C2939)</f>
        <v/>
      </c>
    </row>
    <row r="2940">
      <c r="A2940" s="7" t="inlineStr">
        <is>
          <t>EXD408</t>
        </is>
      </c>
      <c r="B2940" s="8" t="n">
        <v>46082.19309027777</v>
      </c>
      <c r="C2940" s="8" t="n">
        <v>46082.25</v>
      </c>
      <c r="D2940" s="9">
        <f>(C2940-B2940)*24</f>
        <v/>
      </c>
      <c r="E2940" s="10">
        <f>IF(AND(HOUR(B2940)&gt;=6,HOUR(B2940)&lt;18),"Day Shift","Night Shift")</f>
        <v/>
      </c>
      <c r="F2940" s="11">
        <f>INT(B2940)</f>
        <v/>
      </c>
      <c r="G2940" s="11">
        <f>INT(C2940)</f>
        <v/>
      </c>
    </row>
    <row r="2941">
      <c r="A2941" s="2" t="inlineStr">
        <is>
          <t>EXD408</t>
        </is>
      </c>
      <c r="B2941" s="3" t="n">
        <v>46082.25</v>
      </c>
      <c r="C2941" s="3" t="n">
        <v>46082.75</v>
      </c>
      <c r="D2941" s="4">
        <f>(C2941-B2941)*24</f>
        <v/>
      </c>
      <c r="E2941" s="5">
        <f>IF(AND(HOUR(B2941)&gt;=6,HOUR(B2941)&lt;18),"Day Shift","Night Shift")</f>
        <v/>
      </c>
      <c r="F2941" s="6">
        <f>INT(B2941)</f>
        <v/>
      </c>
      <c r="G2941" s="6">
        <f>INT(C2941)</f>
        <v/>
      </c>
    </row>
    <row r="2942">
      <c r="A2942" s="7" t="inlineStr">
        <is>
          <t>EXD408</t>
        </is>
      </c>
      <c r="B2942" s="8" t="n">
        <v>46082.75</v>
      </c>
      <c r="C2942" s="8" t="n">
        <v>46083.25</v>
      </c>
      <c r="D2942" s="9">
        <f>(C2942-B2942)*24</f>
        <v/>
      </c>
      <c r="E2942" s="10">
        <f>IF(AND(HOUR(B2942)&gt;=6,HOUR(B2942)&lt;18),"Day Shift","Night Shift")</f>
        <v/>
      </c>
      <c r="F2942" s="11">
        <f>INT(B2942)</f>
        <v/>
      </c>
      <c r="G2942" s="11">
        <f>INT(C2942)</f>
        <v/>
      </c>
    </row>
    <row r="2943">
      <c r="A2943" s="2" t="inlineStr">
        <is>
          <t>EXD408</t>
        </is>
      </c>
      <c r="B2943" s="3" t="n">
        <v>46083.25</v>
      </c>
      <c r="C2943" s="3" t="n">
        <v>46083.67318287037</v>
      </c>
      <c r="D2943" s="4">
        <f>(C2943-B2943)*24</f>
        <v/>
      </c>
      <c r="E2943" s="5">
        <f>IF(AND(HOUR(B2943)&gt;=6,HOUR(B2943)&lt;18),"Day Shift","Night Shift")</f>
        <v/>
      </c>
      <c r="F2943" s="6">
        <f>INT(B2943)</f>
        <v/>
      </c>
      <c r="G2943" s="6">
        <f>INT(C2943)</f>
        <v/>
      </c>
    </row>
    <row r="2944">
      <c r="A2944" s="7" t="inlineStr">
        <is>
          <t>EXD409</t>
        </is>
      </c>
      <c r="B2944" s="8" t="n">
        <v>46082.21445601852</v>
      </c>
      <c r="C2944" s="8" t="n">
        <v>46082.25</v>
      </c>
      <c r="D2944" s="9">
        <f>(C2944-B2944)*24</f>
        <v/>
      </c>
      <c r="E2944" s="10">
        <f>IF(AND(HOUR(B2944)&gt;=6,HOUR(B2944)&lt;18),"Day Shift","Night Shift")</f>
        <v/>
      </c>
      <c r="F2944" s="11">
        <f>INT(B2944)</f>
        <v/>
      </c>
      <c r="G2944" s="11">
        <f>INT(C2944)</f>
        <v/>
      </c>
    </row>
    <row r="2945">
      <c r="A2945" s="2" t="inlineStr">
        <is>
          <t>EXD409</t>
        </is>
      </c>
      <c r="B2945" s="3" t="n">
        <v>46082.25</v>
      </c>
      <c r="C2945" s="3" t="n">
        <v>46082.75</v>
      </c>
      <c r="D2945" s="4">
        <f>(C2945-B2945)*24</f>
        <v/>
      </c>
      <c r="E2945" s="5">
        <f>IF(AND(HOUR(B2945)&gt;=6,HOUR(B2945)&lt;18),"Day Shift","Night Shift")</f>
        <v/>
      </c>
      <c r="F2945" s="6">
        <f>INT(B2945)</f>
        <v/>
      </c>
      <c r="G2945" s="6">
        <f>INT(C2945)</f>
        <v/>
      </c>
    </row>
    <row r="2946">
      <c r="A2946" s="7" t="inlineStr">
        <is>
          <t>EXD409</t>
        </is>
      </c>
      <c r="B2946" s="8" t="n">
        <v>46082.75</v>
      </c>
      <c r="C2946" s="8" t="n">
        <v>46083.09208333334</v>
      </c>
      <c r="D2946" s="9">
        <f>(C2946-B2946)*24</f>
        <v/>
      </c>
      <c r="E2946" s="10">
        <f>IF(AND(HOUR(B2946)&gt;=6,HOUR(B2946)&lt;18),"Day Shift","Night Shift")</f>
        <v/>
      </c>
      <c r="F2946" s="11">
        <f>INT(B2946)</f>
        <v/>
      </c>
      <c r="G2946" s="11">
        <f>INT(C2946)</f>
        <v/>
      </c>
    </row>
    <row r="2947">
      <c r="A2947" s="2" t="inlineStr">
        <is>
          <t>EDD2541;Sprint 1</t>
        </is>
      </c>
      <c r="B2947" s="3" t="n">
        <v>46082.28185185185</v>
      </c>
      <c r="C2947" s="3" t="n">
        <v>46082.48702546296</v>
      </c>
      <c r="D2947" s="4">
        <f>(C2947-B2947)*24</f>
        <v/>
      </c>
      <c r="E2947" s="5">
        <f>IF(AND(HOUR(B2947)&gt;=6,HOUR(B2947)&lt;18),"Day Shift","Night Shift")</f>
        <v/>
      </c>
      <c r="F2947" s="6">
        <f>INT(B2947)</f>
        <v/>
      </c>
      <c r="G2947" s="6">
        <f>INT(C2947)</f>
        <v/>
      </c>
    </row>
    <row r="2948">
      <c r="A2948" s="2" t="inlineStr">
        <is>
          <t>EXD101</t>
        </is>
      </c>
      <c r="B2948" s="3" t="n">
        <v>46082.32241898148</v>
      </c>
      <c r="C2948" s="3" t="n">
        <v>46082.5740625</v>
      </c>
      <c r="D2948" s="4">
        <f>(C2948-B2948)*24</f>
        <v/>
      </c>
      <c r="E2948" s="5">
        <f>IF(AND(HOUR(B2948)&gt;=6,HOUR(B2948)&lt;18),"Day Shift","Night Shift")</f>
        <v/>
      </c>
      <c r="F2948" s="6">
        <f>INT(B2948)</f>
        <v/>
      </c>
      <c r="G2948" s="6">
        <f>INT(C2948)</f>
        <v/>
      </c>
    </row>
    <row r="2949">
      <c r="A2949" s="2" t="inlineStr">
        <is>
          <t>Blast Crew</t>
        </is>
      </c>
      <c r="B2949" s="3" t="n">
        <v>46082.41421296296</v>
      </c>
      <c r="C2949" s="3" t="n">
        <v>46082.75</v>
      </c>
      <c r="D2949" s="4">
        <f>(C2949-B2949)*24</f>
        <v/>
      </c>
      <c r="E2949" s="5">
        <f>IF(AND(HOUR(B2949)&gt;=6,HOUR(B2949)&lt;18),"Day Shift","Night Shift")</f>
        <v/>
      </c>
      <c r="F2949" s="6">
        <f>INT(B2949)</f>
        <v/>
      </c>
      <c r="G2949" s="6">
        <f>INT(C2949)</f>
        <v/>
      </c>
    </row>
    <row r="2950">
      <c r="A2950" s="7" t="inlineStr">
        <is>
          <t>Blast Crew</t>
        </is>
      </c>
      <c r="B2950" s="8" t="n">
        <v>46082.75</v>
      </c>
      <c r="C2950" s="8" t="n">
        <v>46083.25</v>
      </c>
      <c r="D2950" s="9">
        <f>(C2950-B2950)*24</f>
        <v/>
      </c>
      <c r="E2950" s="10">
        <f>IF(AND(HOUR(B2950)&gt;=6,HOUR(B2950)&lt;18),"Day Shift","Night Shift")</f>
        <v/>
      </c>
      <c r="F2950" s="11">
        <f>INT(B2950)</f>
        <v/>
      </c>
      <c r="G2950" s="11">
        <f>INT(C2950)</f>
        <v/>
      </c>
    </row>
    <row r="2951">
      <c r="A2951" s="2" t="inlineStr">
        <is>
          <t>Blast Crew</t>
        </is>
      </c>
      <c r="B2951" s="3" t="n">
        <v>46083.25</v>
      </c>
      <c r="C2951" s="3" t="n">
        <v>46083.55616898148</v>
      </c>
      <c r="D2951" s="4">
        <f>(C2951-B2951)*24</f>
        <v/>
      </c>
      <c r="E2951" s="5">
        <f>IF(AND(HOUR(B2951)&gt;=6,HOUR(B2951)&lt;18),"Day Shift","Night Shift")</f>
        <v/>
      </c>
      <c r="F2951" s="6">
        <f>INT(B2951)</f>
        <v/>
      </c>
      <c r="G2951" s="6">
        <f>INT(C2951)</f>
        <v/>
      </c>
    </row>
    <row r="2952">
      <c r="A2952" s="2" t="inlineStr">
        <is>
          <t>EXD56</t>
        </is>
      </c>
      <c r="B2952" s="3" t="n">
        <v>46082.44489583333</v>
      </c>
      <c r="C2952" s="3" t="n">
        <v>46082.75</v>
      </c>
      <c r="D2952" s="4">
        <f>(C2952-B2952)*24</f>
        <v/>
      </c>
      <c r="E2952" s="5">
        <f>IF(AND(HOUR(B2952)&gt;=6,HOUR(B2952)&lt;18),"Day Shift","Night Shift")</f>
        <v/>
      </c>
      <c r="F2952" s="6">
        <f>INT(B2952)</f>
        <v/>
      </c>
      <c r="G2952" s="6">
        <f>INT(C2952)</f>
        <v/>
      </c>
    </row>
    <row r="2953">
      <c r="A2953" s="7" t="inlineStr">
        <is>
          <t>EXD56</t>
        </is>
      </c>
      <c r="B2953" s="8" t="n">
        <v>46082.75</v>
      </c>
      <c r="C2953" s="8" t="n">
        <v>46083.25</v>
      </c>
      <c r="D2953" s="9">
        <f>(C2953-B2953)*24</f>
        <v/>
      </c>
      <c r="E2953" s="10">
        <f>IF(AND(HOUR(B2953)&gt;=6,HOUR(B2953)&lt;18),"Day Shift","Night Shift")</f>
        <v/>
      </c>
      <c r="F2953" s="11">
        <f>INT(B2953)</f>
        <v/>
      </c>
      <c r="G2953" s="11">
        <f>INT(C2953)</f>
        <v/>
      </c>
    </row>
    <row r="2954">
      <c r="A2954" s="2" t="inlineStr">
        <is>
          <t>EXD56</t>
        </is>
      </c>
      <c r="B2954" s="3" t="n">
        <v>46083.25</v>
      </c>
      <c r="C2954" s="3" t="n">
        <v>46083.75</v>
      </c>
      <c r="D2954" s="4">
        <f>(C2954-B2954)*24</f>
        <v/>
      </c>
      <c r="E2954" s="5">
        <f>IF(AND(HOUR(B2954)&gt;=6,HOUR(B2954)&lt;18),"Day Shift","Night Shift")</f>
        <v/>
      </c>
      <c r="F2954" s="6">
        <f>INT(B2954)</f>
        <v/>
      </c>
      <c r="G2954" s="6">
        <f>INT(C2954)</f>
        <v/>
      </c>
    </row>
    <row r="2955">
      <c r="A2955" s="7" t="inlineStr">
        <is>
          <t>EXD56</t>
        </is>
      </c>
      <c r="B2955" s="8" t="n">
        <v>46083.75</v>
      </c>
      <c r="C2955" s="8" t="n">
        <v>46084.25</v>
      </c>
      <c r="D2955" s="9">
        <f>(C2955-B2955)*24</f>
        <v/>
      </c>
      <c r="E2955" s="10">
        <f>IF(AND(HOUR(B2955)&gt;=6,HOUR(B2955)&lt;18),"Day Shift","Night Shift")</f>
        <v/>
      </c>
      <c r="F2955" s="11">
        <f>INT(B2955)</f>
        <v/>
      </c>
      <c r="G2955" s="11">
        <f>INT(C2955)</f>
        <v/>
      </c>
    </row>
    <row r="2956">
      <c r="A2956" s="2" t="inlineStr">
        <is>
          <t>EXD56</t>
        </is>
      </c>
      <c r="B2956" s="3" t="n">
        <v>46084.25</v>
      </c>
      <c r="C2956" s="3" t="n">
        <v>46084.58314814815</v>
      </c>
      <c r="D2956" s="4">
        <f>(C2956-B2956)*24</f>
        <v/>
      </c>
      <c r="E2956" s="5">
        <f>IF(AND(HOUR(B2956)&gt;=6,HOUR(B2956)&lt;18),"Day Shift","Night Shift")</f>
        <v/>
      </c>
      <c r="F2956" s="6">
        <f>INT(B2956)</f>
        <v/>
      </c>
      <c r="G2956" s="6">
        <f>INT(C2956)</f>
        <v/>
      </c>
    </row>
    <row r="2957">
      <c r="A2957" s="2" t="inlineStr">
        <is>
          <t>EXD73</t>
        </is>
      </c>
      <c r="B2957" s="3" t="n">
        <v>46082.45030092593</v>
      </c>
      <c r="C2957" s="3" t="n">
        <v>46082.75</v>
      </c>
      <c r="D2957" s="4">
        <f>(C2957-B2957)*24</f>
        <v/>
      </c>
      <c r="E2957" s="5">
        <f>IF(AND(HOUR(B2957)&gt;=6,HOUR(B2957)&lt;18),"Day Shift","Night Shift")</f>
        <v/>
      </c>
      <c r="F2957" s="6">
        <f>INT(B2957)</f>
        <v/>
      </c>
      <c r="G2957" s="6">
        <f>INT(C2957)</f>
        <v/>
      </c>
    </row>
    <row r="2958">
      <c r="A2958" s="7" t="inlineStr">
        <is>
          <t>EXD73</t>
        </is>
      </c>
      <c r="B2958" s="8" t="n">
        <v>46082.75</v>
      </c>
      <c r="C2958" s="8" t="n">
        <v>46082.84505787037</v>
      </c>
      <c r="D2958" s="9">
        <f>(C2958-B2958)*24</f>
        <v/>
      </c>
      <c r="E2958" s="10">
        <f>IF(AND(HOUR(B2958)&gt;=6,HOUR(B2958)&lt;18),"Day Shift","Night Shift")</f>
        <v/>
      </c>
      <c r="F2958" s="11">
        <f>INT(B2958)</f>
        <v/>
      </c>
      <c r="G2958" s="11">
        <f>INT(C2958)</f>
        <v/>
      </c>
    </row>
    <row r="2959">
      <c r="A2959" s="2" t="inlineStr">
        <is>
          <t>EDD2541;Sprint 1</t>
        </is>
      </c>
      <c r="B2959" s="3" t="n">
        <v>46082.48702546296</v>
      </c>
      <c r="C2959" s="3" t="n">
        <v>46082.70738425926</v>
      </c>
      <c r="D2959" s="4">
        <f>(C2959-B2959)*24</f>
        <v/>
      </c>
      <c r="E2959" s="5">
        <f>IF(AND(HOUR(B2959)&gt;=6,HOUR(B2959)&lt;18),"Day Shift","Night Shift")</f>
        <v/>
      </c>
      <c r="F2959" s="6">
        <f>INT(B2959)</f>
        <v/>
      </c>
      <c r="G2959" s="6">
        <f>INT(C2959)</f>
        <v/>
      </c>
    </row>
    <row r="2960">
      <c r="A2960" s="2" t="inlineStr">
        <is>
          <t>EXD101</t>
        </is>
      </c>
      <c r="B2960" s="3" t="n">
        <v>46082.5740625</v>
      </c>
      <c r="C2960" s="3" t="n">
        <v>46082.75</v>
      </c>
      <c r="D2960" s="4">
        <f>(C2960-B2960)*24</f>
        <v/>
      </c>
      <c r="E2960" s="5">
        <f>IF(AND(HOUR(B2960)&gt;=6,HOUR(B2960)&lt;18),"Day Shift","Night Shift")</f>
        <v/>
      </c>
      <c r="F2960" s="6">
        <f>INT(B2960)</f>
        <v/>
      </c>
      <c r="G2960" s="6">
        <f>INT(C2960)</f>
        <v/>
      </c>
    </row>
    <row r="2961">
      <c r="A2961" s="7" t="inlineStr">
        <is>
          <t>EXD101</t>
        </is>
      </c>
      <c r="B2961" s="8" t="n">
        <v>46082.75</v>
      </c>
      <c r="C2961" s="8" t="n">
        <v>46082.78722222222</v>
      </c>
      <c r="D2961" s="9">
        <f>(C2961-B2961)*24</f>
        <v/>
      </c>
      <c r="E2961" s="10">
        <f>IF(AND(HOUR(B2961)&gt;=6,HOUR(B2961)&lt;18),"Day Shift","Night Shift")</f>
        <v/>
      </c>
      <c r="F2961" s="11">
        <f>INT(B2961)</f>
        <v/>
      </c>
      <c r="G2961" s="11">
        <f>INT(C2961)</f>
        <v/>
      </c>
    </row>
    <row r="2962">
      <c r="A2962" s="2" t="inlineStr">
        <is>
          <t>EXD407</t>
        </is>
      </c>
      <c r="B2962" s="3" t="n">
        <v>46082.58459490741</v>
      </c>
      <c r="C2962" s="3" t="n">
        <v>46082.75</v>
      </c>
      <c r="D2962" s="4">
        <f>(C2962-B2962)*24</f>
        <v/>
      </c>
      <c r="E2962" s="5">
        <f>IF(AND(HOUR(B2962)&gt;=6,HOUR(B2962)&lt;18),"Day Shift","Night Shift")</f>
        <v/>
      </c>
      <c r="F2962" s="6">
        <f>INT(B2962)</f>
        <v/>
      </c>
      <c r="G2962" s="6">
        <f>INT(C2962)</f>
        <v/>
      </c>
    </row>
    <row r="2963">
      <c r="A2963" s="7" t="inlineStr">
        <is>
          <t>EXD407</t>
        </is>
      </c>
      <c r="B2963" s="8" t="n">
        <v>46082.75</v>
      </c>
      <c r="C2963" s="8" t="n">
        <v>46083.25</v>
      </c>
      <c r="D2963" s="9">
        <f>(C2963-B2963)*24</f>
        <v/>
      </c>
      <c r="E2963" s="10">
        <f>IF(AND(HOUR(B2963)&gt;=6,HOUR(B2963)&lt;18),"Day Shift","Night Shift")</f>
        <v/>
      </c>
      <c r="F2963" s="11">
        <f>INT(B2963)</f>
        <v/>
      </c>
      <c r="G2963" s="11">
        <f>INT(C2963)</f>
        <v/>
      </c>
    </row>
    <row r="2964">
      <c r="A2964" s="2" t="inlineStr">
        <is>
          <t>EXD407</t>
        </is>
      </c>
      <c r="B2964" s="3" t="n">
        <v>46083.25</v>
      </c>
      <c r="C2964" s="3" t="n">
        <v>46083.75</v>
      </c>
      <c r="D2964" s="4">
        <f>(C2964-B2964)*24</f>
        <v/>
      </c>
      <c r="E2964" s="5">
        <f>IF(AND(HOUR(B2964)&gt;=6,HOUR(B2964)&lt;18),"Day Shift","Night Shift")</f>
        <v/>
      </c>
      <c r="F2964" s="6">
        <f>INT(B2964)</f>
        <v/>
      </c>
      <c r="G2964" s="6">
        <f>INT(C2964)</f>
        <v/>
      </c>
    </row>
    <row r="2965">
      <c r="A2965" s="7" t="inlineStr">
        <is>
          <t>EXD407</t>
        </is>
      </c>
      <c r="B2965" s="8" t="n">
        <v>46083.75</v>
      </c>
      <c r="C2965" s="8" t="n">
        <v>46084.25</v>
      </c>
      <c r="D2965" s="9">
        <f>(C2965-B2965)*24</f>
        <v/>
      </c>
      <c r="E2965" s="10">
        <f>IF(AND(HOUR(B2965)&gt;=6,HOUR(B2965)&lt;18),"Day Shift","Night Shift")</f>
        <v/>
      </c>
      <c r="F2965" s="11">
        <f>INT(B2965)</f>
        <v/>
      </c>
      <c r="G2965" s="11">
        <f>INT(C2965)</f>
        <v/>
      </c>
    </row>
    <row r="2966">
      <c r="A2966" s="2" t="inlineStr">
        <is>
          <t>EXD407</t>
        </is>
      </c>
      <c r="B2966" s="3" t="n">
        <v>46084.25</v>
      </c>
      <c r="C2966" s="3" t="n">
        <v>46084.29668981482</v>
      </c>
      <c r="D2966" s="4">
        <f>(C2966-B2966)*24</f>
        <v/>
      </c>
      <c r="E2966" s="5">
        <f>IF(AND(HOUR(B2966)&gt;=6,HOUR(B2966)&lt;18),"Day Shift","Night Shift")</f>
        <v/>
      </c>
      <c r="F2966" s="6">
        <f>INT(B2966)</f>
        <v/>
      </c>
      <c r="G2966" s="6">
        <f>INT(C2966)</f>
        <v/>
      </c>
    </row>
    <row r="2967">
      <c r="A2967" s="2" t="inlineStr">
        <is>
          <t>EXD52</t>
        </is>
      </c>
      <c r="B2967" s="3" t="n">
        <v>46082.70577546296</v>
      </c>
      <c r="C2967" s="3" t="n">
        <v>46082.75</v>
      </c>
      <c r="D2967" s="4">
        <f>(C2967-B2967)*24</f>
        <v/>
      </c>
      <c r="E2967" s="5">
        <f>IF(AND(HOUR(B2967)&gt;=6,HOUR(B2967)&lt;18),"Day Shift","Night Shift")</f>
        <v/>
      </c>
      <c r="F2967" s="6">
        <f>INT(B2967)</f>
        <v/>
      </c>
      <c r="G2967" s="6">
        <f>INT(C2967)</f>
        <v/>
      </c>
    </row>
    <row r="2968">
      <c r="A2968" s="7" t="inlineStr">
        <is>
          <t>EXD52</t>
        </is>
      </c>
      <c r="B2968" s="8" t="n">
        <v>46082.75</v>
      </c>
      <c r="C2968" s="8" t="n">
        <v>46082.96585648148</v>
      </c>
      <c r="D2968" s="9">
        <f>(C2968-B2968)*24</f>
        <v/>
      </c>
      <c r="E2968" s="10">
        <f>IF(AND(HOUR(B2968)&gt;=6,HOUR(B2968)&lt;18),"Day Shift","Night Shift")</f>
        <v/>
      </c>
      <c r="F2968" s="11">
        <f>INT(B2968)</f>
        <v/>
      </c>
      <c r="G2968" s="11">
        <f>INT(C2968)</f>
        <v/>
      </c>
    </row>
    <row r="2969">
      <c r="A2969" s="2" t="inlineStr">
        <is>
          <t>EDD2541;Sprint 1</t>
        </is>
      </c>
      <c r="B2969" s="3" t="n">
        <v>46082.70738425926</v>
      </c>
      <c r="C2969" s="3" t="n">
        <v>46082.75</v>
      </c>
      <c r="D2969" s="4">
        <f>(C2969-B2969)*24</f>
        <v/>
      </c>
      <c r="E2969" s="5">
        <f>IF(AND(HOUR(B2969)&gt;=6,HOUR(B2969)&lt;18),"Day Shift","Night Shift")</f>
        <v/>
      </c>
      <c r="F2969" s="6">
        <f>INT(B2969)</f>
        <v/>
      </c>
      <c r="G2969" s="6">
        <f>INT(C2969)</f>
        <v/>
      </c>
    </row>
    <row r="2970">
      <c r="A2970" s="7" t="inlineStr">
        <is>
          <t>EDD2541;Sprint 1</t>
        </is>
      </c>
      <c r="B2970" s="8" t="n">
        <v>46082.75</v>
      </c>
      <c r="C2970" s="8" t="n">
        <v>46082.96502314815</v>
      </c>
      <c r="D2970" s="9">
        <f>(C2970-B2970)*24</f>
        <v/>
      </c>
      <c r="E2970" s="10">
        <f>IF(AND(HOUR(B2970)&gt;=6,HOUR(B2970)&lt;18),"Day Shift","Night Shift")</f>
        <v/>
      </c>
      <c r="F2970" s="11">
        <f>INT(B2970)</f>
        <v/>
      </c>
      <c r="G2970" s="11">
        <f>INT(C2970)</f>
        <v/>
      </c>
    </row>
    <row r="2971">
      <c r="A2971" s="2" t="inlineStr">
        <is>
          <t>EXD100</t>
        </is>
      </c>
      <c r="B2971" s="3" t="n">
        <v>46082.70811342593</v>
      </c>
      <c r="C2971" s="3" t="n">
        <v>46082.75</v>
      </c>
      <c r="D2971" s="4">
        <f>(C2971-B2971)*24</f>
        <v/>
      </c>
      <c r="E2971" s="5">
        <f>IF(AND(HOUR(B2971)&gt;=6,HOUR(B2971)&lt;18),"Day Shift","Night Shift")</f>
        <v/>
      </c>
      <c r="F2971" s="6">
        <f>INT(B2971)</f>
        <v/>
      </c>
      <c r="G2971" s="6">
        <f>INT(C2971)</f>
        <v/>
      </c>
    </row>
    <row r="2972">
      <c r="A2972" s="7" t="inlineStr">
        <is>
          <t>EXD100</t>
        </is>
      </c>
      <c r="B2972" s="8" t="n">
        <v>46082.75</v>
      </c>
      <c r="C2972" s="8" t="n">
        <v>46082.94592592592</v>
      </c>
      <c r="D2972" s="9">
        <f>(C2972-B2972)*24</f>
        <v/>
      </c>
      <c r="E2972" s="10">
        <f>IF(AND(HOUR(B2972)&gt;=6,HOUR(B2972)&lt;18),"Day Shift","Night Shift")</f>
        <v/>
      </c>
      <c r="F2972" s="11">
        <f>INT(B2972)</f>
        <v/>
      </c>
      <c r="G2972" s="11">
        <f>INT(C2972)</f>
        <v/>
      </c>
    </row>
    <row r="2973">
      <c r="A2973" s="7" t="inlineStr">
        <is>
          <t>Blast Crew</t>
        </is>
      </c>
      <c r="B2973" s="8" t="n">
        <v>46082.75283564815</v>
      </c>
      <c r="C2973" s="8" t="n">
        <v>46082.89107638889</v>
      </c>
      <c r="D2973" s="9">
        <f>(C2973-B2973)*24</f>
        <v/>
      </c>
      <c r="E2973" s="10">
        <f>IF(AND(HOUR(B2973)&gt;=6,HOUR(B2973)&lt;18),"Day Shift","Night Shift")</f>
        <v/>
      </c>
      <c r="F2973" s="11">
        <f>INT(B2973)</f>
        <v/>
      </c>
      <c r="G2973" s="11">
        <f>INT(C2973)</f>
        <v/>
      </c>
    </row>
    <row r="2974">
      <c r="A2974" s="7" t="inlineStr">
        <is>
          <t>SHE36</t>
        </is>
      </c>
      <c r="B2974" s="8" t="n">
        <v>46082.78400462963</v>
      </c>
      <c r="C2974" s="8" t="n">
        <v>46083.25</v>
      </c>
      <c r="D2974" s="9">
        <f>(C2974-B2974)*24</f>
        <v/>
      </c>
      <c r="E2974" s="10">
        <f>IF(AND(HOUR(B2974)&gt;=6,HOUR(B2974)&lt;18),"Day Shift","Night Shift")</f>
        <v/>
      </c>
      <c r="F2974" s="11">
        <f>INT(B2974)</f>
        <v/>
      </c>
      <c r="G2974" s="11">
        <f>INT(C2974)</f>
        <v/>
      </c>
    </row>
    <row r="2975">
      <c r="A2975" s="2" t="inlineStr">
        <is>
          <t>SHE36</t>
        </is>
      </c>
      <c r="B2975" s="3" t="n">
        <v>46083.25</v>
      </c>
      <c r="C2975" s="3" t="n">
        <v>46083.75</v>
      </c>
      <c r="D2975" s="4">
        <f>(C2975-B2975)*24</f>
        <v/>
      </c>
      <c r="E2975" s="5">
        <f>IF(AND(HOUR(B2975)&gt;=6,HOUR(B2975)&lt;18),"Day Shift","Night Shift")</f>
        <v/>
      </c>
      <c r="F2975" s="6">
        <f>INT(B2975)</f>
        <v/>
      </c>
      <c r="G2975" s="6">
        <f>INT(C2975)</f>
        <v/>
      </c>
    </row>
    <row r="2976">
      <c r="A2976" s="7" t="inlineStr">
        <is>
          <t>SHE36</t>
        </is>
      </c>
      <c r="B2976" s="8" t="n">
        <v>46083.75</v>
      </c>
      <c r="C2976" s="8" t="n">
        <v>46083.88732638889</v>
      </c>
      <c r="D2976" s="9">
        <f>(C2976-B2976)*24</f>
        <v/>
      </c>
      <c r="E2976" s="10">
        <f>IF(AND(HOUR(B2976)&gt;=6,HOUR(B2976)&lt;18),"Day Shift","Night Shift")</f>
        <v/>
      </c>
      <c r="F2976" s="11">
        <f>INT(B2976)</f>
        <v/>
      </c>
      <c r="G2976" s="11">
        <f>INT(C2976)</f>
        <v/>
      </c>
    </row>
    <row r="2977">
      <c r="A2977" s="7" t="inlineStr">
        <is>
          <t>EXD101</t>
        </is>
      </c>
      <c r="B2977" s="8" t="n">
        <v>46082.78722222222</v>
      </c>
      <c r="C2977" s="8" t="n">
        <v>46083.01857638889</v>
      </c>
      <c r="D2977" s="9">
        <f>(C2977-B2977)*24</f>
        <v/>
      </c>
      <c r="E2977" s="10">
        <f>IF(AND(HOUR(B2977)&gt;=6,HOUR(B2977)&lt;18),"Day Shift","Night Shift")</f>
        <v/>
      </c>
      <c r="F2977" s="11">
        <f>INT(B2977)</f>
        <v/>
      </c>
      <c r="G2977" s="11">
        <f>INT(C2977)</f>
        <v/>
      </c>
    </row>
    <row r="2978">
      <c r="A2978" s="7" t="inlineStr">
        <is>
          <t>EDD175;EDD2134</t>
        </is>
      </c>
      <c r="B2978" s="8" t="n">
        <v>46082.80476851852</v>
      </c>
      <c r="C2978" s="8" t="n">
        <v>46083.25</v>
      </c>
      <c r="D2978" s="9">
        <f>(C2978-B2978)*24</f>
        <v/>
      </c>
      <c r="E2978" s="10">
        <f>IF(AND(HOUR(B2978)&gt;=6,HOUR(B2978)&lt;18),"Day Shift","Night Shift")</f>
        <v/>
      </c>
      <c r="F2978" s="11">
        <f>INT(B2978)</f>
        <v/>
      </c>
      <c r="G2978" s="11">
        <f>INT(C2978)</f>
        <v/>
      </c>
    </row>
    <row r="2979">
      <c r="A2979" s="2" t="inlineStr">
        <is>
          <t>EDD175;EDD2134</t>
        </is>
      </c>
      <c r="B2979" s="3" t="n">
        <v>46083.25</v>
      </c>
      <c r="C2979" s="3" t="n">
        <v>46083.46439814815</v>
      </c>
      <c r="D2979" s="4">
        <f>(C2979-B2979)*24</f>
        <v/>
      </c>
      <c r="E2979" s="5">
        <f>IF(AND(HOUR(B2979)&gt;=6,HOUR(B2979)&lt;18),"Day Shift","Night Shift")</f>
        <v/>
      </c>
      <c r="F2979" s="6">
        <f>INT(B2979)</f>
        <v/>
      </c>
      <c r="G2979" s="6">
        <f>INT(C2979)</f>
        <v/>
      </c>
    </row>
    <row r="2980">
      <c r="A2980" s="7" t="inlineStr">
        <is>
          <t>EXD73</t>
        </is>
      </c>
      <c r="B2980" s="8" t="n">
        <v>46082.84505787037</v>
      </c>
      <c r="C2980" s="8" t="n">
        <v>46083.20143518518</v>
      </c>
      <c r="D2980" s="9">
        <f>(C2980-B2980)*24</f>
        <v/>
      </c>
      <c r="E2980" s="10">
        <f>IF(AND(HOUR(B2980)&gt;=6,HOUR(B2980)&lt;18),"Day Shift","Night Shift")</f>
        <v/>
      </c>
      <c r="F2980" s="11">
        <f>INT(B2980)</f>
        <v/>
      </c>
      <c r="G2980" s="11">
        <f>INT(C2980)</f>
        <v/>
      </c>
    </row>
    <row r="2981">
      <c r="A2981" s="7" t="inlineStr">
        <is>
          <t>EXD98</t>
        </is>
      </c>
      <c r="B2981" s="8" t="n">
        <v>46082.85087962963</v>
      </c>
      <c r="C2981" s="8" t="n">
        <v>46083.15591435185</v>
      </c>
      <c r="D2981" s="9">
        <f>(C2981-B2981)*24</f>
        <v/>
      </c>
      <c r="E2981" s="10">
        <f>IF(AND(HOUR(B2981)&gt;=6,HOUR(B2981)&lt;18),"Day Shift","Night Shift")</f>
        <v/>
      </c>
      <c r="F2981" s="11">
        <f>INT(B2981)</f>
        <v/>
      </c>
      <c r="G2981" s="11">
        <f>INT(C2981)</f>
        <v/>
      </c>
    </row>
    <row r="2982">
      <c r="A2982" s="7" t="inlineStr">
        <is>
          <t>Blast Crew</t>
        </is>
      </c>
      <c r="B2982" s="8" t="n">
        <v>46082.89107638889</v>
      </c>
      <c r="C2982" s="8" t="n">
        <v>46083.00799768518</v>
      </c>
      <c r="D2982" s="9">
        <f>(C2982-B2982)*24</f>
        <v/>
      </c>
      <c r="E2982" s="10">
        <f>IF(AND(HOUR(B2982)&gt;=6,HOUR(B2982)&lt;18),"Day Shift","Night Shift")</f>
        <v/>
      </c>
      <c r="F2982" s="11">
        <f>INT(B2982)</f>
        <v/>
      </c>
      <c r="G2982" s="11">
        <f>INT(C2982)</f>
        <v/>
      </c>
    </row>
    <row r="2983">
      <c r="A2983" s="7" t="inlineStr">
        <is>
          <t>EDD812</t>
        </is>
      </c>
      <c r="B2983" s="8" t="n">
        <v>46082.93305555556</v>
      </c>
      <c r="C2983" s="8" t="n">
        <v>46083.25</v>
      </c>
      <c r="D2983" s="9">
        <f>(C2983-B2983)*24</f>
        <v/>
      </c>
      <c r="E2983" s="10">
        <f>IF(AND(HOUR(B2983)&gt;=6,HOUR(B2983)&lt;18),"Day Shift","Night Shift")</f>
        <v/>
      </c>
      <c r="F2983" s="11">
        <f>INT(B2983)</f>
        <v/>
      </c>
      <c r="G2983" s="11">
        <f>INT(C2983)</f>
        <v/>
      </c>
    </row>
    <row r="2984">
      <c r="A2984" s="2" t="inlineStr">
        <is>
          <t>EDD812</t>
        </is>
      </c>
      <c r="B2984" s="3" t="n">
        <v>46083.25</v>
      </c>
      <c r="C2984" s="3" t="n">
        <v>46083.75</v>
      </c>
      <c r="D2984" s="4">
        <f>(C2984-B2984)*24</f>
        <v/>
      </c>
      <c r="E2984" s="5">
        <f>IF(AND(HOUR(B2984)&gt;=6,HOUR(B2984)&lt;18),"Day Shift","Night Shift")</f>
        <v/>
      </c>
      <c r="F2984" s="6">
        <f>INT(B2984)</f>
        <v/>
      </c>
      <c r="G2984" s="6">
        <f>INT(C2984)</f>
        <v/>
      </c>
    </row>
    <row r="2985">
      <c r="A2985" s="7" t="inlineStr">
        <is>
          <t>EDD812</t>
        </is>
      </c>
      <c r="B2985" s="8" t="n">
        <v>46083.75</v>
      </c>
      <c r="C2985" s="8" t="n">
        <v>46083.75287037037</v>
      </c>
      <c r="D2985" s="9">
        <f>(C2985-B2985)*24</f>
        <v/>
      </c>
      <c r="E2985" s="10">
        <f>IF(AND(HOUR(B2985)&gt;=6,HOUR(B2985)&lt;18),"Day Shift","Night Shift")</f>
        <v/>
      </c>
      <c r="F2985" s="11">
        <f>INT(B2985)</f>
        <v/>
      </c>
      <c r="G2985" s="11">
        <f>INT(C2985)</f>
        <v/>
      </c>
    </row>
    <row r="2986">
      <c r="A2986" s="7" t="inlineStr">
        <is>
          <t>EDD2541;Sprint 1</t>
        </is>
      </c>
      <c r="B2986" s="8" t="n">
        <v>46082.96502314815</v>
      </c>
      <c r="C2986" s="8" t="n">
        <v>46083.23165509259</v>
      </c>
      <c r="D2986" s="9">
        <f>(C2986-B2986)*24</f>
        <v/>
      </c>
      <c r="E2986" s="10">
        <f>IF(AND(HOUR(B2986)&gt;=6,HOUR(B2986)&lt;18),"Day Shift","Night Shift")</f>
        <v/>
      </c>
      <c r="F2986" s="11">
        <f>INT(B2986)</f>
        <v/>
      </c>
      <c r="G2986" s="11">
        <f>INT(C2986)</f>
        <v/>
      </c>
    </row>
    <row r="2987">
      <c r="A2987" s="7" t="inlineStr">
        <is>
          <t>EXD52</t>
        </is>
      </c>
      <c r="B2987" s="8" t="n">
        <v>46082.96585648148</v>
      </c>
      <c r="C2987" s="8" t="n">
        <v>46083.25</v>
      </c>
      <c r="D2987" s="9">
        <f>(C2987-B2987)*24</f>
        <v/>
      </c>
      <c r="E2987" s="10">
        <f>IF(AND(HOUR(B2987)&gt;=6,HOUR(B2987)&lt;18),"Day Shift","Night Shift")</f>
        <v/>
      </c>
      <c r="F2987" s="11">
        <f>INT(B2987)</f>
        <v/>
      </c>
      <c r="G2987" s="11">
        <f>INT(C2987)</f>
        <v/>
      </c>
    </row>
    <row r="2988">
      <c r="A2988" s="2" t="inlineStr">
        <is>
          <t>EXD52</t>
        </is>
      </c>
      <c r="B2988" s="3" t="n">
        <v>46083.25</v>
      </c>
      <c r="C2988" s="3" t="n">
        <v>46083.31309027778</v>
      </c>
      <c r="D2988" s="4">
        <f>(C2988-B2988)*24</f>
        <v/>
      </c>
      <c r="E2988" s="5">
        <f>IF(AND(HOUR(B2988)&gt;=6,HOUR(B2988)&lt;18),"Day Shift","Night Shift")</f>
        <v/>
      </c>
      <c r="F2988" s="6">
        <f>INT(B2988)</f>
        <v/>
      </c>
      <c r="G2988" s="6">
        <f>INT(C2988)</f>
        <v/>
      </c>
    </row>
    <row r="2989">
      <c r="A2989" s="7" t="inlineStr">
        <is>
          <t>Blast Crew</t>
        </is>
      </c>
      <c r="B2989" s="8" t="n">
        <v>46083.00799768518</v>
      </c>
      <c r="C2989" s="8" t="n">
        <v>46083.1753125</v>
      </c>
      <c r="D2989" s="9">
        <f>(C2989-B2989)*24</f>
        <v/>
      </c>
      <c r="E2989" s="10">
        <f>IF(AND(HOUR(B2989)&gt;=6,HOUR(B2989)&lt;18),"Day Shift","Night Shift")</f>
        <v/>
      </c>
      <c r="F2989" s="11">
        <f>INT(B2989)</f>
        <v/>
      </c>
      <c r="G2989" s="11">
        <f>INT(C2989)</f>
        <v/>
      </c>
    </row>
    <row r="2990">
      <c r="A2990" s="7" t="inlineStr">
        <is>
          <t>EXD101</t>
        </is>
      </c>
      <c r="B2990" s="8" t="n">
        <v>46083.01857638889</v>
      </c>
      <c r="C2990" s="8" t="n">
        <v>46083.25</v>
      </c>
      <c r="D2990" s="9">
        <f>(C2990-B2990)*24</f>
        <v/>
      </c>
      <c r="E2990" s="10">
        <f>IF(AND(HOUR(B2990)&gt;=6,HOUR(B2990)&lt;18),"Day Shift","Night Shift")</f>
        <v/>
      </c>
      <c r="F2990" s="11">
        <f>INT(B2990)</f>
        <v/>
      </c>
      <c r="G2990" s="11">
        <f>INT(C2990)</f>
        <v/>
      </c>
    </row>
    <row r="2991">
      <c r="A2991" s="2" t="inlineStr">
        <is>
          <t>EXD101</t>
        </is>
      </c>
      <c r="B2991" s="3" t="n">
        <v>46083.25</v>
      </c>
      <c r="C2991" s="3" t="n">
        <v>46083.43269675926</v>
      </c>
      <c r="D2991" s="4">
        <f>(C2991-B2991)*24</f>
        <v/>
      </c>
      <c r="E2991" s="5">
        <f>IF(AND(HOUR(B2991)&gt;=6,HOUR(B2991)&lt;18),"Day Shift","Night Shift")</f>
        <v/>
      </c>
      <c r="F2991" s="6">
        <f>INT(B2991)</f>
        <v/>
      </c>
      <c r="G2991" s="6">
        <f>INT(C2991)</f>
        <v/>
      </c>
    </row>
    <row r="2992">
      <c r="A2992" s="7" t="inlineStr">
        <is>
          <t>EDD1932</t>
        </is>
      </c>
      <c r="B2992" s="8" t="n">
        <v>46083.06012731481</v>
      </c>
      <c r="C2992" s="8" t="n">
        <v>46083.25</v>
      </c>
      <c r="D2992" s="9">
        <f>(C2992-B2992)*24</f>
        <v/>
      </c>
      <c r="E2992" s="10">
        <f>IF(AND(HOUR(B2992)&gt;=6,HOUR(B2992)&lt;18),"Day Shift","Night Shift")</f>
        <v/>
      </c>
      <c r="F2992" s="11">
        <f>INT(B2992)</f>
        <v/>
      </c>
      <c r="G2992" s="11">
        <f>INT(C2992)</f>
        <v/>
      </c>
    </row>
    <row r="2993">
      <c r="A2993" s="2" t="inlineStr">
        <is>
          <t>EDD1932</t>
        </is>
      </c>
      <c r="B2993" s="3" t="n">
        <v>46083.25</v>
      </c>
      <c r="C2993" s="3" t="n">
        <v>46083.75</v>
      </c>
      <c r="D2993" s="4">
        <f>(C2993-B2993)*24</f>
        <v/>
      </c>
      <c r="E2993" s="5">
        <f>IF(AND(HOUR(B2993)&gt;=6,HOUR(B2993)&lt;18),"Day Shift","Night Shift")</f>
        <v/>
      </c>
      <c r="F2993" s="6">
        <f>INT(B2993)</f>
        <v/>
      </c>
      <c r="G2993" s="6">
        <f>INT(C2993)</f>
        <v/>
      </c>
    </row>
    <row r="2994">
      <c r="A2994" s="7" t="inlineStr">
        <is>
          <t>EDD1932</t>
        </is>
      </c>
      <c r="B2994" s="8" t="n">
        <v>46083.75</v>
      </c>
      <c r="C2994" s="8" t="n">
        <v>46084.06664351852</v>
      </c>
      <c r="D2994" s="9">
        <f>(C2994-B2994)*24</f>
        <v/>
      </c>
      <c r="E2994" s="10">
        <f>IF(AND(HOUR(B2994)&gt;=6,HOUR(B2994)&lt;18),"Day Shift","Night Shift")</f>
        <v/>
      </c>
      <c r="F2994" s="11">
        <f>INT(B2994)</f>
        <v/>
      </c>
      <c r="G2994" s="11">
        <f>INT(C2994)</f>
        <v/>
      </c>
    </row>
    <row r="2995">
      <c r="A2995" s="7" t="inlineStr">
        <is>
          <t>EXD409</t>
        </is>
      </c>
      <c r="B2995" s="8" t="n">
        <v>46083.09208333334</v>
      </c>
      <c r="C2995" s="8" t="n">
        <v>46083.25</v>
      </c>
      <c r="D2995" s="9">
        <f>(C2995-B2995)*24</f>
        <v/>
      </c>
      <c r="E2995" s="10">
        <f>IF(AND(HOUR(B2995)&gt;=6,HOUR(B2995)&lt;18),"Day Shift","Night Shift")</f>
        <v/>
      </c>
      <c r="F2995" s="11">
        <f>INT(B2995)</f>
        <v/>
      </c>
      <c r="G2995" s="11">
        <f>INT(C2995)</f>
        <v/>
      </c>
    </row>
    <row r="2996">
      <c r="A2996" s="2" t="inlineStr">
        <is>
          <t>EXD409</t>
        </is>
      </c>
      <c r="B2996" s="3" t="n">
        <v>46083.25</v>
      </c>
      <c r="C2996" s="3" t="n">
        <v>46083.48175925926</v>
      </c>
      <c r="D2996" s="4">
        <f>(C2996-B2996)*24</f>
        <v/>
      </c>
      <c r="E2996" s="5">
        <f>IF(AND(HOUR(B2996)&gt;=6,HOUR(B2996)&lt;18),"Day Shift","Night Shift")</f>
        <v/>
      </c>
      <c r="F2996" s="6">
        <f>INT(B2996)</f>
        <v/>
      </c>
      <c r="G2996" s="6">
        <f>INT(C2996)</f>
        <v/>
      </c>
    </row>
    <row r="2997">
      <c r="A2997" s="7" t="inlineStr">
        <is>
          <t>Blast Crew</t>
        </is>
      </c>
      <c r="B2997" s="8" t="n">
        <v>46083.1753125</v>
      </c>
      <c r="C2997" s="8" t="n">
        <v>46083.25</v>
      </c>
      <c r="D2997" s="9">
        <f>(C2997-B2997)*24</f>
        <v/>
      </c>
      <c r="E2997" s="10">
        <f>IF(AND(HOUR(B2997)&gt;=6,HOUR(B2997)&lt;18),"Day Shift","Night Shift")</f>
        <v/>
      </c>
      <c r="F2997" s="11">
        <f>INT(B2997)</f>
        <v/>
      </c>
      <c r="G2997" s="11">
        <f>INT(C2997)</f>
        <v/>
      </c>
    </row>
    <row r="2998">
      <c r="A2998" s="2" t="inlineStr">
        <is>
          <t>Blast Crew</t>
        </is>
      </c>
      <c r="B2998" s="3" t="n">
        <v>46083.25</v>
      </c>
      <c r="C2998" s="3" t="n">
        <v>46083.34341435185</v>
      </c>
      <c r="D2998" s="4">
        <f>(C2998-B2998)*24</f>
        <v/>
      </c>
      <c r="E2998" s="5">
        <f>IF(AND(HOUR(B2998)&gt;=6,HOUR(B2998)&lt;18),"Day Shift","Night Shift")</f>
        <v/>
      </c>
      <c r="F2998" s="6">
        <f>INT(B2998)</f>
        <v/>
      </c>
      <c r="G2998" s="6">
        <f>INT(C2998)</f>
        <v/>
      </c>
    </row>
    <row r="2999">
      <c r="A2999" s="7" t="inlineStr">
        <is>
          <t>EXD73</t>
        </is>
      </c>
      <c r="B2999" s="8" t="n">
        <v>46083.20143518518</v>
      </c>
      <c r="C2999" s="8" t="n">
        <v>46083.25</v>
      </c>
      <c r="D2999" s="9">
        <f>(C2999-B2999)*24</f>
        <v/>
      </c>
      <c r="E2999" s="10">
        <f>IF(AND(HOUR(B2999)&gt;=6,HOUR(B2999)&lt;18),"Day Shift","Night Shift")</f>
        <v/>
      </c>
      <c r="F2999" s="11">
        <f>INT(B2999)</f>
        <v/>
      </c>
      <c r="G2999" s="11">
        <f>INT(C2999)</f>
        <v/>
      </c>
    </row>
    <row r="3000">
      <c r="A3000" s="2" t="inlineStr">
        <is>
          <t>EXD73</t>
        </is>
      </c>
      <c r="B3000" s="3" t="n">
        <v>46083.25</v>
      </c>
      <c r="C3000" s="3" t="n">
        <v>46083.42877314815</v>
      </c>
      <c r="D3000" s="4">
        <f>(C3000-B3000)*24</f>
        <v/>
      </c>
      <c r="E3000" s="5">
        <f>IF(AND(HOUR(B3000)&gt;=6,HOUR(B3000)&lt;18),"Day Shift","Night Shift")</f>
        <v/>
      </c>
      <c r="F3000" s="6">
        <f>INT(B3000)</f>
        <v/>
      </c>
      <c r="G3000" s="6">
        <f>INT(C3000)</f>
        <v/>
      </c>
    </row>
    <row r="3001">
      <c r="A3001" s="7" t="inlineStr">
        <is>
          <t>EDD2541;Sprint 1</t>
        </is>
      </c>
      <c r="B3001" s="8" t="n">
        <v>46083.23165509259</v>
      </c>
      <c r="C3001" s="8" t="n">
        <v>46083.25</v>
      </c>
      <c r="D3001" s="9">
        <f>(C3001-B3001)*24</f>
        <v/>
      </c>
      <c r="E3001" s="10">
        <f>IF(AND(HOUR(B3001)&gt;=6,HOUR(B3001)&lt;18),"Day Shift","Night Shift")</f>
        <v/>
      </c>
      <c r="F3001" s="11">
        <f>INT(B3001)</f>
        <v/>
      </c>
      <c r="G3001" s="11">
        <f>INT(C3001)</f>
        <v/>
      </c>
    </row>
    <row r="3002">
      <c r="A3002" s="2" t="inlineStr">
        <is>
          <t>EDD2541;Sprint 1</t>
        </is>
      </c>
      <c r="B3002" s="3" t="n">
        <v>46083.25</v>
      </c>
      <c r="C3002" s="3" t="n">
        <v>46083.46288194445</v>
      </c>
      <c r="D3002" s="4">
        <f>(C3002-B3002)*24</f>
        <v/>
      </c>
      <c r="E3002" s="5">
        <f>IF(AND(HOUR(B3002)&gt;=6,HOUR(B3002)&lt;18),"Day Shift","Night Shift")</f>
        <v/>
      </c>
      <c r="F3002" s="6">
        <f>INT(B3002)</f>
        <v/>
      </c>
      <c r="G3002" s="6">
        <f>INT(C3002)</f>
        <v/>
      </c>
    </row>
    <row r="3003">
      <c r="A3003" s="2" t="inlineStr">
        <is>
          <t>EXD98</t>
        </is>
      </c>
      <c r="B3003" s="3" t="n">
        <v>46083.33729166666</v>
      </c>
      <c r="C3003" s="3" t="n">
        <v>46083.75</v>
      </c>
      <c r="D3003" s="4">
        <f>(C3003-B3003)*24</f>
        <v/>
      </c>
      <c r="E3003" s="5">
        <f>IF(AND(HOUR(B3003)&gt;=6,HOUR(B3003)&lt;18),"Day Shift","Night Shift")</f>
        <v/>
      </c>
      <c r="F3003" s="6">
        <f>INT(B3003)</f>
        <v/>
      </c>
      <c r="G3003" s="6">
        <f>INT(C3003)</f>
        <v/>
      </c>
    </row>
    <row r="3004">
      <c r="A3004" s="7" t="inlineStr">
        <is>
          <t>EXD98</t>
        </is>
      </c>
      <c r="B3004" s="8" t="n">
        <v>46083.75</v>
      </c>
      <c r="C3004" s="8" t="n">
        <v>46084.25</v>
      </c>
      <c r="D3004" s="9">
        <f>(C3004-B3004)*24</f>
        <v/>
      </c>
      <c r="E3004" s="10">
        <f>IF(AND(HOUR(B3004)&gt;=6,HOUR(B3004)&lt;18),"Day Shift","Night Shift")</f>
        <v/>
      </c>
      <c r="F3004" s="11">
        <f>INT(B3004)</f>
        <v/>
      </c>
      <c r="G3004" s="11">
        <f>INT(C3004)</f>
        <v/>
      </c>
    </row>
    <row r="3005">
      <c r="A3005" s="2" t="inlineStr">
        <is>
          <t>EXD98</t>
        </is>
      </c>
      <c r="B3005" s="3" t="n">
        <v>46084.25</v>
      </c>
      <c r="C3005" s="3" t="n">
        <v>46084.75</v>
      </c>
      <c r="D3005" s="4">
        <f>(C3005-B3005)*24</f>
        <v/>
      </c>
      <c r="E3005" s="5">
        <f>IF(AND(HOUR(B3005)&gt;=6,HOUR(B3005)&lt;18),"Day Shift","Night Shift")</f>
        <v/>
      </c>
      <c r="F3005" s="6">
        <f>INT(B3005)</f>
        <v/>
      </c>
      <c r="G3005" s="6">
        <f>INT(C3005)</f>
        <v/>
      </c>
    </row>
    <row r="3006">
      <c r="A3006" s="7" t="inlineStr">
        <is>
          <t>EXD98</t>
        </is>
      </c>
      <c r="B3006" s="8" t="n">
        <v>46084.75</v>
      </c>
      <c r="C3006" s="8" t="n">
        <v>46085.25</v>
      </c>
      <c r="D3006" s="9">
        <f>(C3006-B3006)*24</f>
        <v/>
      </c>
      <c r="E3006" s="10">
        <f>IF(AND(HOUR(B3006)&gt;=6,HOUR(B3006)&lt;18),"Day Shift","Night Shift")</f>
        <v/>
      </c>
      <c r="F3006" s="11">
        <f>INT(B3006)</f>
        <v/>
      </c>
      <c r="G3006" s="11">
        <f>INT(C3006)</f>
        <v/>
      </c>
    </row>
    <row r="3007">
      <c r="A3007" s="2" t="inlineStr">
        <is>
          <t>EXD98</t>
        </is>
      </c>
      <c r="B3007" s="3" t="n">
        <v>46085.25</v>
      </c>
      <c r="C3007" s="3" t="n">
        <v>46085.75</v>
      </c>
      <c r="D3007" s="4">
        <f>(C3007-B3007)*24</f>
        <v/>
      </c>
      <c r="E3007" s="5">
        <f>IF(AND(HOUR(B3007)&gt;=6,HOUR(B3007)&lt;18),"Day Shift","Night Shift")</f>
        <v/>
      </c>
      <c r="F3007" s="6">
        <f>INT(B3007)</f>
        <v/>
      </c>
      <c r="G3007" s="6">
        <f>INT(C3007)</f>
        <v/>
      </c>
    </row>
    <row r="3008">
      <c r="A3008" s="7" t="inlineStr">
        <is>
          <t>EXD98</t>
        </is>
      </c>
      <c r="B3008" s="8" t="n">
        <v>46085.75</v>
      </c>
      <c r="C3008" s="8" t="n">
        <v>46086.25</v>
      </c>
      <c r="D3008" s="9">
        <f>(C3008-B3008)*24</f>
        <v/>
      </c>
      <c r="E3008" s="10">
        <f>IF(AND(HOUR(B3008)&gt;=6,HOUR(B3008)&lt;18),"Day Shift","Night Shift")</f>
        <v/>
      </c>
      <c r="F3008" s="11">
        <f>INT(B3008)</f>
        <v/>
      </c>
      <c r="G3008" s="11">
        <f>INT(C3008)</f>
        <v/>
      </c>
    </row>
    <row r="3009">
      <c r="A3009" s="2" t="inlineStr">
        <is>
          <t>EXD98</t>
        </is>
      </c>
      <c r="B3009" s="3" t="n">
        <v>46086.25</v>
      </c>
      <c r="C3009" s="3" t="n">
        <v>46086.75</v>
      </c>
      <c r="D3009" s="4">
        <f>(C3009-B3009)*24</f>
        <v/>
      </c>
      <c r="E3009" s="5">
        <f>IF(AND(HOUR(B3009)&gt;=6,HOUR(B3009)&lt;18),"Day Shift","Night Shift")</f>
        <v/>
      </c>
      <c r="F3009" s="6">
        <f>INT(B3009)</f>
        <v/>
      </c>
      <c r="G3009" s="6">
        <f>INT(C3009)</f>
        <v/>
      </c>
    </row>
    <row r="3010">
      <c r="A3010" s="7" t="inlineStr">
        <is>
          <t>EXD98</t>
        </is>
      </c>
      <c r="B3010" s="8" t="n">
        <v>46086.75</v>
      </c>
      <c r="C3010" s="8" t="n">
        <v>46087.25</v>
      </c>
      <c r="D3010" s="9">
        <f>(C3010-B3010)*24</f>
        <v/>
      </c>
      <c r="E3010" s="10">
        <f>IF(AND(HOUR(B3010)&gt;=6,HOUR(B3010)&lt;18),"Day Shift","Night Shift")</f>
        <v/>
      </c>
      <c r="F3010" s="11">
        <f>INT(B3010)</f>
        <v/>
      </c>
      <c r="G3010" s="11">
        <f>INT(C3010)</f>
        <v/>
      </c>
    </row>
    <row r="3011">
      <c r="A3011" s="2" t="inlineStr">
        <is>
          <t>EXD98</t>
        </is>
      </c>
      <c r="B3011" s="3" t="n">
        <v>46087.25</v>
      </c>
      <c r="C3011" s="3" t="n">
        <v>46087.75</v>
      </c>
      <c r="D3011" s="4">
        <f>(C3011-B3011)*24</f>
        <v/>
      </c>
      <c r="E3011" s="5">
        <f>IF(AND(HOUR(B3011)&gt;=6,HOUR(B3011)&lt;18),"Day Shift","Night Shift")</f>
        <v/>
      </c>
      <c r="F3011" s="6">
        <f>INT(B3011)</f>
        <v/>
      </c>
      <c r="G3011" s="6">
        <f>INT(C3011)</f>
        <v/>
      </c>
    </row>
    <row r="3012">
      <c r="A3012" s="7" t="inlineStr">
        <is>
          <t>EXD98</t>
        </is>
      </c>
      <c r="B3012" s="8" t="n">
        <v>46087.75</v>
      </c>
      <c r="C3012" s="8" t="n">
        <v>46088.25</v>
      </c>
      <c r="D3012" s="9">
        <f>(C3012-B3012)*24</f>
        <v/>
      </c>
      <c r="E3012" s="10">
        <f>IF(AND(HOUR(B3012)&gt;=6,HOUR(B3012)&lt;18),"Day Shift","Night Shift")</f>
        <v/>
      </c>
      <c r="F3012" s="11">
        <f>INT(B3012)</f>
        <v/>
      </c>
      <c r="G3012" s="11">
        <f>INT(C3012)</f>
        <v/>
      </c>
    </row>
    <row r="3013">
      <c r="A3013" s="2" t="inlineStr">
        <is>
          <t>EXD98</t>
        </is>
      </c>
      <c r="B3013" s="3" t="n">
        <v>46088.25</v>
      </c>
      <c r="C3013" s="3" t="n">
        <v>46088.75</v>
      </c>
      <c r="D3013" s="4">
        <f>(C3013-B3013)*24</f>
        <v/>
      </c>
      <c r="E3013" s="5">
        <f>IF(AND(HOUR(B3013)&gt;=6,HOUR(B3013)&lt;18),"Day Shift","Night Shift")</f>
        <v/>
      </c>
      <c r="F3013" s="6">
        <f>INT(B3013)</f>
        <v/>
      </c>
      <c r="G3013" s="6">
        <f>INT(C3013)</f>
        <v/>
      </c>
    </row>
    <row r="3014">
      <c r="A3014" s="7" t="inlineStr">
        <is>
          <t>EXD98</t>
        </is>
      </c>
      <c r="B3014" s="8" t="n">
        <v>46088.75</v>
      </c>
      <c r="C3014" s="8" t="n">
        <v>46089.25</v>
      </c>
      <c r="D3014" s="9">
        <f>(C3014-B3014)*24</f>
        <v/>
      </c>
      <c r="E3014" s="10">
        <f>IF(AND(HOUR(B3014)&gt;=6,HOUR(B3014)&lt;18),"Day Shift","Night Shift")</f>
        <v/>
      </c>
      <c r="F3014" s="11">
        <f>INT(B3014)</f>
        <v/>
      </c>
      <c r="G3014" s="11">
        <f>INT(C3014)</f>
        <v/>
      </c>
    </row>
    <row r="3015">
      <c r="A3015" s="2" t="inlineStr">
        <is>
          <t>EXD98</t>
        </is>
      </c>
      <c r="B3015" s="3" t="n">
        <v>46089.25</v>
      </c>
      <c r="C3015" s="3" t="n">
        <v>46089.75</v>
      </c>
      <c r="D3015" s="4">
        <f>(C3015-B3015)*24</f>
        <v/>
      </c>
      <c r="E3015" s="5">
        <f>IF(AND(HOUR(B3015)&gt;=6,HOUR(B3015)&lt;18),"Day Shift","Night Shift")</f>
        <v/>
      </c>
      <c r="F3015" s="6">
        <f>INT(B3015)</f>
        <v/>
      </c>
      <c r="G3015" s="6">
        <f>INT(C3015)</f>
        <v/>
      </c>
    </row>
    <row r="3016">
      <c r="A3016" s="7" t="inlineStr">
        <is>
          <t>EXD98</t>
        </is>
      </c>
      <c r="B3016" s="8" t="n">
        <v>46089.75</v>
      </c>
      <c r="C3016" s="8" t="n">
        <v>46090.25</v>
      </c>
      <c r="D3016" s="9">
        <f>(C3016-B3016)*24</f>
        <v/>
      </c>
      <c r="E3016" s="10">
        <f>IF(AND(HOUR(B3016)&gt;=6,HOUR(B3016)&lt;18),"Day Shift","Night Shift")</f>
        <v/>
      </c>
      <c r="F3016" s="11">
        <f>INT(B3016)</f>
        <v/>
      </c>
      <c r="G3016" s="11">
        <f>INT(C3016)</f>
        <v/>
      </c>
    </row>
    <row r="3017">
      <c r="A3017" s="2" t="inlineStr">
        <is>
          <t>EXD98</t>
        </is>
      </c>
      <c r="B3017" s="3" t="n">
        <v>46090.25</v>
      </c>
      <c r="C3017" s="3" t="n">
        <v>46090.75</v>
      </c>
      <c r="D3017" s="4">
        <f>(C3017-B3017)*24</f>
        <v/>
      </c>
      <c r="E3017" s="5">
        <f>IF(AND(HOUR(B3017)&gt;=6,HOUR(B3017)&lt;18),"Day Shift","Night Shift")</f>
        <v/>
      </c>
      <c r="F3017" s="6">
        <f>INT(B3017)</f>
        <v/>
      </c>
      <c r="G3017" s="6">
        <f>INT(C3017)</f>
        <v/>
      </c>
    </row>
    <row r="3018">
      <c r="A3018" s="7" t="inlineStr">
        <is>
          <t>EXD98</t>
        </is>
      </c>
      <c r="B3018" s="8" t="n">
        <v>46090.75</v>
      </c>
      <c r="C3018" s="8" t="n">
        <v>46091.25</v>
      </c>
      <c r="D3018" s="9">
        <f>(C3018-B3018)*24</f>
        <v/>
      </c>
      <c r="E3018" s="10">
        <f>IF(AND(HOUR(B3018)&gt;=6,HOUR(B3018)&lt;18),"Day Shift","Night Shift")</f>
        <v/>
      </c>
      <c r="F3018" s="11">
        <f>INT(B3018)</f>
        <v/>
      </c>
      <c r="G3018" s="11">
        <f>INT(C3018)</f>
        <v/>
      </c>
    </row>
    <row r="3019">
      <c r="A3019" s="2" t="inlineStr">
        <is>
          <t>EXD98</t>
        </is>
      </c>
      <c r="B3019" s="3" t="n">
        <v>46091.25</v>
      </c>
      <c r="C3019" s="3" t="n">
        <v>46091.75</v>
      </c>
      <c r="D3019" s="4">
        <f>(C3019-B3019)*24</f>
        <v/>
      </c>
      <c r="E3019" s="5">
        <f>IF(AND(HOUR(B3019)&gt;=6,HOUR(B3019)&lt;18),"Day Shift","Night Shift")</f>
        <v/>
      </c>
      <c r="F3019" s="6">
        <f>INT(B3019)</f>
        <v/>
      </c>
      <c r="G3019" s="6">
        <f>INT(C3019)</f>
        <v/>
      </c>
    </row>
    <row r="3020">
      <c r="A3020" s="7" t="inlineStr">
        <is>
          <t>EXD98</t>
        </is>
      </c>
      <c r="B3020" s="8" t="n">
        <v>46091.75</v>
      </c>
      <c r="C3020" s="8" t="n">
        <v>46092.25</v>
      </c>
      <c r="D3020" s="9">
        <f>(C3020-B3020)*24</f>
        <v/>
      </c>
      <c r="E3020" s="10">
        <f>IF(AND(HOUR(B3020)&gt;=6,HOUR(B3020)&lt;18),"Day Shift","Night Shift")</f>
        <v/>
      </c>
      <c r="F3020" s="11">
        <f>INT(B3020)</f>
        <v/>
      </c>
      <c r="G3020" s="11">
        <f>INT(C3020)</f>
        <v/>
      </c>
    </row>
    <row r="3021">
      <c r="A3021" s="2" t="inlineStr">
        <is>
          <t>EXD98</t>
        </is>
      </c>
      <c r="B3021" s="3" t="n">
        <v>46092.25</v>
      </c>
      <c r="C3021" s="3" t="n">
        <v>46092.75</v>
      </c>
      <c r="D3021" s="4">
        <f>(C3021-B3021)*24</f>
        <v/>
      </c>
      <c r="E3021" s="5">
        <f>IF(AND(HOUR(B3021)&gt;=6,HOUR(B3021)&lt;18),"Day Shift","Night Shift")</f>
        <v/>
      </c>
      <c r="F3021" s="6">
        <f>INT(B3021)</f>
        <v/>
      </c>
      <c r="G3021" s="6">
        <f>INT(C3021)</f>
        <v/>
      </c>
    </row>
    <row r="3022">
      <c r="A3022" s="7" t="inlineStr">
        <is>
          <t>EXD98</t>
        </is>
      </c>
      <c r="B3022" s="8" t="n">
        <v>46092.75</v>
      </c>
      <c r="C3022" s="8" t="n">
        <v>46093.25</v>
      </c>
      <c r="D3022" s="9">
        <f>(C3022-B3022)*24</f>
        <v/>
      </c>
      <c r="E3022" s="10">
        <f>IF(AND(HOUR(B3022)&gt;=6,HOUR(B3022)&lt;18),"Day Shift","Night Shift")</f>
        <v/>
      </c>
      <c r="F3022" s="11">
        <f>INT(B3022)</f>
        <v/>
      </c>
      <c r="G3022" s="11">
        <f>INT(C3022)</f>
        <v/>
      </c>
    </row>
    <row r="3023">
      <c r="A3023" s="2" t="inlineStr">
        <is>
          <t>EXD98</t>
        </is>
      </c>
      <c r="B3023" s="3" t="n">
        <v>46093.25</v>
      </c>
      <c r="C3023" s="3" t="n">
        <v>46093.75</v>
      </c>
      <c r="D3023" s="4">
        <f>(C3023-B3023)*24</f>
        <v/>
      </c>
      <c r="E3023" s="5">
        <f>IF(AND(HOUR(B3023)&gt;=6,HOUR(B3023)&lt;18),"Day Shift","Night Shift")</f>
        <v/>
      </c>
      <c r="F3023" s="6">
        <f>INT(B3023)</f>
        <v/>
      </c>
      <c r="G3023" s="6">
        <f>INT(C3023)</f>
        <v/>
      </c>
    </row>
    <row r="3024">
      <c r="A3024" s="7" t="inlineStr">
        <is>
          <t>EXD98</t>
        </is>
      </c>
      <c r="B3024" s="8" t="n">
        <v>46093.75</v>
      </c>
      <c r="C3024" s="8" t="n">
        <v>46094.25</v>
      </c>
      <c r="D3024" s="9">
        <f>(C3024-B3024)*24</f>
        <v/>
      </c>
      <c r="E3024" s="10">
        <f>IF(AND(HOUR(B3024)&gt;=6,HOUR(B3024)&lt;18),"Day Shift","Night Shift")</f>
        <v/>
      </c>
      <c r="F3024" s="11">
        <f>INT(B3024)</f>
        <v/>
      </c>
      <c r="G3024" s="11">
        <f>INT(C3024)</f>
        <v/>
      </c>
    </row>
    <row r="3025">
      <c r="A3025" s="2" t="inlineStr">
        <is>
          <t>EXD98</t>
        </is>
      </c>
      <c r="B3025" s="3" t="n">
        <v>46094.25</v>
      </c>
      <c r="C3025" s="3" t="n">
        <v>46094.75</v>
      </c>
      <c r="D3025" s="4">
        <f>(C3025-B3025)*24</f>
        <v/>
      </c>
      <c r="E3025" s="5">
        <f>IF(AND(HOUR(B3025)&gt;=6,HOUR(B3025)&lt;18),"Day Shift","Night Shift")</f>
        <v/>
      </c>
      <c r="F3025" s="6">
        <f>INT(B3025)</f>
        <v/>
      </c>
      <c r="G3025" s="6">
        <f>INT(C3025)</f>
        <v/>
      </c>
    </row>
    <row r="3026">
      <c r="A3026" s="7" t="inlineStr">
        <is>
          <t>EXD98</t>
        </is>
      </c>
      <c r="B3026" s="8" t="n">
        <v>46094.75</v>
      </c>
      <c r="C3026" s="8" t="n">
        <v>46095.25</v>
      </c>
      <c r="D3026" s="9">
        <f>(C3026-B3026)*24</f>
        <v/>
      </c>
      <c r="E3026" s="10">
        <f>IF(AND(HOUR(B3026)&gt;=6,HOUR(B3026)&lt;18),"Day Shift","Night Shift")</f>
        <v/>
      </c>
      <c r="F3026" s="11">
        <f>INT(B3026)</f>
        <v/>
      </c>
      <c r="G3026" s="11">
        <f>INT(C3026)</f>
        <v/>
      </c>
    </row>
    <row r="3027">
      <c r="A3027" s="2" t="inlineStr">
        <is>
          <t>EXD98</t>
        </is>
      </c>
      <c r="B3027" s="3" t="n">
        <v>46095.25</v>
      </c>
      <c r="C3027" s="3" t="n">
        <v>46095.75</v>
      </c>
      <c r="D3027" s="4">
        <f>(C3027-B3027)*24</f>
        <v/>
      </c>
      <c r="E3027" s="5">
        <f>IF(AND(HOUR(B3027)&gt;=6,HOUR(B3027)&lt;18),"Day Shift","Night Shift")</f>
        <v/>
      </c>
      <c r="F3027" s="6">
        <f>INT(B3027)</f>
        <v/>
      </c>
      <c r="G3027" s="6">
        <f>INT(C3027)</f>
        <v/>
      </c>
    </row>
    <row r="3028">
      <c r="A3028" s="7" t="inlineStr">
        <is>
          <t>EXD98</t>
        </is>
      </c>
      <c r="B3028" s="8" t="n">
        <v>46095.75</v>
      </c>
      <c r="C3028" s="8" t="n">
        <v>46096.25</v>
      </c>
      <c r="D3028" s="9">
        <f>(C3028-B3028)*24</f>
        <v/>
      </c>
      <c r="E3028" s="10">
        <f>IF(AND(HOUR(B3028)&gt;=6,HOUR(B3028)&lt;18),"Day Shift","Night Shift")</f>
        <v/>
      </c>
      <c r="F3028" s="11">
        <f>INT(B3028)</f>
        <v/>
      </c>
      <c r="G3028" s="11">
        <f>INT(C3028)</f>
        <v/>
      </c>
    </row>
    <row r="3029">
      <c r="A3029" s="2" t="inlineStr">
        <is>
          <t>EXD98</t>
        </is>
      </c>
      <c r="B3029" s="3" t="n">
        <v>46096.25</v>
      </c>
      <c r="C3029" s="3" t="n">
        <v>46096.75</v>
      </c>
      <c r="D3029" s="4">
        <f>(C3029-B3029)*24</f>
        <v/>
      </c>
      <c r="E3029" s="5">
        <f>IF(AND(HOUR(B3029)&gt;=6,HOUR(B3029)&lt;18),"Day Shift","Night Shift")</f>
        <v/>
      </c>
      <c r="F3029" s="6">
        <f>INT(B3029)</f>
        <v/>
      </c>
      <c r="G3029" s="6">
        <f>INT(C3029)</f>
        <v/>
      </c>
    </row>
    <row r="3030">
      <c r="A3030" s="7" t="inlineStr">
        <is>
          <t>EXD98</t>
        </is>
      </c>
      <c r="B3030" s="8" t="n">
        <v>46096.75</v>
      </c>
      <c r="C3030" s="8" t="n">
        <v>46097.25</v>
      </c>
      <c r="D3030" s="9">
        <f>(C3030-B3030)*24</f>
        <v/>
      </c>
      <c r="E3030" s="10">
        <f>IF(AND(HOUR(B3030)&gt;=6,HOUR(B3030)&lt;18),"Day Shift","Night Shift")</f>
        <v/>
      </c>
      <c r="F3030" s="11">
        <f>INT(B3030)</f>
        <v/>
      </c>
      <c r="G3030" s="11">
        <f>INT(C3030)</f>
        <v/>
      </c>
    </row>
    <row r="3031">
      <c r="A3031" s="2" t="inlineStr">
        <is>
          <t>EXD98</t>
        </is>
      </c>
      <c r="B3031" s="3" t="n">
        <v>46097.25</v>
      </c>
      <c r="C3031" s="3" t="n">
        <v>46097.75</v>
      </c>
      <c r="D3031" s="4">
        <f>(C3031-B3031)*24</f>
        <v/>
      </c>
      <c r="E3031" s="5">
        <f>IF(AND(HOUR(B3031)&gt;=6,HOUR(B3031)&lt;18),"Day Shift","Night Shift")</f>
        <v/>
      </c>
      <c r="F3031" s="6">
        <f>INT(B3031)</f>
        <v/>
      </c>
      <c r="G3031" s="6">
        <f>INT(C3031)</f>
        <v/>
      </c>
    </row>
    <row r="3032">
      <c r="A3032" s="7" t="inlineStr">
        <is>
          <t>EXD98</t>
        </is>
      </c>
      <c r="B3032" s="8" t="n">
        <v>46097.75</v>
      </c>
      <c r="C3032" s="8" t="n">
        <v>46098.25</v>
      </c>
      <c r="D3032" s="9">
        <f>(C3032-B3032)*24</f>
        <v/>
      </c>
      <c r="E3032" s="10">
        <f>IF(AND(HOUR(B3032)&gt;=6,HOUR(B3032)&lt;18),"Day Shift","Night Shift")</f>
        <v/>
      </c>
      <c r="F3032" s="11">
        <f>INT(B3032)</f>
        <v/>
      </c>
      <c r="G3032" s="11">
        <f>INT(C3032)</f>
        <v/>
      </c>
    </row>
    <row r="3033">
      <c r="A3033" s="2" t="inlineStr">
        <is>
          <t>EXD98</t>
        </is>
      </c>
      <c r="B3033" s="3" t="n">
        <v>46098.25</v>
      </c>
      <c r="C3033" s="3" t="n">
        <v>46098.55111111111</v>
      </c>
      <c r="D3033" s="4">
        <f>(C3033-B3033)*24</f>
        <v/>
      </c>
      <c r="E3033" s="5">
        <f>IF(AND(HOUR(B3033)&gt;=6,HOUR(B3033)&lt;18),"Day Shift","Night Shift")</f>
        <v/>
      </c>
      <c r="F3033" s="6">
        <f>INT(B3033)</f>
        <v/>
      </c>
      <c r="G3033" s="6">
        <f>INT(C3033)</f>
        <v/>
      </c>
    </row>
    <row r="3034">
      <c r="A3034" s="2" t="inlineStr">
        <is>
          <t>Blast Crew</t>
        </is>
      </c>
      <c r="B3034" s="3" t="n">
        <v>46083.34341435185</v>
      </c>
      <c r="C3034" s="3" t="n">
        <v>46083.3762037037</v>
      </c>
      <c r="D3034" s="4">
        <f>(C3034-B3034)*24</f>
        <v/>
      </c>
      <c r="E3034" s="5">
        <f>IF(AND(HOUR(B3034)&gt;=6,HOUR(B3034)&lt;18),"Day Shift","Night Shift")</f>
        <v/>
      </c>
      <c r="F3034" s="6">
        <f>INT(B3034)</f>
        <v/>
      </c>
      <c r="G3034" s="6">
        <f>INT(C3034)</f>
        <v/>
      </c>
    </row>
    <row r="3035">
      <c r="A3035" s="2" t="inlineStr">
        <is>
          <t>EXD100</t>
        </is>
      </c>
      <c r="B3035" s="3" t="n">
        <v>46083.35752314814</v>
      </c>
      <c r="C3035" s="3" t="n">
        <v>46083.75</v>
      </c>
      <c r="D3035" s="4">
        <f>(C3035-B3035)*24</f>
        <v/>
      </c>
      <c r="E3035" s="5">
        <f>IF(AND(HOUR(B3035)&gt;=6,HOUR(B3035)&lt;18),"Day Shift","Night Shift")</f>
        <v/>
      </c>
      <c r="F3035" s="6">
        <f>INT(B3035)</f>
        <v/>
      </c>
      <c r="G3035" s="6">
        <f>INT(C3035)</f>
        <v/>
      </c>
    </row>
    <row r="3036">
      <c r="A3036" s="7" t="inlineStr">
        <is>
          <t>EXD100</t>
        </is>
      </c>
      <c r="B3036" s="8" t="n">
        <v>46083.75</v>
      </c>
      <c r="C3036" s="8" t="n">
        <v>46084.08047453704</v>
      </c>
      <c r="D3036" s="9">
        <f>(C3036-B3036)*24</f>
        <v/>
      </c>
      <c r="E3036" s="10">
        <f>IF(AND(HOUR(B3036)&gt;=6,HOUR(B3036)&lt;18),"Day Shift","Night Shift")</f>
        <v/>
      </c>
      <c r="F3036" s="11">
        <f>INT(B3036)</f>
        <v/>
      </c>
      <c r="G3036" s="11">
        <f>INT(C3036)</f>
        <v/>
      </c>
    </row>
    <row r="3037">
      <c r="A3037" s="2" t="inlineStr">
        <is>
          <t>Blast Crew</t>
        </is>
      </c>
      <c r="B3037" s="3" t="n">
        <v>46083.3762037037</v>
      </c>
      <c r="C3037" s="3" t="n">
        <v>46083.39025462963</v>
      </c>
      <c r="D3037" s="4">
        <f>(C3037-B3037)*24</f>
        <v/>
      </c>
      <c r="E3037" s="5">
        <f>IF(AND(HOUR(B3037)&gt;=6,HOUR(B3037)&lt;18),"Day Shift","Night Shift")</f>
        <v/>
      </c>
      <c r="F3037" s="6">
        <f>INT(B3037)</f>
        <v/>
      </c>
      <c r="G3037" s="6">
        <f>INT(C3037)</f>
        <v/>
      </c>
    </row>
    <row r="3038">
      <c r="A3038" s="2" t="inlineStr">
        <is>
          <t>Blast Crew</t>
        </is>
      </c>
      <c r="B3038" s="3" t="n">
        <v>46083.39025462963</v>
      </c>
      <c r="C3038" s="3" t="n">
        <v>46083.43179398148</v>
      </c>
      <c r="D3038" s="4">
        <f>(C3038-B3038)*24</f>
        <v/>
      </c>
      <c r="E3038" s="5">
        <f>IF(AND(HOUR(B3038)&gt;=6,HOUR(B3038)&lt;18),"Day Shift","Night Shift")</f>
        <v/>
      </c>
      <c r="F3038" s="6">
        <f>INT(B3038)</f>
        <v/>
      </c>
      <c r="G3038" s="6">
        <f>INT(C3038)</f>
        <v/>
      </c>
    </row>
    <row r="3039">
      <c r="A3039" s="2" t="inlineStr">
        <is>
          <t>EXD73</t>
        </is>
      </c>
      <c r="B3039" s="3" t="n">
        <v>46083.42886574074</v>
      </c>
      <c r="C3039" s="3" t="n">
        <v>46083.75</v>
      </c>
      <c r="D3039" s="4">
        <f>(C3039-B3039)*24</f>
        <v/>
      </c>
      <c r="E3039" s="5">
        <f>IF(AND(HOUR(B3039)&gt;=6,HOUR(B3039)&lt;18),"Day Shift","Night Shift")</f>
        <v/>
      </c>
      <c r="F3039" s="6">
        <f>INT(B3039)</f>
        <v/>
      </c>
      <c r="G3039" s="6">
        <f>INT(C3039)</f>
        <v/>
      </c>
    </row>
    <row r="3040">
      <c r="A3040" s="7" t="inlineStr">
        <is>
          <t>EXD73</t>
        </is>
      </c>
      <c r="B3040" s="8" t="n">
        <v>46083.75</v>
      </c>
      <c r="C3040" s="8" t="n">
        <v>46084.25</v>
      </c>
      <c r="D3040" s="9">
        <f>(C3040-B3040)*24</f>
        <v/>
      </c>
      <c r="E3040" s="10">
        <f>IF(AND(HOUR(B3040)&gt;=6,HOUR(B3040)&lt;18),"Day Shift","Night Shift")</f>
        <v/>
      </c>
      <c r="F3040" s="11">
        <f>INT(B3040)</f>
        <v/>
      </c>
      <c r="G3040" s="11">
        <f>INT(C3040)</f>
        <v/>
      </c>
    </row>
    <row r="3041">
      <c r="A3041" s="2" t="inlineStr">
        <is>
          <t>EXD73</t>
        </is>
      </c>
      <c r="B3041" s="3" t="n">
        <v>46084.25</v>
      </c>
      <c r="C3041" s="3" t="n">
        <v>46084.38460648148</v>
      </c>
      <c r="D3041" s="4">
        <f>(C3041-B3041)*24</f>
        <v/>
      </c>
      <c r="E3041" s="5">
        <f>IF(AND(HOUR(B3041)&gt;=6,HOUR(B3041)&lt;18),"Day Shift","Night Shift")</f>
        <v/>
      </c>
      <c r="F3041" s="6">
        <f>INT(B3041)</f>
        <v/>
      </c>
      <c r="G3041" s="6">
        <f>INT(C3041)</f>
        <v/>
      </c>
    </row>
    <row r="3042">
      <c r="A3042" s="2" t="inlineStr">
        <is>
          <t>Blast Crew</t>
        </is>
      </c>
      <c r="B3042" s="3" t="n">
        <v>46083.43179398148</v>
      </c>
      <c r="C3042" s="3" t="n">
        <v>46083.47376157407</v>
      </c>
      <c r="D3042" s="4">
        <f>(C3042-B3042)*24</f>
        <v/>
      </c>
      <c r="E3042" s="5">
        <f>IF(AND(HOUR(B3042)&gt;=6,HOUR(B3042)&lt;18),"Day Shift","Night Shift")</f>
        <v/>
      </c>
      <c r="F3042" s="6">
        <f>INT(B3042)</f>
        <v/>
      </c>
      <c r="G3042" s="6">
        <f>INT(C3042)</f>
        <v/>
      </c>
    </row>
    <row r="3043">
      <c r="A3043" s="2" t="inlineStr">
        <is>
          <t>EDD2541;Sprint 1</t>
        </is>
      </c>
      <c r="B3043" s="3" t="n">
        <v>46083.46288194445</v>
      </c>
      <c r="C3043" s="3" t="n">
        <v>46083.69413194444</v>
      </c>
      <c r="D3043" s="4">
        <f>(C3043-B3043)*24</f>
        <v/>
      </c>
      <c r="E3043" s="5">
        <f>IF(AND(HOUR(B3043)&gt;=6,HOUR(B3043)&lt;18),"Day Shift","Night Shift")</f>
        <v/>
      </c>
      <c r="F3043" s="6">
        <f>INT(B3043)</f>
        <v/>
      </c>
      <c r="G3043" s="6">
        <f>INT(C3043)</f>
        <v/>
      </c>
    </row>
    <row r="3044">
      <c r="A3044" s="2" t="inlineStr">
        <is>
          <t>EDD175;EDD2134</t>
        </is>
      </c>
      <c r="B3044" s="3" t="n">
        <v>46083.46439814815</v>
      </c>
      <c r="C3044" s="3" t="n">
        <v>46083.75</v>
      </c>
      <c r="D3044" s="4">
        <f>(C3044-B3044)*24</f>
        <v/>
      </c>
      <c r="E3044" s="5">
        <f>IF(AND(HOUR(B3044)&gt;=6,HOUR(B3044)&lt;18),"Day Shift","Night Shift")</f>
        <v/>
      </c>
      <c r="F3044" s="6">
        <f>INT(B3044)</f>
        <v/>
      </c>
      <c r="G3044" s="6">
        <f>INT(C3044)</f>
        <v/>
      </c>
    </row>
    <row r="3045">
      <c r="A3045" s="7" t="inlineStr">
        <is>
          <t>EDD175;EDD2134</t>
        </is>
      </c>
      <c r="B3045" s="8" t="n">
        <v>46083.75</v>
      </c>
      <c r="C3045" s="8" t="n">
        <v>46083.86708333333</v>
      </c>
      <c r="D3045" s="9">
        <f>(C3045-B3045)*24</f>
        <v/>
      </c>
      <c r="E3045" s="10">
        <f>IF(AND(HOUR(B3045)&gt;=6,HOUR(B3045)&lt;18),"Day Shift","Night Shift")</f>
        <v/>
      </c>
      <c r="F3045" s="11">
        <f>INT(B3045)</f>
        <v/>
      </c>
      <c r="G3045" s="11">
        <f>INT(C3045)</f>
        <v/>
      </c>
    </row>
    <row r="3046">
      <c r="A3046" s="2" t="inlineStr">
        <is>
          <t>EXD51;EXD55</t>
        </is>
      </c>
      <c r="B3046" s="3" t="n">
        <v>46083.51730324074</v>
      </c>
      <c r="C3046" s="3" t="n">
        <v>46083.75</v>
      </c>
      <c r="D3046" s="4">
        <f>(C3046-B3046)*24</f>
        <v/>
      </c>
      <c r="E3046" s="5">
        <f>IF(AND(HOUR(B3046)&gt;=6,HOUR(B3046)&lt;18),"Day Shift","Night Shift")</f>
        <v/>
      </c>
      <c r="F3046" s="6">
        <f>INT(B3046)</f>
        <v/>
      </c>
      <c r="G3046" s="6">
        <f>INT(C3046)</f>
        <v/>
      </c>
    </row>
    <row r="3047">
      <c r="A3047" s="7" t="inlineStr">
        <is>
          <t>EXD51;EXD55</t>
        </is>
      </c>
      <c r="B3047" s="8" t="n">
        <v>46083.75</v>
      </c>
      <c r="C3047" s="8" t="n">
        <v>46084.25</v>
      </c>
      <c r="D3047" s="9">
        <f>(C3047-B3047)*24</f>
        <v/>
      </c>
      <c r="E3047" s="10">
        <f>IF(AND(HOUR(B3047)&gt;=6,HOUR(B3047)&lt;18),"Day Shift","Night Shift")</f>
        <v/>
      </c>
      <c r="F3047" s="11">
        <f>INT(B3047)</f>
        <v/>
      </c>
      <c r="G3047" s="11">
        <f>INT(C3047)</f>
        <v/>
      </c>
    </row>
    <row r="3048">
      <c r="A3048" s="2" t="inlineStr">
        <is>
          <t>EXD51;EXD55</t>
        </is>
      </c>
      <c r="B3048" s="3" t="n">
        <v>46084.25</v>
      </c>
      <c r="C3048" s="3" t="n">
        <v>46084.75</v>
      </c>
      <c r="D3048" s="4">
        <f>(C3048-B3048)*24</f>
        <v/>
      </c>
      <c r="E3048" s="5">
        <f>IF(AND(HOUR(B3048)&gt;=6,HOUR(B3048)&lt;18),"Day Shift","Night Shift")</f>
        <v/>
      </c>
      <c r="F3048" s="6">
        <f>INT(B3048)</f>
        <v/>
      </c>
      <c r="G3048" s="6">
        <f>INT(C3048)</f>
        <v/>
      </c>
    </row>
    <row r="3049">
      <c r="A3049" s="7" t="inlineStr">
        <is>
          <t>EXD51;EXD55</t>
        </is>
      </c>
      <c r="B3049" s="8" t="n">
        <v>46084.75</v>
      </c>
      <c r="C3049" s="8" t="n">
        <v>46084.82796296296</v>
      </c>
      <c r="D3049" s="9">
        <f>(C3049-B3049)*24</f>
        <v/>
      </c>
      <c r="E3049" s="10">
        <f>IF(AND(HOUR(B3049)&gt;=6,HOUR(B3049)&lt;18),"Day Shift","Night Shift")</f>
        <v/>
      </c>
      <c r="F3049" s="11">
        <f>INT(B3049)</f>
        <v/>
      </c>
      <c r="G3049" s="11">
        <f>INT(C3049)</f>
        <v/>
      </c>
    </row>
    <row r="3050">
      <c r="A3050" s="2" t="inlineStr">
        <is>
          <t>EXD55</t>
        </is>
      </c>
      <c r="B3050" s="3" t="n">
        <v>46083.51730324074</v>
      </c>
      <c r="C3050" s="3" t="n">
        <v>46083.72458333334</v>
      </c>
      <c r="D3050" s="4">
        <f>(C3050-B3050)*24</f>
        <v/>
      </c>
      <c r="E3050" s="5">
        <f>IF(AND(HOUR(B3050)&gt;=6,HOUR(B3050)&lt;18),"Day Shift","Night Shift")</f>
        <v/>
      </c>
      <c r="F3050" s="6">
        <f>INT(B3050)</f>
        <v/>
      </c>
      <c r="G3050" s="6">
        <f>INT(C3050)</f>
        <v/>
      </c>
    </row>
    <row r="3051">
      <c r="A3051" s="2" t="inlineStr">
        <is>
          <t>Blast Crew</t>
        </is>
      </c>
      <c r="B3051" s="3" t="n">
        <v>46083.55616898148</v>
      </c>
      <c r="C3051" s="3" t="n">
        <v>46083.75</v>
      </c>
      <c r="D3051" s="4">
        <f>(C3051-B3051)*24</f>
        <v/>
      </c>
      <c r="E3051" s="5">
        <f>IF(AND(HOUR(B3051)&gt;=6,HOUR(B3051)&lt;18),"Day Shift","Night Shift")</f>
        <v/>
      </c>
      <c r="F3051" s="6">
        <f>INT(B3051)</f>
        <v/>
      </c>
      <c r="G3051" s="6">
        <f>INT(C3051)</f>
        <v/>
      </c>
    </row>
    <row r="3052">
      <c r="A3052" s="7" t="inlineStr">
        <is>
          <t>Blast Crew</t>
        </is>
      </c>
      <c r="B3052" s="8" t="n">
        <v>46083.75</v>
      </c>
      <c r="C3052" s="8" t="n">
        <v>46083.97243055556</v>
      </c>
      <c r="D3052" s="9">
        <f>(C3052-B3052)*24</f>
        <v/>
      </c>
      <c r="E3052" s="10">
        <f>IF(AND(HOUR(B3052)&gt;=6,HOUR(B3052)&lt;18),"Day Shift","Night Shift")</f>
        <v/>
      </c>
      <c r="F3052" s="11">
        <f>INT(B3052)</f>
        <v/>
      </c>
      <c r="G3052" s="11">
        <f>INT(C3052)</f>
        <v/>
      </c>
    </row>
    <row r="3053">
      <c r="A3053" s="2" t="inlineStr">
        <is>
          <t>EXD409</t>
        </is>
      </c>
      <c r="B3053" s="3" t="n">
        <v>46083.58162037037</v>
      </c>
      <c r="C3053" s="3" t="n">
        <v>46083.75</v>
      </c>
      <c r="D3053" s="4">
        <f>(C3053-B3053)*24</f>
        <v/>
      </c>
      <c r="E3053" s="5">
        <f>IF(AND(HOUR(B3053)&gt;=6,HOUR(B3053)&lt;18),"Day Shift","Night Shift")</f>
        <v/>
      </c>
      <c r="F3053" s="6">
        <f>INT(B3053)</f>
        <v/>
      </c>
      <c r="G3053" s="6">
        <f>INT(C3053)</f>
        <v/>
      </c>
    </row>
    <row r="3054">
      <c r="A3054" s="7" t="inlineStr">
        <is>
          <t>EXD409</t>
        </is>
      </c>
      <c r="B3054" s="8" t="n">
        <v>46083.75</v>
      </c>
      <c r="C3054" s="8" t="n">
        <v>46083.93001157408</v>
      </c>
      <c r="D3054" s="9">
        <f>(C3054-B3054)*24</f>
        <v/>
      </c>
      <c r="E3054" s="10">
        <f>IF(AND(HOUR(B3054)&gt;=6,HOUR(B3054)&lt;18),"Day Shift","Night Shift")</f>
        <v/>
      </c>
      <c r="F3054" s="11">
        <f>INT(B3054)</f>
        <v/>
      </c>
      <c r="G3054" s="11">
        <f>INT(C3054)</f>
        <v/>
      </c>
    </row>
    <row r="3055">
      <c r="A3055" s="2" t="inlineStr">
        <is>
          <t>EXD60</t>
        </is>
      </c>
      <c r="B3055" s="3" t="n">
        <v>46083.61487268518</v>
      </c>
      <c r="C3055" s="3" t="n">
        <v>46083.75</v>
      </c>
      <c r="D3055" s="4">
        <f>(C3055-B3055)*24</f>
        <v/>
      </c>
      <c r="E3055" s="5">
        <f>IF(AND(HOUR(B3055)&gt;=6,HOUR(B3055)&lt;18),"Day Shift","Night Shift")</f>
        <v/>
      </c>
      <c r="F3055" s="6">
        <f>INT(B3055)</f>
        <v/>
      </c>
      <c r="G3055" s="6">
        <f>INT(C3055)</f>
        <v/>
      </c>
    </row>
    <row r="3056">
      <c r="A3056" s="7" t="inlineStr">
        <is>
          <t>EXD60</t>
        </is>
      </c>
      <c r="B3056" s="8" t="n">
        <v>46083.75</v>
      </c>
      <c r="C3056" s="8" t="n">
        <v>46084.25</v>
      </c>
      <c r="D3056" s="9">
        <f>(C3056-B3056)*24</f>
        <v/>
      </c>
      <c r="E3056" s="10">
        <f>IF(AND(HOUR(B3056)&gt;=6,HOUR(B3056)&lt;18),"Day Shift","Night Shift")</f>
        <v/>
      </c>
      <c r="F3056" s="11">
        <f>INT(B3056)</f>
        <v/>
      </c>
      <c r="G3056" s="11">
        <f>INT(C3056)</f>
        <v/>
      </c>
    </row>
    <row r="3057">
      <c r="A3057" s="2" t="inlineStr">
        <is>
          <t>EXD60</t>
        </is>
      </c>
      <c r="B3057" s="3" t="n">
        <v>46084.25</v>
      </c>
      <c r="C3057" s="3" t="n">
        <v>46084.35137731482</v>
      </c>
      <c r="D3057" s="4">
        <f>(C3057-B3057)*24</f>
        <v/>
      </c>
      <c r="E3057" s="5">
        <f>IF(AND(HOUR(B3057)&gt;=6,HOUR(B3057)&lt;18),"Day Shift","Night Shift")</f>
        <v/>
      </c>
      <c r="F3057" s="6">
        <f>INT(B3057)</f>
        <v/>
      </c>
      <c r="G3057" s="6">
        <f>INT(C3057)</f>
        <v/>
      </c>
    </row>
    <row r="3058">
      <c r="A3058" s="2" t="inlineStr">
        <is>
          <t>EXD408</t>
        </is>
      </c>
      <c r="B3058" s="3" t="n">
        <v>46083.67318287037</v>
      </c>
      <c r="C3058" s="3" t="n">
        <v>46083.75</v>
      </c>
      <c r="D3058" s="4">
        <f>(C3058-B3058)*24</f>
        <v/>
      </c>
      <c r="E3058" s="5">
        <f>IF(AND(HOUR(B3058)&gt;=6,HOUR(B3058)&lt;18),"Day Shift","Night Shift")</f>
        <v/>
      </c>
      <c r="F3058" s="6">
        <f>INT(B3058)</f>
        <v/>
      </c>
      <c r="G3058" s="6">
        <f>INT(C3058)</f>
        <v/>
      </c>
    </row>
    <row r="3059">
      <c r="A3059" s="7" t="inlineStr">
        <is>
          <t>EXD408</t>
        </is>
      </c>
      <c r="B3059" s="8" t="n">
        <v>46083.75</v>
      </c>
      <c r="C3059" s="8" t="n">
        <v>46084.25</v>
      </c>
      <c r="D3059" s="9">
        <f>(C3059-B3059)*24</f>
        <v/>
      </c>
      <c r="E3059" s="10">
        <f>IF(AND(HOUR(B3059)&gt;=6,HOUR(B3059)&lt;18),"Day Shift","Night Shift")</f>
        <v/>
      </c>
      <c r="F3059" s="11">
        <f>INT(B3059)</f>
        <v/>
      </c>
      <c r="G3059" s="11">
        <f>INT(C3059)</f>
        <v/>
      </c>
    </row>
    <row r="3060">
      <c r="A3060" s="2" t="inlineStr">
        <is>
          <t>EXD408</t>
        </is>
      </c>
      <c r="B3060" s="3" t="n">
        <v>46084.25</v>
      </c>
      <c r="C3060" s="3" t="n">
        <v>46084.75</v>
      </c>
      <c r="D3060" s="4">
        <f>(C3060-B3060)*24</f>
        <v/>
      </c>
      <c r="E3060" s="5">
        <f>IF(AND(HOUR(B3060)&gt;=6,HOUR(B3060)&lt;18),"Day Shift","Night Shift")</f>
        <v/>
      </c>
      <c r="F3060" s="6">
        <f>INT(B3060)</f>
        <v/>
      </c>
      <c r="G3060" s="6">
        <f>INT(C3060)</f>
        <v/>
      </c>
    </row>
    <row r="3061">
      <c r="A3061" s="7" t="inlineStr">
        <is>
          <t>EXD408</t>
        </is>
      </c>
      <c r="B3061" s="8" t="n">
        <v>46084.75</v>
      </c>
      <c r="C3061" s="8" t="n">
        <v>46085.12621527778</v>
      </c>
      <c r="D3061" s="9">
        <f>(C3061-B3061)*24</f>
        <v/>
      </c>
      <c r="E3061" s="10">
        <f>IF(AND(HOUR(B3061)&gt;=6,HOUR(B3061)&lt;18),"Day Shift","Night Shift")</f>
        <v/>
      </c>
      <c r="F3061" s="11">
        <f>INT(B3061)</f>
        <v/>
      </c>
      <c r="G3061" s="11">
        <f>INT(C3061)</f>
        <v/>
      </c>
    </row>
    <row r="3062">
      <c r="A3062" s="2" t="inlineStr">
        <is>
          <t>EDD2541;Sprint 1</t>
        </is>
      </c>
      <c r="B3062" s="3" t="n">
        <v>46083.69413194444</v>
      </c>
      <c r="C3062" s="3" t="n">
        <v>46083.75</v>
      </c>
      <c r="D3062" s="4">
        <f>(C3062-B3062)*24</f>
        <v/>
      </c>
      <c r="E3062" s="5">
        <f>IF(AND(HOUR(B3062)&gt;=6,HOUR(B3062)&lt;18),"Day Shift","Night Shift")</f>
        <v/>
      </c>
      <c r="F3062" s="6">
        <f>INT(B3062)</f>
        <v/>
      </c>
      <c r="G3062" s="6">
        <f>INT(C3062)</f>
        <v/>
      </c>
    </row>
    <row r="3063">
      <c r="A3063" s="7" t="inlineStr">
        <is>
          <t>EDD2541;Sprint 1</t>
        </is>
      </c>
      <c r="B3063" s="8" t="n">
        <v>46083.75</v>
      </c>
      <c r="C3063" s="8" t="n">
        <v>46083.91474537037</v>
      </c>
      <c r="D3063" s="9">
        <f>(C3063-B3063)*24</f>
        <v/>
      </c>
      <c r="E3063" s="10">
        <f>IF(AND(HOUR(B3063)&gt;=6,HOUR(B3063)&lt;18),"Day Shift","Night Shift")</f>
        <v/>
      </c>
      <c r="F3063" s="11">
        <f>INT(B3063)</f>
        <v/>
      </c>
      <c r="G3063" s="11">
        <f>INT(C3063)</f>
        <v/>
      </c>
    </row>
    <row r="3064">
      <c r="A3064" s="7" t="inlineStr">
        <is>
          <t>EDD812</t>
        </is>
      </c>
      <c r="B3064" s="8" t="n">
        <v>46083.75287037037</v>
      </c>
      <c r="C3064" s="8" t="n">
        <v>46084.25</v>
      </c>
      <c r="D3064" s="9">
        <f>(C3064-B3064)*24</f>
        <v/>
      </c>
      <c r="E3064" s="10">
        <f>IF(AND(HOUR(B3064)&gt;=6,HOUR(B3064)&lt;18),"Day Shift","Night Shift")</f>
        <v/>
      </c>
      <c r="F3064" s="11">
        <f>INT(B3064)</f>
        <v/>
      </c>
      <c r="G3064" s="11">
        <f>INT(C3064)</f>
        <v/>
      </c>
    </row>
    <row r="3065">
      <c r="A3065" s="2" t="inlineStr">
        <is>
          <t>EDD812</t>
        </is>
      </c>
      <c r="B3065" s="3" t="n">
        <v>46084.25</v>
      </c>
      <c r="C3065" s="3" t="n">
        <v>46084.52998842593</v>
      </c>
      <c r="D3065" s="4">
        <f>(C3065-B3065)*24</f>
        <v/>
      </c>
      <c r="E3065" s="5">
        <f>IF(AND(HOUR(B3065)&gt;=6,HOUR(B3065)&lt;18),"Day Shift","Night Shift")</f>
        <v/>
      </c>
      <c r="F3065" s="6">
        <f>INT(B3065)</f>
        <v/>
      </c>
      <c r="G3065" s="6">
        <f>INT(C3065)</f>
        <v/>
      </c>
    </row>
    <row r="3066">
      <c r="A3066" s="7" t="inlineStr">
        <is>
          <t>DRE42</t>
        </is>
      </c>
      <c r="B3066" s="8" t="n">
        <v>46083.87488425926</v>
      </c>
      <c r="C3066" s="8" t="n">
        <v>46084.25</v>
      </c>
      <c r="D3066" s="9">
        <f>(C3066-B3066)*24</f>
        <v/>
      </c>
      <c r="E3066" s="10">
        <f>IF(AND(HOUR(B3066)&gt;=6,HOUR(B3066)&lt;18),"Day Shift","Night Shift")</f>
        <v/>
      </c>
      <c r="F3066" s="11">
        <f>INT(B3066)</f>
        <v/>
      </c>
      <c r="G3066" s="11">
        <f>INT(C3066)</f>
        <v/>
      </c>
    </row>
    <row r="3067">
      <c r="A3067" s="2" t="inlineStr">
        <is>
          <t>DRE42</t>
        </is>
      </c>
      <c r="B3067" s="3" t="n">
        <v>46084.25</v>
      </c>
      <c r="C3067" s="3" t="n">
        <v>46084.75</v>
      </c>
      <c r="D3067" s="4">
        <f>(C3067-B3067)*24</f>
        <v/>
      </c>
      <c r="E3067" s="5">
        <f>IF(AND(HOUR(B3067)&gt;=6,HOUR(B3067)&lt;18),"Day Shift","Night Shift")</f>
        <v/>
      </c>
      <c r="F3067" s="6">
        <f>INT(B3067)</f>
        <v/>
      </c>
      <c r="G3067" s="6">
        <f>INT(C3067)</f>
        <v/>
      </c>
    </row>
    <row r="3068">
      <c r="A3068" s="7" t="inlineStr">
        <is>
          <t>DRE42</t>
        </is>
      </c>
      <c r="B3068" s="8" t="n">
        <v>46084.75</v>
      </c>
      <c r="C3068" s="8" t="n">
        <v>46085.0509375</v>
      </c>
      <c r="D3068" s="9">
        <f>(C3068-B3068)*24</f>
        <v/>
      </c>
      <c r="E3068" s="10">
        <f>IF(AND(HOUR(B3068)&gt;=6,HOUR(B3068)&lt;18),"Day Shift","Night Shift")</f>
        <v/>
      </c>
      <c r="F3068" s="11">
        <f>INT(B3068)</f>
        <v/>
      </c>
      <c r="G3068" s="11">
        <f>INT(C3068)</f>
        <v/>
      </c>
    </row>
    <row r="3069">
      <c r="A3069" s="7" t="inlineStr">
        <is>
          <t>SHE36</t>
        </is>
      </c>
      <c r="B3069" s="8" t="n">
        <v>46083.88732638889</v>
      </c>
      <c r="C3069" s="8" t="n">
        <v>46084.25</v>
      </c>
      <c r="D3069" s="9">
        <f>(C3069-B3069)*24</f>
        <v/>
      </c>
      <c r="E3069" s="10">
        <f>IF(AND(HOUR(B3069)&gt;=6,HOUR(B3069)&lt;18),"Day Shift","Night Shift")</f>
        <v/>
      </c>
      <c r="F3069" s="11">
        <f>INT(B3069)</f>
        <v/>
      </c>
      <c r="G3069" s="11">
        <f>INT(C3069)</f>
        <v/>
      </c>
    </row>
    <row r="3070">
      <c r="A3070" s="2" t="inlineStr">
        <is>
          <t>SHE36</t>
        </is>
      </c>
      <c r="B3070" s="3" t="n">
        <v>46084.25</v>
      </c>
      <c r="C3070" s="3" t="n">
        <v>46084.75</v>
      </c>
      <c r="D3070" s="4">
        <f>(C3070-B3070)*24</f>
        <v/>
      </c>
      <c r="E3070" s="5">
        <f>IF(AND(HOUR(B3070)&gt;=6,HOUR(B3070)&lt;18),"Day Shift","Night Shift")</f>
        <v/>
      </c>
      <c r="F3070" s="6">
        <f>INT(B3070)</f>
        <v/>
      </c>
      <c r="G3070" s="6">
        <f>INT(C3070)</f>
        <v/>
      </c>
    </row>
    <row r="3071">
      <c r="A3071" s="7" t="inlineStr">
        <is>
          <t>SHE36</t>
        </is>
      </c>
      <c r="B3071" s="8" t="n">
        <v>46084.75</v>
      </c>
      <c r="C3071" s="8" t="n">
        <v>46084.93449074074</v>
      </c>
      <c r="D3071" s="9">
        <f>(C3071-B3071)*24</f>
        <v/>
      </c>
      <c r="E3071" s="10">
        <f>IF(AND(HOUR(B3071)&gt;=6,HOUR(B3071)&lt;18),"Day Shift","Night Shift")</f>
        <v/>
      </c>
      <c r="F3071" s="11">
        <f>INT(B3071)</f>
        <v/>
      </c>
      <c r="G3071" s="11">
        <f>INT(C3071)</f>
        <v/>
      </c>
    </row>
    <row r="3072">
      <c r="A3072" s="7" t="inlineStr">
        <is>
          <t>EDD2541;Sprint 1</t>
        </is>
      </c>
      <c r="B3072" s="8" t="n">
        <v>46083.91474537037</v>
      </c>
      <c r="C3072" s="8" t="n">
        <v>46084.13893518518</v>
      </c>
      <c r="D3072" s="9">
        <f>(C3072-B3072)*24</f>
        <v/>
      </c>
      <c r="E3072" s="10">
        <f>IF(AND(HOUR(B3072)&gt;=6,HOUR(B3072)&lt;18),"Day Shift","Night Shift")</f>
        <v/>
      </c>
      <c r="F3072" s="11">
        <f>INT(B3072)</f>
        <v/>
      </c>
      <c r="G3072" s="11">
        <f>INT(C3072)</f>
        <v/>
      </c>
    </row>
    <row r="3073">
      <c r="A3073" s="7" t="inlineStr">
        <is>
          <t>EXD409</t>
        </is>
      </c>
      <c r="B3073" s="8" t="n">
        <v>46083.93001157408</v>
      </c>
      <c r="C3073" s="8" t="n">
        <v>46084.25</v>
      </c>
      <c r="D3073" s="9">
        <f>(C3073-B3073)*24</f>
        <v/>
      </c>
      <c r="E3073" s="10">
        <f>IF(AND(HOUR(B3073)&gt;=6,HOUR(B3073)&lt;18),"Day Shift","Night Shift")</f>
        <v/>
      </c>
      <c r="F3073" s="11">
        <f>INT(B3073)</f>
        <v/>
      </c>
      <c r="G3073" s="11">
        <f>INT(C3073)</f>
        <v/>
      </c>
    </row>
    <row r="3074">
      <c r="A3074" s="2" t="inlineStr">
        <is>
          <t>EXD409</t>
        </is>
      </c>
      <c r="B3074" s="3" t="n">
        <v>46084.25</v>
      </c>
      <c r="C3074" s="3" t="n">
        <v>46084.75</v>
      </c>
      <c r="D3074" s="4">
        <f>(C3074-B3074)*24</f>
        <v/>
      </c>
      <c r="E3074" s="5">
        <f>IF(AND(HOUR(B3074)&gt;=6,HOUR(B3074)&lt;18),"Day Shift","Night Shift")</f>
        <v/>
      </c>
      <c r="F3074" s="6">
        <f>INT(B3074)</f>
        <v/>
      </c>
      <c r="G3074" s="6">
        <f>INT(C3074)</f>
        <v/>
      </c>
    </row>
    <row r="3075">
      <c r="A3075" s="7" t="inlineStr">
        <is>
          <t>EXD409</t>
        </is>
      </c>
      <c r="B3075" s="8" t="n">
        <v>46084.75</v>
      </c>
      <c r="C3075" s="8" t="n">
        <v>46084.8321875</v>
      </c>
      <c r="D3075" s="9">
        <f>(C3075-B3075)*24</f>
        <v/>
      </c>
      <c r="E3075" s="10">
        <f>IF(AND(HOUR(B3075)&gt;=6,HOUR(B3075)&lt;18),"Day Shift","Night Shift")</f>
        <v/>
      </c>
      <c r="F3075" s="11">
        <f>INT(B3075)</f>
        <v/>
      </c>
      <c r="G3075" s="11">
        <f>INT(C3075)</f>
        <v/>
      </c>
    </row>
    <row r="3076">
      <c r="A3076" s="7" t="inlineStr">
        <is>
          <t>EDD175;EDD2134</t>
        </is>
      </c>
      <c r="B3076" s="8" t="n">
        <v>46083.94085648148</v>
      </c>
      <c r="C3076" s="8" t="n">
        <v>46084.25</v>
      </c>
      <c r="D3076" s="9">
        <f>(C3076-B3076)*24</f>
        <v/>
      </c>
      <c r="E3076" s="10">
        <f>IF(AND(HOUR(B3076)&gt;=6,HOUR(B3076)&lt;18),"Day Shift","Night Shift")</f>
        <v/>
      </c>
      <c r="F3076" s="11">
        <f>INT(B3076)</f>
        <v/>
      </c>
      <c r="G3076" s="11">
        <f>INT(C3076)</f>
        <v/>
      </c>
    </row>
    <row r="3077">
      <c r="A3077" s="2" t="inlineStr">
        <is>
          <t>EDD175;EDD2134</t>
        </is>
      </c>
      <c r="B3077" s="3" t="n">
        <v>46084.25</v>
      </c>
      <c r="C3077" s="3" t="n">
        <v>46084.27736111111</v>
      </c>
      <c r="D3077" s="4">
        <f>(C3077-B3077)*24</f>
        <v/>
      </c>
      <c r="E3077" s="5">
        <f>IF(AND(HOUR(B3077)&gt;=6,HOUR(B3077)&lt;18),"Day Shift","Night Shift")</f>
        <v/>
      </c>
      <c r="F3077" s="6">
        <f>INT(B3077)</f>
        <v/>
      </c>
      <c r="G3077" s="6">
        <f>INT(C3077)</f>
        <v/>
      </c>
    </row>
    <row r="3078">
      <c r="A3078" s="7" t="inlineStr">
        <is>
          <t>Blast Crew</t>
        </is>
      </c>
      <c r="B3078" s="8" t="n">
        <v>46083.97243055556</v>
      </c>
      <c r="C3078" s="8" t="n">
        <v>46084.25</v>
      </c>
      <c r="D3078" s="9">
        <f>(C3078-B3078)*24</f>
        <v/>
      </c>
      <c r="E3078" s="10">
        <f>IF(AND(HOUR(B3078)&gt;=6,HOUR(B3078)&lt;18),"Day Shift","Night Shift")</f>
        <v/>
      </c>
      <c r="F3078" s="11">
        <f>INT(B3078)</f>
        <v/>
      </c>
      <c r="G3078" s="11">
        <f>INT(C3078)</f>
        <v/>
      </c>
    </row>
    <row r="3079">
      <c r="A3079" s="2" t="inlineStr">
        <is>
          <t>Blast Crew</t>
        </is>
      </c>
      <c r="B3079" s="3" t="n">
        <v>46084.25</v>
      </c>
      <c r="C3079" s="3" t="n">
        <v>46084.43635416667</v>
      </c>
      <c r="D3079" s="4">
        <f>(C3079-B3079)*24</f>
        <v/>
      </c>
      <c r="E3079" s="5">
        <f>IF(AND(HOUR(B3079)&gt;=6,HOUR(B3079)&lt;18),"Day Shift","Night Shift")</f>
        <v/>
      </c>
      <c r="F3079" s="6">
        <f>INT(B3079)</f>
        <v/>
      </c>
      <c r="G3079" s="6">
        <f>INT(C3079)</f>
        <v/>
      </c>
    </row>
    <row r="3080">
      <c r="A3080" s="7" t="inlineStr">
        <is>
          <t>EXD100</t>
        </is>
      </c>
      <c r="B3080" s="8" t="n">
        <v>46084.08047453704</v>
      </c>
      <c r="C3080" s="8" t="n">
        <v>46084.25</v>
      </c>
      <c r="D3080" s="9">
        <f>(C3080-B3080)*24</f>
        <v/>
      </c>
      <c r="E3080" s="10">
        <f>IF(AND(HOUR(B3080)&gt;=6,HOUR(B3080)&lt;18),"Day Shift","Night Shift")</f>
        <v/>
      </c>
      <c r="F3080" s="11">
        <f>INT(B3080)</f>
        <v/>
      </c>
      <c r="G3080" s="11">
        <f>INT(C3080)</f>
        <v/>
      </c>
    </row>
    <row r="3081">
      <c r="A3081" s="2" t="inlineStr">
        <is>
          <t>EXD100</t>
        </is>
      </c>
      <c r="B3081" s="3" t="n">
        <v>46084.25</v>
      </c>
      <c r="C3081" s="3" t="n">
        <v>46084.75</v>
      </c>
      <c r="D3081" s="4">
        <f>(C3081-B3081)*24</f>
        <v/>
      </c>
      <c r="E3081" s="5">
        <f>IF(AND(HOUR(B3081)&gt;=6,HOUR(B3081)&lt;18),"Day Shift","Night Shift")</f>
        <v/>
      </c>
      <c r="F3081" s="6">
        <f>INT(B3081)</f>
        <v/>
      </c>
      <c r="G3081" s="6">
        <f>INT(C3081)</f>
        <v/>
      </c>
    </row>
    <row r="3082">
      <c r="A3082" s="7" t="inlineStr">
        <is>
          <t>EXD100</t>
        </is>
      </c>
      <c r="B3082" s="8" t="n">
        <v>46084.75</v>
      </c>
      <c r="C3082" s="8" t="n">
        <v>46084.83104166666</v>
      </c>
      <c r="D3082" s="9">
        <f>(C3082-B3082)*24</f>
        <v/>
      </c>
      <c r="E3082" s="10">
        <f>IF(AND(HOUR(B3082)&gt;=6,HOUR(B3082)&lt;18),"Day Shift","Night Shift")</f>
        <v/>
      </c>
      <c r="F3082" s="11">
        <f>INT(B3082)</f>
        <v/>
      </c>
      <c r="G3082" s="11">
        <f>INT(C3082)</f>
        <v/>
      </c>
    </row>
    <row r="3083">
      <c r="A3083" s="7" t="inlineStr">
        <is>
          <t>EDD2541;Sprint 1</t>
        </is>
      </c>
      <c r="B3083" s="8" t="n">
        <v>46084.13893518518</v>
      </c>
      <c r="C3083" s="8" t="n">
        <v>46084.25</v>
      </c>
      <c r="D3083" s="9">
        <f>(C3083-B3083)*24</f>
        <v/>
      </c>
      <c r="E3083" s="10">
        <f>IF(AND(HOUR(B3083)&gt;=6,HOUR(B3083)&lt;18),"Day Shift","Night Shift")</f>
        <v/>
      </c>
      <c r="F3083" s="11">
        <f>INT(B3083)</f>
        <v/>
      </c>
      <c r="G3083" s="11">
        <f>INT(C3083)</f>
        <v/>
      </c>
    </row>
    <row r="3084">
      <c r="A3084" s="2" t="inlineStr">
        <is>
          <t>EDD2541;Sprint 1</t>
        </is>
      </c>
      <c r="B3084" s="3" t="n">
        <v>46084.25</v>
      </c>
      <c r="C3084" s="3" t="n">
        <v>46084.26289351852</v>
      </c>
      <c r="D3084" s="4">
        <f>(C3084-B3084)*24</f>
        <v/>
      </c>
      <c r="E3084" s="5">
        <f>IF(AND(HOUR(B3084)&gt;=6,HOUR(B3084)&lt;18),"Day Shift","Night Shift")</f>
        <v/>
      </c>
      <c r="F3084" s="6">
        <f>INT(B3084)</f>
        <v/>
      </c>
      <c r="G3084" s="6">
        <f>INT(C3084)</f>
        <v/>
      </c>
    </row>
    <row r="3085">
      <c r="A3085" s="7" t="inlineStr">
        <is>
          <t>EDD1932</t>
        </is>
      </c>
      <c r="B3085" s="8" t="n">
        <v>46084.23075231481</v>
      </c>
      <c r="C3085" s="8" t="n">
        <v>46084.25</v>
      </c>
      <c r="D3085" s="9">
        <f>(C3085-B3085)*24</f>
        <v/>
      </c>
      <c r="E3085" s="10">
        <f>IF(AND(HOUR(B3085)&gt;=6,HOUR(B3085)&lt;18),"Day Shift","Night Shift")</f>
        <v/>
      </c>
      <c r="F3085" s="11">
        <f>INT(B3085)</f>
        <v/>
      </c>
      <c r="G3085" s="11">
        <f>INT(C3085)</f>
        <v/>
      </c>
    </row>
    <row r="3086">
      <c r="A3086" s="2" t="inlineStr">
        <is>
          <t>EDD1932</t>
        </is>
      </c>
      <c r="B3086" s="3" t="n">
        <v>46084.25</v>
      </c>
      <c r="C3086" s="3" t="n">
        <v>46084.75</v>
      </c>
      <c r="D3086" s="4">
        <f>(C3086-B3086)*24</f>
        <v/>
      </c>
      <c r="E3086" s="5">
        <f>IF(AND(HOUR(B3086)&gt;=6,HOUR(B3086)&lt;18),"Day Shift","Night Shift")</f>
        <v/>
      </c>
      <c r="F3086" s="6">
        <f>INT(B3086)</f>
        <v/>
      </c>
      <c r="G3086" s="6">
        <f>INT(C3086)</f>
        <v/>
      </c>
    </row>
    <row r="3087">
      <c r="A3087" s="7" t="inlineStr">
        <is>
          <t>EDD1932</t>
        </is>
      </c>
      <c r="B3087" s="8" t="n">
        <v>46084.75</v>
      </c>
      <c r="C3087" s="8" t="n">
        <v>46084.7925462963</v>
      </c>
      <c r="D3087" s="9">
        <f>(C3087-B3087)*24</f>
        <v/>
      </c>
      <c r="E3087" s="10">
        <f>IF(AND(HOUR(B3087)&gt;=6,HOUR(B3087)&lt;18),"Day Shift","Night Shift")</f>
        <v/>
      </c>
      <c r="F3087" s="11">
        <f>INT(B3087)</f>
        <v/>
      </c>
      <c r="G3087" s="11">
        <f>INT(C3087)</f>
        <v/>
      </c>
    </row>
    <row r="3088">
      <c r="A3088" s="2" t="inlineStr">
        <is>
          <t>EDD175;EDD2134</t>
        </is>
      </c>
      <c r="B3088" s="3" t="n">
        <v>46084.27736111111</v>
      </c>
      <c r="C3088" s="3" t="n">
        <v>46084.64784722222</v>
      </c>
      <c r="D3088" s="4">
        <f>(C3088-B3088)*24</f>
        <v/>
      </c>
      <c r="E3088" s="5">
        <f>IF(AND(HOUR(B3088)&gt;=6,HOUR(B3088)&lt;18),"Day Shift","Night Shift")</f>
        <v/>
      </c>
      <c r="F3088" s="6">
        <f>INT(B3088)</f>
        <v/>
      </c>
      <c r="G3088" s="6">
        <f>INT(C3088)</f>
        <v/>
      </c>
    </row>
    <row r="3089">
      <c r="A3089" s="2" t="inlineStr">
        <is>
          <t>EXD407</t>
        </is>
      </c>
      <c r="B3089" s="3" t="n">
        <v>46084.29668981482</v>
      </c>
      <c r="C3089" s="3" t="n">
        <v>46084.75</v>
      </c>
      <c r="D3089" s="4">
        <f>(C3089-B3089)*24</f>
        <v/>
      </c>
      <c r="E3089" s="5">
        <f>IF(AND(HOUR(B3089)&gt;=6,HOUR(B3089)&lt;18),"Day Shift","Night Shift")</f>
        <v/>
      </c>
      <c r="F3089" s="6">
        <f>INT(B3089)</f>
        <v/>
      </c>
      <c r="G3089" s="6">
        <f>INT(C3089)</f>
        <v/>
      </c>
    </row>
    <row r="3090">
      <c r="A3090" s="7" t="inlineStr">
        <is>
          <t>EXD407</t>
        </is>
      </c>
      <c r="B3090" s="8" t="n">
        <v>46084.75</v>
      </c>
      <c r="C3090" s="8" t="n">
        <v>46085.25</v>
      </c>
      <c r="D3090" s="9">
        <f>(C3090-B3090)*24</f>
        <v/>
      </c>
      <c r="E3090" s="10">
        <f>IF(AND(HOUR(B3090)&gt;=6,HOUR(B3090)&lt;18),"Day Shift","Night Shift")</f>
        <v/>
      </c>
      <c r="F3090" s="11">
        <f>INT(B3090)</f>
        <v/>
      </c>
      <c r="G3090" s="11">
        <f>INT(C3090)</f>
        <v/>
      </c>
    </row>
    <row r="3091">
      <c r="A3091" s="2" t="inlineStr">
        <is>
          <t>EXD407</t>
        </is>
      </c>
      <c r="B3091" s="3" t="n">
        <v>46085.25</v>
      </c>
      <c r="C3091" s="3" t="n">
        <v>46085.39958333333</v>
      </c>
      <c r="D3091" s="4">
        <f>(C3091-B3091)*24</f>
        <v/>
      </c>
      <c r="E3091" s="5">
        <f>IF(AND(HOUR(B3091)&gt;=6,HOUR(B3091)&lt;18),"Day Shift","Night Shift")</f>
        <v/>
      </c>
      <c r="F3091" s="6">
        <f>INT(B3091)</f>
        <v/>
      </c>
      <c r="G3091" s="6">
        <f>INT(C3091)</f>
        <v/>
      </c>
    </row>
    <row r="3092">
      <c r="A3092" s="2" t="inlineStr">
        <is>
          <t>EDD2541;Sprint 1</t>
        </is>
      </c>
      <c r="B3092" s="3" t="n">
        <v>46084.31732638889</v>
      </c>
      <c r="C3092" s="3" t="n">
        <v>46084.52724537037</v>
      </c>
      <c r="D3092" s="4">
        <f>(C3092-B3092)*24</f>
        <v/>
      </c>
      <c r="E3092" s="5">
        <f>IF(AND(HOUR(B3092)&gt;=6,HOUR(B3092)&lt;18),"Day Shift","Night Shift")</f>
        <v/>
      </c>
      <c r="F3092" s="6">
        <f>INT(B3092)</f>
        <v/>
      </c>
      <c r="G3092" s="6">
        <f>INT(C3092)</f>
        <v/>
      </c>
    </row>
    <row r="3093">
      <c r="A3093" s="2" t="inlineStr">
        <is>
          <t>EXD60</t>
        </is>
      </c>
      <c r="B3093" s="3" t="n">
        <v>46084.35193287037</v>
      </c>
      <c r="C3093" s="3" t="n">
        <v>46084.75</v>
      </c>
      <c r="D3093" s="4">
        <f>(C3093-B3093)*24</f>
        <v/>
      </c>
      <c r="E3093" s="5">
        <f>IF(AND(HOUR(B3093)&gt;=6,HOUR(B3093)&lt;18),"Day Shift","Night Shift")</f>
        <v/>
      </c>
      <c r="F3093" s="6">
        <f>INT(B3093)</f>
        <v/>
      </c>
      <c r="G3093" s="6">
        <f>INT(C3093)</f>
        <v/>
      </c>
    </row>
    <row r="3094">
      <c r="A3094" s="7" t="inlineStr">
        <is>
          <t>EXD60</t>
        </is>
      </c>
      <c r="B3094" s="8" t="n">
        <v>46084.75</v>
      </c>
      <c r="C3094" s="8" t="n">
        <v>46085.25</v>
      </c>
      <c r="D3094" s="9">
        <f>(C3094-B3094)*24</f>
        <v/>
      </c>
      <c r="E3094" s="10">
        <f>IF(AND(HOUR(B3094)&gt;=6,HOUR(B3094)&lt;18),"Day Shift","Night Shift")</f>
        <v/>
      </c>
      <c r="F3094" s="11">
        <f>INT(B3094)</f>
        <v/>
      </c>
      <c r="G3094" s="11">
        <f>INT(C3094)</f>
        <v/>
      </c>
    </row>
    <row r="3095">
      <c r="A3095" s="2" t="inlineStr">
        <is>
          <t>EXD60</t>
        </is>
      </c>
      <c r="B3095" s="3" t="n">
        <v>46085.25</v>
      </c>
      <c r="C3095" s="3" t="n">
        <v>46085.75</v>
      </c>
      <c r="D3095" s="4">
        <f>(C3095-B3095)*24</f>
        <v/>
      </c>
      <c r="E3095" s="5">
        <f>IF(AND(HOUR(B3095)&gt;=6,HOUR(B3095)&lt;18),"Day Shift","Night Shift")</f>
        <v/>
      </c>
      <c r="F3095" s="6">
        <f>INT(B3095)</f>
        <v/>
      </c>
      <c r="G3095" s="6">
        <f>INT(C3095)</f>
        <v/>
      </c>
    </row>
    <row r="3096">
      <c r="A3096" s="7" t="inlineStr">
        <is>
          <t>EXD60</t>
        </is>
      </c>
      <c r="B3096" s="8" t="n">
        <v>46085.75</v>
      </c>
      <c r="C3096" s="8" t="n">
        <v>46086.25</v>
      </c>
      <c r="D3096" s="9">
        <f>(C3096-B3096)*24</f>
        <v/>
      </c>
      <c r="E3096" s="10">
        <f>IF(AND(HOUR(B3096)&gt;=6,HOUR(B3096)&lt;18),"Day Shift","Night Shift")</f>
        <v/>
      </c>
      <c r="F3096" s="11">
        <f>INT(B3096)</f>
        <v/>
      </c>
      <c r="G3096" s="11">
        <f>INT(C3096)</f>
        <v/>
      </c>
    </row>
    <row r="3097">
      <c r="A3097" s="2" t="inlineStr">
        <is>
          <t>EXD60</t>
        </is>
      </c>
      <c r="B3097" s="3" t="n">
        <v>46086.25</v>
      </c>
      <c r="C3097" s="3" t="n">
        <v>46086.4094675926</v>
      </c>
      <c r="D3097" s="4">
        <f>(C3097-B3097)*24</f>
        <v/>
      </c>
      <c r="E3097" s="5">
        <f>IF(AND(HOUR(B3097)&gt;=6,HOUR(B3097)&lt;18),"Day Shift","Night Shift")</f>
        <v/>
      </c>
      <c r="F3097" s="6">
        <f>INT(B3097)</f>
        <v/>
      </c>
      <c r="G3097" s="6">
        <f>INT(C3097)</f>
        <v/>
      </c>
    </row>
    <row r="3098">
      <c r="A3098" s="2" t="inlineStr">
        <is>
          <t>EXD73</t>
        </is>
      </c>
      <c r="B3098" s="3" t="n">
        <v>46084.38460648148</v>
      </c>
      <c r="C3098" s="3" t="n">
        <v>46084.75</v>
      </c>
      <c r="D3098" s="4">
        <f>(C3098-B3098)*24</f>
        <v/>
      </c>
      <c r="E3098" s="5">
        <f>IF(AND(HOUR(B3098)&gt;=6,HOUR(B3098)&lt;18),"Day Shift","Night Shift")</f>
        <v/>
      </c>
      <c r="F3098" s="6">
        <f>INT(B3098)</f>
        <v/>
      </c>
      <c r="G3098" s="6">
        <f>INT(C3098)</f>
        <v/>
      </c>
    </row>
    <row r="3099">
      <c r="A3099" s="7" t="inlineStr">
        <is>
          <t>EXD73</t>
        </is>
      </c>
      <c r="B3099" s="8" t="n">
        <v>46084.75</v>
      </c>
      <c r="C3099" s="8" t="n">
        <v>46085.25</v>
      </c>
      <c r="D3099" s="9">
        <f>(C3099-B3099)*24</f>
        <v/>
      </c>
      <c r="E3099" s="10">
        <f>IF(AND(HOUR(B3099)&gt;=6,HOUR(B3099)&lt;18),"Day Shift","Night Shift")</f>
        <v/>
      </c>
      <c r="F3099" s="11">
        <f>INT(B3099)</f>
        <v/>
      </c>
      <c r="G3099" s="11">
        <f>INT(C3099)</f>
        <v/>
      </c>
    </row>
    <row r="3100">
      <c r="A3100" s="2" t="inlineStr">
        <is>
          <t>EXD73</t>
        </is>
      </c>
      <c r="B3100" s="3" t="n">
        <v>46085.25</v>
      </c>
      <c r="C3100" s="3" t="n">
        <v>46085.35931712963</v>
      </c>
      <c r="D3100" s="4">
        <f>(C3100-B3100)*24</f>
        <v/>
      </c>
      <c r="E3100" s="5">
        <f>IF(AND(HOUR(B3100)&gt;=6,HOUR(B3100)&lt;18),"Day Shift","Night Shift")</f>
        <v/>
      </c>
      <c r="F3100" s="6">
        <f>INT(B3100)</f>
        <v/>
      </c>
      <c r="G3100" s="6">
        <f>INT(C3100)</f>
        <v/>
      </c>
    </row>
    <row r="3101">
      <c r="A3101" s="2" t="inlineStr">
        <is>
          <t>Blast Crew</t>
        </is>
      </c>
      <c r="B3101" s="3" t="n">
        <v>46084.43635416667</v>
      </c>
      <c r="C3101" s="3" t="n">
        <v>46084.75</v>
      </c>
      <c r="D3101" s="4">
        <f>(C3101-B3101)*24</f>
        <v/>
      </c>
      <c r="E3101" s="5">
        <f>IF(AND(HOUR(B3101)&gt;=6,HOUR(B3101)&lt;18),"Day Shift","Night Shift")</f>
        <v/>
      </c>
      <c r="F3101" s="6">
        <f>INT(B3101)</f>
        <v/>
      </c>
      <c r="G3101" s="6">
        <f>INT(C3101)</f>
        <v/>
      </c>
    </row>
    <row r="3102">
      <c r="A3102" s="7" t="inlineStr">
        <is>
          <t>Blast Crew</t>
        </is>
      </c>
      <c r="B3102" s="8" t="n">
        <v>46084.75</v>
      </c>
      <c r="C3102" s="8" t="n">
        <v>46084.95256944445</v>
      </c>
      <c r="D3102" s="9">
        <f>(C3102-B3102)*24</f>
        <v/>
      </c>
      <c r="E3102" s="10">
        <f>IF(AND(HOUR(B3102)&gt;=6,HOUR(B3102)&lt;18),"Day Shift","Night Shift")</f>
        <v/>
      </c>
      <c r="F3102" s="11">
        <f>INT(B3102)</f>
        <v/>
      </c>
      <c r="G3102" s="11">
        <f>INT(C3102)</f>
        <v/>
      </c>
    </row>
    <row r="3103">
      <c r="A3103" s="2" t="inlineStr">
        <is>
          <t>EDD2541;Sprint 1</t>
        </is>
      </c>
      <c r="B3103" s="3" t="n">
        <v>46084.52724537037</v>
      </c>
      <c r="C3103" s="3" t="n">
        <v>46084.75</v>
      </c>
      <c r="D3103" s="4">
        <f>(C3103-B3103)*24</f>
        <v/>
      </c>
      <c r="E3103" s="5">
        <f>IF(AND(HOUR(B3103)&gt;=6,HOUR(B3103)&lt;18),"Day Shift","Night Shift")</f>
        <v/>
      </c>
      <c r="F3103" s="6">
        <f>INT(B3103)</f>
        <v/>
      </c>
      <c r="G3103" s="6">
        <f>INT(C3103)</f>
        <v/>
      </c>
    </row>
    <row r="3104">
      <c r="A3104" s="7" t="inlineStr">
        <is>
          <t>EDD2541;Sprint 1</t>
        </is>
      </c>
      <c r="B3104" s="8" t="n">
        <v>46084.75</v>
      </c>
      <c r="C3104" s="8" t="n">
        <v>46084.75335648148</v>
      </c>
      <c r="D3104" s="9">
        <f>(C3104-B3104)*24</f>
        <v/>
      </c>
      <c r="E3104" s="10">
        <f>IF(AND(HOUR(B3104)&gt;=6,HOUR(B3104)&lt;18),"Day Shift","Night Shift")</f>
        <v/>
      </c>
      <c r="F3104" s="11">
        <f>INT(B3104)</f>
        <v/>
      </c>
      <c r="G3104" s="11">
        <f>INT(C3104)</f>
        <v/>
      </c>
    </row>
    <row r="3105">
      <c r="A3105" s="2" t="inlineStr">
        <is>
          <t>EDD812</t>
        </is>
      </c>
      <c r="B3105" s="3" t="n">
        <v>46084.52998842593</v>
      </c>
      <c r="C3105" s="3" t="n">
        <v>46084.75</v>
      </c>
      <c r="D3105" s="4">
        <f>(C3105-B3105)*24</f>
        <v/>
      </c>
      <c r="E3105" s="5">
        <f>IF(AND(HOUR(B3105)&gt;=6,HOUR(B3105)&lt;18),"Day Shift","Night Shift")</f>
        <v/>
      </c>
      <c r="F3105" s="6">
        <f>INT(B3105)</f>
        <v/>
      </c>
      <c r="G3105" s="6">
        <f>INT(C3105)</f>
        <v/>
      </c>
    </row>
    <row r="3106">
      <c r="A3106" s="7" t="inlineStr">
        <is>
          <t>EDD812</t>
        </is>
      </c>
      <c r="B3106" s="8" t="n">
        <v>46084.75</v>
      </c>
      <c r="C3106" s="8" t="n">
        <v>46085.25</v>
      </c>
      <c r="D3106" s="9">
        <f>(C3106-B3106)*24</f>
        <v/>
      </c>
      <c r="E3106" s="10">
        <f>IF(AND(HOUR(B3106)&gt;=6,HOUR(B3106)&lt;18),"Day Shift","Night Shift")</f>
        <v/>
      </c>
      <c r="F3106" s="11">
        <f>INT(B3106)</f>
        <v/>
      </c>
      <c r="G3106" s="11">
        <f>INT(C3106)</f>
        <v/>
      </c>
    </row>
    <row r="3107">
      <c r="A3107" s="2" t="inlineStr">
        <is>
          <t>EDD812</t>
        </is>
      </c>
      <c r="B3107" s="3" t="n">
        <v>46085.25</v>
      </c>
      <c r="C3107" s="3" t="n">
        <v>46085.75</v>
      </c>
      <c r="D3107" s="4">
        <f>(C3107-B3107)*24</f>
        <v/>
      </c>
      <c r="E3107" s="5">
        <f>IF(AND(HOUR(B3107)&gt;=6,HOUR(B3107)&lt;18),"Day Shift","Night Shift")</f>
        <v/>
      </c>
      <c r="F3107" s="6">
        <f>INT(B3107)</f>
        <v/>
      </c>
      <c r="G3107" s="6">
        <f>INT(C3107)</f>
        <v/>
      </c>
    </row>
    <row r="3108">
      <c r="A3108" s="7" t="inlineStr">
        <is>
          <t>EDD812</t>
        </is>
      </c>
      <c r="B3108" s="8" t="n">
        <v>46085.75</v>
      </c>
      <c r="C3108" s="8" t="n">
        <v>46085.87802083333</v>
      </c>
      <c r="D3108" s="9">
        <f>(C3108-B3108)*24</f>
        <v/>
      </c>
      <c r="E3108" s="10">
        <f>IF(AND(HOUR(B3108)&gt;=6,HOUR(B3108)&lt;18),"Day Shift","Night Shift")</f>
        <v/>
      </c>
      <c r="F3108" s="11">
        <f>INT(B3108)</f>
        <v/>
      </c>
      <c r="G3108" s="11">
        <f>INT(C3108)</f>
        <v/>
      </c>
    </row>
    <row r="3109">
      <c r="A3109" s="2" t="inlineStr">
        <is>
          <t>EXD56</t>
        </is>
      </c>
      <c r="B3109" s="3" t="n">
        <v>46084.58326388889</v>
      </c>
      <c r="C3109" s="3" t="n">
        <v>46084.75</v>
      </c>
      <c r="D3109" s="4">
        <f>(C3109-B3109)*24</f>
        <v/>
      </c>
      <c r="E3109" s="5">
        <f>IF(AND(HOUR(B3109)&gt;=6,HOUR(B3109)&lt;18),"Day Shift","Night Shift")</f>
        <v/>
      </c>
      <c r="F3109" s="6">
        <f>INT(B3109)</f>
        <v/>
      </c>
      <c r="G3109" s="6">
        <f>INT(C3109)</f>
        <v/>
      </c>
    </row>
    <row r="3110">
      <c r="A3110" s="7" t="inlineStr">
        <is>
          <t>EXD56</t>
        </is>
      </c>
      <c r="B3110" s="8" t="n">
        <v>46084.75</v>
      </c>
      <c r="C3110" s="8" t="n">
        <v>46085.16446759259</v>
      </c>
      <c r="D3110" s="9">
        <f>(C3110-B3110)*24</f>
        <v/>
      </c>
      <c r="E3110" s="10">
        <f>IF(AND(HOUR(B3110)&gt;=6,HOUR(B3110)&lt;18),"Day Shift","Night Shift")</f>
        <v/>
      </c>
      <c r="F3110" s="11">
        <f>INT(B3110)</f>
        <v/>
      </c>
      <c r="G3110" s="11">
        <f>INT(C3110)</f>
        <v/>
      </c>
    </row>
    <row r="3111">
      <c r="A3111" s="2" t="inlineStr">
        <is>
          <t>EDD175;EDD2134</t>
        </is>
      </c>
      <c r="B3111" s="3" t="n">
        <v>46084.64784722222</v>
      </c>
      <c r="C3111" s="3" t="n">
        <v>46084.75</v>
      </c>
      <c r="D3111" s="4">
        <f>(C3111-B3111)*24</f>
        <v/>
      </c>
      <c r="E3111" s="5">
        <f>IF(AND(HOUR(B3111)&gt;=6,HOUR(B3111)&lt;18),"Day Shift","Night Shift")</f>
        <v/>
      </c>
      <c r="F3111" s="6">
        <f>INT(B3111)</f>
        <v/>
      </c>
      <c r="G3111" s="6">
        <f>INT(C3111)</f>
        <v/>
      </c>
    </row>
    <row r="3112">
      <c r="A3112" s="7" t="inlineStr">
        <is>
          <t>EDD175;EDD2134</t>
        </is>
      </c>
      <c r="B3112" s="8" t="n">
        <v>46084.75</v>
      </c>
      <c r="C3112" s="8" t="n">
        <v>46085.16888888889</v>
      </c>
      <c r="D3112" s="9">
        <f>(C3112-B3112)*24</f>
        <v/>
      </c>
      <c r="E3112" s="10">
        <f>IF(AND(HOUR(B3112)&gt;=6,HOUR(B3112)&lt;18),"Day Shift","Night Shift")</f>
        <v/>
      </c>
      <c r="F3112" s="11">
        <f>INT(B3112)</f>
        <v/>
      </c>
      <c r="G3112" s="11">
        <f>INT(C3112)</f>
        <v/>
      </c>
    </row>
    <row r="3113">
      <c r="A3113" s="7" t="inlineStr">
        <is>
          <t>EDD2541;Sprint 1</t>
        </is>
      </c>
      <c r="B3113" s="8" t="n">
        <v>46084.75335648148</v>
      </c>
      <c r="C3113" s="8" t="n">
        <v>46085.01296296297</v>
      </c>
      <c r="D3113" s="9">
        <f>(C3113-B3113)*24</f>
        <v/>
      </c>
      <c r="E3113" s="10">
        <f>IF(AND(HOUR(B3113)&gt;=6,HOUR(B3113)&lt;18),"Day Shift","Night Shift")</f>
        <v/>
      </c>
      <c r="F3113" s="11">
        <f>INT(B3113)</f>
        <v/>
      </c>
      <c r="G3113" s="11">
        <f>INT(C3113)</f>
        <v/>
      </c>
    </row>
    <row r="3114">
      <c r="A3114" s="7" t="inlineStr">
        <is>
          <t>EDD1932</t>
        </is>
      </c>
      <c r="B3114" s="8" t="n">
        <v>46084.7925462963</v>
      </c>
      <c r="C3114" s="8" t="n">
        <v>46085.25</v>
      </c>
      <c r="D3114" s="9">
        <f>(C3114-B3114)*24</f>
        <v/>
      </c>
      <c r="E3114" s="10">
        <f>IF(AND(HOUR(B3114)&gt;=6,HOUR(B3114)&lt;18),"Day Shift","Night Shift")</f>
        <v/>
      </c>
      <c r="F3114" s="11">
        <f>INT(B3114)</f>
        <v/>
      </c>
      <c r="G3114" s="11">
        <f>INT(C3114)</f>
        <v/>
      </c>
    </row>
    <row r="3115">
      <c r="A3115" s="2" t="inlineStr">
        <is>
          <t>EDD1932</t>
        </is>
      </c>
      <c r="B3115" s="3" t="n">
        <v>46085.25</v>
      </c>
      <c r="C3115" s="3" t="n">
        <v>46085.34826388889</v>
      </c>
      <c r="D3115" s="4">
        <f>(C3115-B3115)*24</f>
        <v/>
      </c>
      <c r="E3115" s="5">
        <f>IF(AND(HOUR(B3115)&gt;=6,HOUR(B3115)&lt;18),"Day Shift","Night Shift")</f>
        <v/>
      </c>
      <c r="F3115" s="6">
        <f>INT(B3115)</f>
        <v/>
      </c>
      <c r="G3115" s="6">
        <f>INT(C3115)</f>
        <v/>
      </c>
    </row>
    <row r="3116">
      <c r="A3116" s="7" t="inlineStr">
        <is>
          <t>EXD55</t>
        </is>
      </c>
      <c r="B3116" s="8" t="n">
        <v>46084.82796296296</v>
      </c>
      <c r="C3116" s="8" t="n">
        <v>46085.25</v>
      </c>
      <c r="D3116" s="9">
        <f>(C3116-B3116)*24</f>
        <v/>
      </c>
      <c r="E3116" s="10">
        <f>IF(AND(HOUR(B3116)&gt;=6,HOUR(B3116)&lt;18),"Day Shift","Night Shift")</f>
        <v/>
      </c>
      <c r="F3116" s="11">
        <f>INT(B3116)</f>
        <v/>
      </c>
      <c r="G3116" s="11">
        <f>INT(C3116)</f>
        <v/>
      </c>
    </row>
    <row r="3117">
      <c r="A3117" s="2" t="inlineStr">
        <is>
          <t>EXD55</t>
        </is>
      </c>
      <c r="B3117" s="3" t="n">
        <v>46085.25</v>
      </c>
      <c r="C3117" s="3" t="n">
        <v>46085.75</v>
      </c>
      <c r="D3117" s="4">
        <f>(C3117-B3117)*24</f>
        <v/>
      </c>
      <c r="E3117" s="5">
        <f>IF(AND(HOUR(B3117)&gt;=6,HOUR(B3117)&lt;18),"Day Shift","Night Shift")</f>
        <v/>
      </c>
      <c r="F3117" s="6">
        <f>INT(B3117)</f>
        <v/>
      </c>
      <c r="G3117" s="6">
        <f>INT(C3117)</f>
        <v/>
      </c>
    </row>
    <row r="3118">
      <c r="A3118" s="7" t="inlineStr">
        <is>
          <t>EXD55</t>
        </is>
      </c>
      <c r="B3118" s="8" t="n">
        <v>46085.75</v>
      </c>
      <c r="C3118" s="8" t="n">
        <v>46085.83084490741</v>
      </c>
      <c r="D3118" s="9">
        <f>(C3118-B3118)*24</f>
        <v/>
      </c>
      <c r="E3118" s="10">
        <f>IF(AND(HOUR(B3118)&gt;=6,HOUR(B3118)&lt;18),"Day Shift","Night Shift")</f>
        <v/>
      </c>
      <c r="F3118" s="11">
        <f>INT(B3118)</f>
        <v/>
      </c>
      <c r="G3118" s="11">
        <f>INT(C3118)</f>
        <v/>
      </c>
    </row>
    <row r="3119">
      <c r="A3119" s="7" t="inlineStr">
        <is>
          <t>EXD100</t>
        </is>
      </c>
      <c r="B3119" s="8" t="n">
        <v>46084.83104166666</v>
      </c>
      <c r="C3119" s="8" t="n">
        <v>46085.25</v>
      </c>
      <c r="D3119" s="9">
        <f>(C3119-B3119)*24</f>
        <v/>
      </c>
      <c r="E3119" s="10">
        <f>IF(AND(HOUR(B3119)&gt;=6,HOUR(B3119)&lt;18),"Day Shift","Night Shift")</f>
        <v/>
      </c>
      <c r="F3119" s="11">
        <f>INT(B3119)</f>
        <v/>
      </c>
      <c r="G3119" s="11">
        <f>INT(C3119)</f>
        <v/>
      </c>
    </row>
    <row r="3120">
      <c r="A3120" s="2" t="inlineStr">
        <is>
          <t>EXD100</t>
        </is>
      </c>
      <c r="B3120" s="3" t="n">
        <v>46085.25</v>
      </c>
      <c r="C3120" s="3" t="n">
        <v>46085.45184027778</v>
      </c>
      <c r="D3120" s="4">
        <f>(C3120-B3120)*24</f>
        <v/>
      </c>
      <c r="E3120" s="5">
        <f>IF(AND(HOUR(B3120)&gt;=6,HOUR(B3120)&lt;18),"Day Shift","Night Shift")</f>
        <v/>
      </c>
      <c r="F3120" s="6">
        <f>INT(B3120)</f>
        <v/>
      </c>
      <c r="G3120" s="6">
        <f>INT(C3120)</f>
        <v/>
      </c>
    </row>
    <row r="3121">
      <c r="A3121" s="7" t="inlineStr">
        <is>
          <t>EXD52</t>
        </is>
      </c>
      <c r="B3121" s="8" t="n">
        <v>46084.84875</v>
      </c>
      <c r="C3121" s="8" t="n">
        <v>46085.08084490741</v>
      </c>
      <c r="D3121" s="9">
        <f>(C3121-B3121)*24</f>
        <v/>
      </c>
      <c r="E3121" s="10">
        <f>IF(AND(HOUR(B3121)&gt;=6,HOUR(B3121)&lt;18),"Day Shift","Night Shift")</f>
        <v/>
      </c>
      <c r="F3121" s="11">
        <f>INT(B3121)</f>
        <v/>
      </c>
      <c r="G3121" s="11">
        <f>INT(C3121)</f>
        <v/>
      </c>
    </row>
    <row r="3122">
      <c r="A3122" s="7" t="inlineStr">
        <is>
          <t>SHE36</t>
        </is>
      </c>
      <c r="B3122" s="8" t="n">
        <v>46084.93449074074</v>
      </c>
      <c r="C3122" s="8" t="n">
        <v>46085.25</v>
      </c>
      <c r="D3122" s="9">
        <f>(C3122-B3122)*24</f>
        <v/>
      </c>
      <c r="E3122" s="10">
        <f>IF(AND(HOUR(B3122)&gt;=6,HOUR(B3122)&lt;18),"Day Shift","Night Shift")</f>
        <v/>
      </c>
      <c r="F3122" s="11">
        <f>INT(B3122)</f>
        <v/>
      </c>
      <c r="G3122" s="11">
        <f>INT(C3122)</f>
        <v/>
      </c>
    </row>
    <row r="3123">
      <c r="A3123" s="2" t="inlineStr">
        <is>
          <t>SHE36</t>
        </is>
      </c>
      <c r="B3123" s="3" t="n">
        <v>46085.25</v>
      </c>
      <c r="C3123" s="3" t="n">
        <v>46085.75</v>
      </c>
      <c r="D3123" s="4">
        <f>(C3123-B3123)*24</f>
        <v/>
      </c>
      <c r="E3123" s="5">
        <f>IF(AND(HOUR(B3123)&gt;=6,HOUR(B3123)&lt;18),"Day Shift","Night Shift")</f>
        <v/>
      </c>
      <c r="F3123" s="6">
        <f>INT(B3123)</f>
        <v/>
      </c>
      <c r="G3123" s="6">
        <f>INT(C3123)</f>
        <v/>
      </c>
    </row>
    <row r="3124">
      <c r="A3124" s="7" t="inlineStr">
        <is>
          <t>SHE36</t>
        </is>
      </c>
      <c r="B3124" s="8" t="n">
        <v>46085.75</v>
      </c>
      <c r="C3124" s="8" t="n">
        <v>46085.94840277778</v>
      </c>
      <c r="D3124" s="9">
        <f>(C3124-B3124)*24</f>
        <v/>
      </c>
      <c r="E3124" s="10">
        <f>IF(AND(HOUR(B3124)&gt;=6,HOUR(B3124)&lt;18),"Day Shift","Night Shift")</f>
        <v/>
      </c>
      <c r="F3124" s="11">
        <f>INT(B3124)</f>
        <v/>
      </c>
      <c r="G3124" s="11">
        <f>INT(C3124)</f>
        <v/>
      </c>
    </row>
    <row r="3125">
      <c r="A3125" s="7" t="inlineStr">
        <is>
          <t>Blast Crew</t>
        </is>
      </c>
      <c r="B3125" s="8" t="n">
        <v>46084.95256944445</v>
      </c>
      <c r="C3125" s="8" t="n">
        <v>46085.25</v>
      </c>
      <c r="D3125" s="9">
        <f>(C3125-B3125)*24</f>
        <v/>
      </c>
      <c r="E3125" s="10">
        <f>IF(AND(HOUR(B3125)&gt;=6,HOUR(B3125)&lt;18),"Day Shift","Night Shift")</f>
        <v/>
      </c>
      <c r="F3125" s="11">
        <f>INT(B3125)</f>
        <v/>
      </c>
      <c r="G3125" s="11">
        <f>INT(C3125)</f>
        <v/>
      </c>
    </row>
    <row r="3126">
      <c r="A3126" s="2" t="inlineStr">
        <is>
          <t>Blast Crew</t>
        </is>
      </c>
      <c r="B3126" s="3" t="n">
        <v>46085.25</v>
      </c>
      <c r="C3126" s="3" t="n">
        <v>46085.42527777778</v>
      </c>
      <c r="D3126" s="4">
        <f>(C3126-B3126)*24</f>
        <v/>
      </c>
      <c r="E3126" s="5">
        <f>IF(AND(HOUR(B3126)&gt;=6,HOUR(B3126)&lt;18),"Day Shift","Night Shift")</f>
        <v/>
      </c>
      <c r="F3126" s="6">
        <f>INT(B3126)</f>
        <v/>
      </c>
      <c r="G3126" s="6">
        <f>INT(C3126)</f>
        <v/>
      </c>
    </row>
    <row r="3127">
      <c r="A3127" s="7" t="inlineStr">
        <is>
          <t>EXD409</t>
        </is>
      </c>
      <c r="B3127" s="8" t="n">
        <v>46084.97375</v>
      </c>
      <c r="C3127" s="8" t="n">
        <v>46085.25</v>
      </c>
      <c r="D3127" s="9">
        <f>(C3127-B3127)*24</f>
        <v/>
      </c>
      <c r="E3127" s="10">
        <f>IF(AND(HOUR(B3127)&gt;=6,HOUR(B3127)&lt;18),"Day Shift","Night Shift")</f>
        <v/>
      </c>
      <c r="F3127" s="11">
        <f>INT(B3127)</f>
        <v/>
      </c>
      <c r="G3127" s="11">
        <f>INT(C3127)</f>
        <v/>
      </c>
    </row>
    <row r="3128">
      <c r="A3128" s="2" t="inlineStr">
        <is>
          <t>EXD409</t>
        </is>
      </c>
      <c r="B3128" s="3" t="n">
        <v>46085.25</v>
      </c>
      <c r="C3128" s="3" t="n">
        <v>46085.75</v>
      </c>
      <c r="D3128" s="4">
        <f>(C3128-B3128)*24</f>
        <v/>
      </c>
      <c r="E3128" s="5">
        <f>IF(AND(HOUR(B3128)&gt;=6,HOUR(B3128)&lt;18),"Day Shift","Night Shift")</f>
        <v/>
      </c>
      <c r="F3128" s="6">
        <f>INT(B3128)</f>
        <v/>
      </c>
      <c r="G3128" s="6">
        <f>INT(C3128)</f>
        <v/>
      </c>
    </row>
    <row r="3129">
      <c r="A3129" s="7" t="inlineStr">
        <is>
          <t>EXD409</t>
        </is>
      </c>
      <c r="B3129" s="8" t="n">
        <v>46085.75</v>
      </c>
      <c r="C3129" s="8" t="n">
        <v>46085.75850694445</v>
      </c>
      <c r="D3129" s="9">
        <f>(C3129-B3129)*24</f>
        <v/>
      </c>
      <c r="E3129" s="10">
        <f>IF(AND(HOUR(B3129)&gt;=6,HOUR(B3129)&lt;18),"Day Shift","Night Shift")</f>
        <v/>
      </c>
      <c r="F3129" s="11">
        <f>INT(B3129)</f>
        <v/>
      </c>
      <c r="G3129" s="11">
        <f>INT(C3129)</f>
        <v/>
      </c>
    </row>
    <row r="3130">
      <c r="A3130" s="7" t="inlineStr">
        <is>
          <t>EDD2541;Sprint 1</t>
        </is>
      </c>
      <c r="B3130" s="8" t="n">
        <v>46085.01296296297</v>
      </c>
      <c r="C3130" s="8" t="n">
        <v>46085.25</v>
      </c>
      <c r="D3130" s="9">
        <f>(C3130-B3130)*24</f>
        <v/>
      </c>
      <c r="E3130" s="10">
        <f>IF(AND(HOUR(B3130)&gt;=6,HOUR(B3130)&lt;18),"Day Shift","Night Shift")</f>
        <v/>
      </c>
      <c r="F3130" s="11">
        <f>INT(B3130)</f>
        <v/>
      </c>
      <c r="G3130" s="11">
        <f>INT(C3130)</f>
        <v/>
      </c>
    </row>
    <row r="3131">
      <c r="A3131" s="2" t="inlineStr">
        <is>
          <t>EDD2541;Sprint 1</t>
        </is>
      </c>
      <c r="B3131" s="3" t="n">
        <v>46085.25</v>
      </c>
      <c r="C3131" s="3" t="n">
        <v>46085.28146990741</v>
      </c>
      <c r="D3131" s="4">
        <f>(C3131-B3131)*24</f>
        <v/>
      </c>
      <c r="E3131" s="5">
        <f>IF(AND(HOUR(B3131)&gt;=6,HOUR(B3131)&lt;18),"Day Shift","Night Shift")</f>
        <v/>
      </c>
      <c r="F3131" s="6">
        <f>INT(B3131)</f>
        <v/>
      </c>
      <c r="G3131" s="6">
        <f>INT(C3131)</f>
        <v/>
      </c>
    </row>
    <row r="3132">
      <c r="A3132" s="7" t="inlineStr">
        <is>
          <t>EXD52</t>
        </is>
      </c>
      <c r="B3132" s="8" t="n">
        <v>46085.08084490741</v>
      </c>
      <c r="C3132" s="8" t="n">
        <v>46085.25</v>
      </c>
      <c r="D3132" s="9">
        <f>(C3132-B3132)*24</f>
        <v/>
      </c>
      <c r="E3132" s="10">
        <f>IF(AND(HOUR(B3132)&gt;=6,HOUR(B3132)&lt;18),"Day Shift","Night Shift")</f>
        <v/>
      </c>
      <c r="F3132" s="11">
        <f>INT(B3132)</f>
        <v/>
      </c>
      <c r="G3132" s="11">
        <f>INT(C3132)</f>
        <v/>
      </c>
    </row>
    <row r="3133">
      <c r="A3133" s="2" t="inlineStr">
        <is>
          <t>EXD52</t>
        </is>
      </c>
      <c r="B3133" s="3" t="n">
        <v>46085.25</v>
      </c>
      <c r="C3133" s="3" t="n">
        <v>46085.75</v>
      </c>
      <c r="D3133" s="4">
        <f>(C3133-B3133)*24</f>
        <v/>
      </c>
      <c r="E3133" s="5">
        <f>IF(AND(HOUR(B3133)&gt;=6,HOUR(B3133)&lt;18),"Day Shift","Night Shift")</f>
        <v/>
      </c>
      <c r="F3133" s="6">
        <f>INT(B3133)</f>
        <v/>
      </c>
      <c r="G3133" s="6">
        <f>INT(C3133)</f>
        <v/>
      </c>
    </row>
    <row r="3134">
      <c r="A3134" s="7" t="inlineStr">
        <is>
          <t>EXD52</t>
        </is>
      </c>
      <c r="B3134" s="8" t="n">
        <v>46085.75</v>
      </c>
      <c r="C3134" s="8" t="n">
        <v>46086.25</v>
      </c>
      <c r="D3134" s="9">
        <f>(C3134-B3134)*24</f>
        <v/>
      </c>
      <c r="E3134" s="10">
        <f>IF(AND(HOUR(B3134)&gt;=6,HOUR(B3134)&lt;18),"Day Shift","Night Shift")</f>
        <v/>
      </c>
      <c r="F3134" s="11">
        <f>INT(B3134)</f>
        <v/>
      </c>
      <c r="G3134" s="11">
        <f>INT(C3134)</f>
        <v/>
      </c>
    </row>
    <row r="3135">
      <c r="A3135" s="2" t="inlineStr">
        <is>
          <t>EXD52</t>
        </is>
      </c>
      <c r="B3135" s="3" t="n">
        <v>46086.25</v>
      </c>
      <c r="C3135" s="3" t="n">
        <v>46086.2859837963</v>
      </c>
      <c r="D3135" s="4">
        <f>(C3135-B3135)*24</f>
        <v/>
      </c>
      <c r="E3135" s="5">
        <f>IF(AND(HOUR(B3135)&gt;=6,HOUR(B3135)&lt;18),"Day Shift","Night Shift")</f>
        <v/>
      </c>
      <c r="F3135" s="6">
        <f>INT(B3135)</f>
        <v/>
      </c>
      <c r="G3135" s="6">
        <f>INT(C3135)</f>
        <v/>
      </c>
    </row>
    <row r="3136">
      <c r="A3136" s="7" t="inlineStr">
        <is>
          <t>EXD101</t>
        </is>
      </c>
      <c r="B3136" s="8" t="n">
        <v>46085.09082175926</v>
      </c>
      <c r="C3136" s="8" t="n">
        <v>46085.25</v>
      </c>
      <c r="D3136" s="9">
        <f>(C3136-B3136)*24</f>
        <v/>
      </c>
      <c r="E3136" s="10">
        <f>IF(AND(HOUR(B3136)&gt;=6,HOUR(B3136)&lt;18),"Day Shift","Night Shift")</f>
        <v/>
      </c>
      <c r="F3136" s="11">
        <f>INT(B3136)</f>
        <v/>
      </c>
      <c r="G3136" s="11">
        <f>INT(C3136)</f>
        <v/>
      </c>
    </row>
    <row r="3137">
      <c r="A3137" s="2" t="inlineStr">
        <is>
          <t>EXD101</t>
        </is>
      </c>
      <c r="B3137" s="3" t="n">
        <v>46085.25</v>
      </c>
      <c r="C3137" s="3" t="n">
        <v>46085.58891203703</v>
      </c>
      <c r="D3137" s="4">
        <f>(C3137-B3137)*24</f>
        <v/>
      </c>
      <c r="E3137" s="5">
        <f>IF(AND(HOUR(B3137)&gt;=6,HOUR(B3137)&lt;18),"Day Shift","Night Shift")</f>
        <v/>
      </c>
      <c r="F3137" s="6">
        <f>INT(B3137)</f>
        <v/>
      </c>
      <c r="G3137" s="6">
        <f>INT(C3137)</f>
        <v/>
      </c>
    </row>
    <row r="3138">
      <c r="A3138" s="7" t="inlineStr">
        <is>
          <t>EXD408</t>
        </is>
      </c>
      <c r="B3138" s="8" t="n">
        <v>46085.12621527778</v>
      </c>
      <c r="C3138" s="8" t="n">
        <v>46085.25</v>
      </c>
      <c r="D3138" s="9">
        <f>(C3138-B3138)*24</f>
        <v/>
      </c>
      <c r="E3138" s="10">
        <f>IF(AND(HOUR(B3138)&gt;=6,HOUR(B3138)&lt;18),"Day Shift","Night Shift")</f>
        <v/>
      </c>
      <c r="F3138" s="11">
        <f>INT(B3138)</f>
        <v/>
      </c>
      <c r="G3138" s="11">
        <f>INT(C3138)</f>
        <v/>
      </c>
    </row>
    <row r="3139">
      <c r="A3139" s="2" t="inlineStr">
        <is>
          <t>EXD408</t>
        </is>
      </c>
      <c r="B3139" s="3" t="n">
        <v>46085.25</v>
      </c>
      <c r="C3139" s="3" t="n">
        <v>46085.75</v>
      </c>
      <c r="D3139" s="4">
        <f>(C3139-B3139)*24</f>
        <v/>
      </c>
      <c r="E3139" s="5">
        <f>IF(AND(HOUR(B3139)&gt;=6,HOUR(B3139)&lt;18),"Day Shift","Night Shift")</f>
        <v/>
      </c>
      <c r="F3139" s="6">
        <f>INT(B3139)</f>
        <v/>
      </c>
      <c r="G3139" s="6">
        <f>INT(C3139)</f>
        <v/>
      </c>
    </row>
    <row r="3140">
      <c r="A3140" s="7" t="inlineStr">
        <is>
          <t>EXD408</t>
        </is>
      </c>
      <c r="B3140" s="8" t="n">
        <v>46085.75</v>
      </c>
      <c r="C3140" s="8" t="n">
        <v>46086.25</v>
      </c>
      <c r="D3140" s="9">
        <f>(C3140-B3140)*24</f>
        <v/>
      </c>
      <c r="E3140" s="10">
        <f>IF(AND(HOUR(B3140)&gt;=6,HOUR(B3140)&lt;18),"Day Shift","Night Shift")</f>
        <v/>
      </c>
      <c r="F3140" s="11">
        <f>INT(B3140)</f>
        <v/>
      </c>
      <c r="G3140" s="11">
        <f>INT(C3140)</f>
        <v/>
      </c>
    </row>
    <row r="3141">
      <c r="A3141" s="2" t="inlineStr">
        <is>
          <t>EXD408</t>
        </is>
      </c>
      <c r="B3141" s="3" t="n">
        <v>46086.25</v>
      </c>
      <c r="C3141" s="3" t="n">
        <v>46086.52645833333</v>
      </c>
      <c r="D3141" s="4">
        <f>(C3141-B3141)*24</f>
        <v/>
      </c>
      <c r="E3141" s="5">
        <f>IF(AND(HOUR(B3141)&gt;=6,HOUR(B3141)&lt;18),"Day Shift","Night Shift")</f>
        <v/>
      </c>
      <c r="F3141" s="6">
        <f>INT(B3141)</f>
        <v/>
      </c>
      <c r="G3141" s="6">
        <f>INT(C3141)</f>
        <v/>
      </c>
    </row>
    <row r="3142">
      <c r="A3142" s="7" t="inlineStr">
        <is>
          <t>EXD56</t>
        </is>
      </c>
      <c r="B3142" s="8" t="n">
        <v>46085.16446759259</v>
      </c>
      <c r="C3142" s="8" t="n">
        <v>46085.25</v>
      </c>
      <c r="D3142" s="9">
        <f>(C3142-B3142)*24</f>
        <v/>
      </c>
      <c r="E3142" s="10">
        <f>IF(AND(HOUR(B3142)&gt;=6,HOUR(B3142)&lt;18),"Day Shift","Night Shift")</f>
        <v/>
      </c>
      <c r="F3142" s="11">
        <f>INT(B3142)</f>
        <v/>
      </c>
      <c r="G3142" s="11">
        <f>INT(C3142)</f>
        <v/>
      </c>
    </row>
    <row r="3143">
      <c r="A3143" s="2" t="inlineStr">
        <is>
          <t>EXD56</t>
        </is>
      </c>
      <c r="B3143" s="3" t="n">
        <v>46085.25</v>
      </c>
      <c r="C3143" s="3" t="n">
        <v>46085.33668981482</v>
      </c>
      <c r="D3143" s="4">
        <f>(C3143-B3143)*24</f>
        <v/>
      </c>
      <c r="E3143" s="5">
        <f>IF(AND(HOUR(B3143)&gt;=6,HOUR(B3143)&lt;18),"Day Shift","Night Shift")</f>
        <v/>
      </c>
      <c r="F3143" s="6">
        <f>INT(B3143)</f>
        <v/>
      </c>
      <c r="G3143" s="6">
        <f>INT(C3143)</f>
        <v/>
      </c>
    </row>
    <row r="3144">
      <c r="A3144" s="7" t="inlineStr">
        <is>
          <t>EDD175;EDD2134</t>
        </is>
      </c>
      <c r="B3144" s="8" t="n">
        <v>46085.16888888889</v>
      </c>
      <c r="C3144" s="8" t="n">
        <v>46085.25</v>
      </c>
      <c r="D3144" s="9">
        <f>(C3144-B3144)*24</f>
        <v/>
      </c>
      <c r="E3144" s="10">
        <f>IF(AND(HOUR(B3144)&gt;=6,HOUR(B3144)&lt;18),"Day Shift","Night Shift")</f>
        <v/>
      </c>
      <c r="F3144" s="11">
        <f>INT(B3144)</f>
        <v/>
      </c>
      <c r="G3144" s="11">
        <f>INT(C3144)</f>
        <v/>
      </c>
    </row>
    <row r="3145">
      <c r="A3145" s="2" t="inlineStr">
        <is>
          <t>EDD175;EDD2134</t>
        </is>
      </c>
      <c r="B3145" s="3" t="n">
        <v>46085.25</v>
      </c>
      <c r="C3145" s="3" t="n">
        <v>46085.75</v>
      </c>
      <c r="D3145" s="4">
        <f>(C3145-B3145)*24</f>
        <v/>
      </c>
      <c r="E3145" s="5">
        <f>IF(AND(HOUR(B3145)&gt;=6,HOUR(B3145)&lt;18),"Day Shift","Night Shift")</f>
        <v/>
      </c>
      <c r="F3145" s="6">
        <f>INT(B3145)</f>
        <v/>
      </c>
      <c r="G3145" s="6">
        <f>INT(C3145)</f>
        <v/>
      </c>
    </row>
    <row r="3146">
      <c r="A3146" s="7" t="inlineStr">
        <is>
          <t>EDD175;EDD2134</t>
        </is>
      </c>
      <c r="B3146" s="8" t="n">
        <v>46085.75</v>
      </c>
      <c r="C3146" s="8" t="n">
        <v>46085.90081018519</v>
      </c>
      <c r="D3146" s="9">
        <f>(C3146-B3146)*24</f>
        <v/>
      </c>
      <c r="E3146" s="10">
        <f>IF(AND(HOUR(B3146)&gt;=6,HOUR(B3146)&lt;18),"Day Shift","Night Shift")</f>
        <v/>
      </c>
      <c r="F3146" s="11">
        <f>INT(B3146)</f>
        <v/>
      </c>
      <c r="G3146" s="11">
        <f>INT(C3146)</f>
        <v/>
      </c>
    </row>
    <row r="3147">
      <c r="A3147" s="2" t="inlineStr">
        <is>
          <t>EDD2541;Sprint 1</t>
        </is>
      </c>
      <c r="B3147" s="3" t="n">
        <v>46085.28146990741</v>
      </c>
      <c r="C3147" s="3" t="n">
        <v>46085.51452546296</v>
      </c>
      <c r="D3147" s="4">
        <f>(C3147-B3147)*24</f>
        <v/>
      </c>
      <c r="E3147" s="5">
        <f>IF(AND(HOUR(B3147)&gt;=6,HOUR(B3147)&lt;18),"Day Shift","Night Shift")</f>
        <v/>
      </c>
      <c r="F3147" s="6">
        <f>INT(B3147)</f>
        <v/>
      </c>
      <c r="G3147" s="6">
        <f>INT(C3147)</f>
        <v/>
      </c>
    </row>
    <row r="3148">
      <c r="A3148" s="2" t="inlineStr">
        <is>
          <t>DRE42</t>
        </is>
      </c>
      <c r="B3148" s="3" t="n">
        <v>46085.31353009259</v>
      </c>
      <c r="C3148" s="3" t="n">
        <v>46085.75</v>
      </c>
      <c r="D3148" s="4">
        <f>(C3148-B3148)*24</f>
        <v/>
      </c>
      <c r="E3148" s="5">
        <f>IF(AND(HOUR(B3148)&gt;=6,HOUR(B3148)&lt;18),"Day Shift","Night Shift")</f>
        <v/>
      </c>
      <c r="F3148" s="6">
        <f>INT(B3148)</f>
        <v/>
      </c>
      <c r="G3148" s="6">
        <f>INT(C3148)</f>
        <v/>
      </c>
    </row>
    <row r="3149">
      <c r="A3149" s="7" t="inlineStr">
        <is>
          <t>DRE42</t>
        </is>
      </c>
      <c r="B3149" s="8" t="n">
        <v>46085.75</v>
      </c>
      <c r="C3149" s="8" t="n">
        <v>46086.25</v>
      </c>
      <c r="D3149" s="9">
        <f>(C3149-B3149)*24</f>
        <v/>
      </c>
      <c r="E3149" s="10">
        <f>IF(AND(HOUR(B3149)&gt;=6,HOUR(B3149)&lt;18),"Day Shift","Night Shift")</f>
        <v/>
      </c>
      <c r="F3149" s="11">
        <f>INT(B3149)</f>
        <v/>
      </c>
      <c r="G3149" s="11">
        <f>INT(C3149)</f>
        <v/>
      </c>
    </row>
    <row r="3150">
      <c r="A3150" s="2" t="inlineStr">
        <is>
          <t>DRE42</t>
        </is>
      </c>
      <c r="B3150" s="3" t="n">
        <v>46086.25</v>
      </c>
      <c r="C3150" s="3" t="n">
        <v>46086.75</v>
      </c>
      <c r="D3150" s="4">
        <f>(C3150-B3150)*24</f>
        <v/>
      </c>
      <c r="E3150" s="5">
        <f>IF(AND(HOUR(B3150)&gt;=6,HOUR(B3150)&lt;18),"Day Shift","Night Shift")</f>
        <v/>
      </c>
      <c r="F3150" s="6">
        <f>INT(B3150)</f>
        <v/>
      </c>
      <c r="G3150" s="6">
        <f>INT(C3150)</f>
        <v/>
      </c>
    </row>
    <row r="3151">
      <c r="A3151" s="7" t="inlineStr">
        <is>
          <t>DRE42</t>
        </is>
      </c>
      <c r="B3151" s="8" t="n">
        <v>46086.75</v>
      </c>
      <c r="C3151" s="8" t="n">
        <v>46087.25</v>
      </c>
      <c r="D3151" s="9">
        <f>(C3151-B3151)*24</f>
        <v/>
      </c>
      <c r="E3151" s="10">
        <f>IF(AND(HOUR(B3151)&gt;=6,HOUR(B3151)&lt;18),"Day Shift","Night Shift")</f>
        <v/>
      </c>
      <c r="F3151" s="11">
        <f>INT(B3151)</f>
        <v/>
      </c>
      <c r="G3151" s="11">
        <f>INT(C3151)</f>
        <v/>
      </c>
    </row>
    <row r="3152">
      <c r="A3152" s="2" t="inlineStr">
        <is>
          <t>DRE42</t>
        </is>
      </c>
      <c r="B3152" s="3" t="n">
        <v>46087.25</v>
      </c>
      <c r="C3152" s="3" t="n">
        <v>46087.75</v>
      </c>
      <c r="D3152" s="4">
        <f>(C3152-B3152)*24</f>
        <v/>
      </c>
      <c r="E3152" s="5">
        <f>IF(AND(HOUR(B3152)&gt;=6,HOUR(B3152)&lt;18),"Day Shift","Night Shift")</f>
        <v/>
      </c>
      <c r="F3152" s="6">
        <f>INT(B3152)</f>
        <v/>
      </c>
      <c r="G3152" s="6">
        <f>INT(C3152)</f>
        <v/>
      </c>
    </row>
    <row r="3153">
      <c r="A3153" s="7" t="inlineStr">
        <is>
          <t>DRE42</t>
        </is>
      </c>
      <c r="B3153" s="8" t="n">
        <v>46087.75</v>
      </c>
      <c r="C3153" s="8" t="n">
        <v>46088.25</v>
      </c>
      <c r="D3153" s="9">
        <f>(C3153-B3153)*24</f>
        <v/>
      </c>
      <c r="E3153" s="10">
        <f>IF(AND(HOUR(B3153)&gt;=6,HOUR(B3153)&lt;18),"Day Shift","Night Shift")</f>
        <v/>
      </c>
      <c r="F3153" s="11">
        <f>INT(B3153)</f>
        <v/>
      </c>
      <c r="G3153" s="11">
        <f>INT(C3153)</f>
        <v/>
      </c>
    </row>
    <row r="3154">
      <c r="A3154" s="2" t="inlineStr">
        <is>
          <t>DRE42</t>
        </is>
      </c>
      <c r="B3154" s="3" t="n">
        <v>46088.25</v>
      </c>
      <c r="C3154" s="3" t="n">
        <v>46088.75</v>
      </c>
      <c r="D3154" s="4">
        <f>(C3154-B3154)*24</f>
        <v/>
      </c>
      <c r="E3154" s="5">
        <f>IF(AND(HOUR(B3154)&gt;=6,HOUR(B3154)&lt;18),"Day Shift","Night Shift")</f>
        <v/>
      </c>
      <c r="F3154" s="6">
        <f>INT(B3154)</f>
        <v/>
      </c>
      <c r="G3154" s="6">
        <f>INT(C3154)</f>
        <v/>
      </c>
    </row>
    <row r="3155">
      <c r="A3155" s="7" t="inlineStr">
        <is>
          <t>DRE42</t>
        </is>
      </c>
      <c r="B3155" s="8" t="n">
        <v>46088.75</v>
      </c>
      <c r="C3155" s="8" t="n">
        <v>46089.25</v>
      </c>
      <c r="D3155" s="9">
        <f>(C3155-B3155)*24</f>
        <v/>
      </c>
      <c r="E3155" s="10">
        <f>IF(AND(HOUR(B3155)&gt;=6,HOUR(B3155)&lt;18),"Day Shift","Night Shift")</f>
        <v/>
      </c>
      <c r="F3155" s="11">
        <f>INT(B3155)</f>
        <v/>
      </c>
      <c r="G3155" s="11">
        <f>INT(C3155)</f>
        <v/>
      </c>
    </row>
    <row r="3156">
      <c r="A3156" s="2" t="inlineStr">
        <is>
          <t>DRE42</t>
        </is>
      </c>
      <c r="B3156" s="3" t="n">
        <v>46089.25</v>
      </c>
      <c r="C3156" s="3" t="n">
        <v>46089.496875</v>
      </c>
      <c r="D3156" s="4">
        <f>(C3156-B3156)*24</f>
        <v/>
      </c>
      <c r="E3156" s="5">
        <f>IF(AND(HOUR(B3156)&gt;=6,HOUR(B3156)&lt;18),"Day Shift","Night Shift")</f>
        <v/>
      </c>
      <c r="F3156" s="6">
        <f>INT(B3156)</f>
        <v/>
      </c>
      <c r="G3156" s="6">
        <f>INT(C3156)</f>
        <v/>
      </c>
    </row>
    <row r="3157">
      <c r="A3157" s="2" t="inlineStr">
        <is>
          <t>EXD56</t>
        </is>
      </c>
      <c r="B3157" s="3" t="n">
        <v>46085.33668981482</v>
      </c>
      <c r="C3157" s="3" t="n">
        <v>46085.75</v>
      </c>
      <c r="D3157" s="4">
        <f>(C3157-B3157)*24</f>
        <v/>
      </c>
      <c r="E3157" s="5">
        <f>IF(AND(HOUR(B3157)&gt;=6,HOUR(B3157)&lt;18),"Day Shift","Night Shift")</f>
        <v/>
      </c>
      <c r="F3157" s="6">
        <f>INT(B3157)</f>
        <v/>
      </c>
      <c r="G3157" s="6">
        <f>INT(C3157)</f>
        <v/>
      </c>
    </row>
    <row r="3158">
      <c r="A3158" s="7" t="inlineStr">
        <is>
          <t>EXD56</t>
        </is>
      </c>
      <c r="B3158" s="8" t="n">
        <v>46085.75</v>
      </c>
      <c r="C3158" s="8" t="n">
        <v>46085.84121527777</v>
      </c>
      <c r="D3158" s="9">
        <f>(C3158-B3158)*24</f>
        <v/>
      </c>
      <c r="E3158" s="10">
        <f>IF(AND(HOUR(B3158)&gt;=6,HOUR(B3158)&lt;18),"Day Shift","Night Shift")</f>
        <v/>
      </c>
      <c r="F3158" s="11">
        <f>INT(B3158)</f>
        <v/>
      </c>
      <c r="G3158" s="11">
        <f>INT(C3158)</f>
        <v/>
      </c>
    </row>
    <row r="3159">
      <c r="A3159" s="2" t="inlineStr">
        <is>
          <t>EDD1932</t>
        </is>
      </c>
      <c r="B3159" s="3" t="n">
        <v>46085.34826388889</v>
      </c>
      <c r="C3159" s="3" t="n">
        <v>46085.75</v>
      </c>
      <c r="D3159" s="4">
        <f>(C3159-B3159)*24</f>
        <v/>
      </c>
      <c r="E3159" s="5">
        <f>IF(AND(HOUR(B3159)&gt;=6,HOUR(B3159)&lt;18),"Day Shift","Night Shift")</f>
        <v/>
      </c>
      <c r="F3159" s="6">
        <f>INT(B3159)</f>
        <v/>
      </c>
      <c r="G3159" s="6">
        <f>INT(C3159)</f>
        <v/>
      </c>
    </row>
    <row r="3160">
      <c r="A3160" s="7" t="inlineStr">
        <is>
          <t>EDD1932</t>
        </is>
      </c>
      <c r="B3160" s="8" t="n">
        <v>46085.75</v>
      </c>
      <c r="C3160" s="8" t="n">
        <v>46085.87326388889</v>
      </c>
      <c r="D3160" s="9">
        <f>(C3160-B3160)*24</f>
        <v/>
      </c>
      <c r="E3160" s="10">
        <f>IF(AND(HOUR(B3160)&gt;=6,HOUR(B3160)&lt;18),"Day Shift","Night Shift")</f>
        <v/>
      </c>
      <c r="F3160" s="11">
        <f>INT(B3160)</f>
        <v/>
      </c>
      <c r="G3160" s="11">
        <f>INT(C3160)</f>
        <v/>
      </c>
    </row>
    <row r="3161">
      <c r="A3161" s="2" t="inlineStr">
        <is>
          <t>EXD73</t>
        </is>
      </c>
      <c r="B3161" s="3" t="n">
        <v>46085.35931712963</v>
      </c>
      <c r="C3161" s="3" t="n">
        <v>46085.75</v>
      </c>
      <c r="D3161" s="4">
        <f>(C3161-B3161)*24</f>
        <v/>
      </c>
      <c r="E3161" s="5">
        <f>IF(AND(HOUR(B3161)&gt;=6,HOUR(B3161)&lt;18),"Day Shift","Night Shift")</f>
        <v/>
      </c>
      <c r="F3161" s="6">
        <f>INT(B3161)</f>
        <v/>
      </c>
      <c r="G3161" s="6">
        <f>INT(C3161)</f>
        <v/>
      </c>
    </row>
    <row r="3162">
      <c r="A3162" s="7" t="inlineStr">
        <is>
          <t>EXD73</t>
        </is>
      </c>
      <c r="B3162" s="8" t="n">
        <v>46085.75</v>
      </c>
      <c r="C3162" s="8" t="n">
        <v>46086.21733796296</v>
      </c>
      <c r="D3162" s="9">
        <f>(C3162-B3162)*24</f>
        <v/>
      </c>
      <c r="E3162" s="10">
        <f>IF(AND(HOUR(B3162)&gt;=6,HOUR(B3162)&lt;18),"Day Shift","Night Shift")</f>
        <v/>
      </c>
      <c r="F3162" s="11">
        <f>INT(B3162)</f>
        <v/>
      </c>
      <c r="G3162" s="11">
        <f>INT(C3162)</f>
        <v/>
      </c>
    </row>
    <row r="3163">
      <c r="A3163" s="2" t="inlineStr">
        <is>
          <t>Blast Crew</t>
        </is>
      </c>
      <c r="B3163" s="3" t="n">
        <v>46085.42527777778</v>
      </c>
      <c r="C3163" s="3" t="n">
        <v>46085.75</v>
      </c>
      <c r="D3163" s="4">
        <f>(C3163-B3163)*24</f>
        <v/>
      </c>
      <c r="E3163" s="5">
        <f>IF(AND(HOUR(B3163)&gt;=6,HOUR(B3163)&lt;18),"Day Shift","Night Shift")</f>
        <v/>
      </c>
      <c r="F3163" s="6">
        <f>INT(B3163)</f>
        <v/>
      </c>
      <c r="G3163" s="6">
        <f>INT(C3163)</f>
        <v/>
      </c>
    </row>
    <row r="3164">
      <c r="A3164" s="7" t="inlineStr">
        <is>
          <t>Blast Crew</t>
        </is>
      </c>
      <c r="B3164" s="8" t="n">
        <v>46085.75</v>
      </c>
      <c r="C3164" s="8" t="n">
        <v>46085.8554050926</v>
      </c>
      <c r="D3164" s="9">
        <f>(C3164-B3164)*24</f>
        <v/>
      </c>
      <c r="E3164" s="10">
        <f>IF(AND(HOUR(B3164)&gt;=6,HOUR(B3164)&lt;18),"Day Shift","Night Shift")</f>
        <v/>
      </c>
      <c r="F3164" s="11">
        <f>INT(B3164)</f>
        <v/>
      </c>
      <c r="G3164" s="11">
        <f>INT(C3164)</f>
        <v/>
      </c>
    </row>
    <row r="3165">
      <c r="A3165" s="2" t="inlineStr">
        <is>
          <t>EDD2541;Sprint 1</t>
        </is>
      </c>
      <c r="B3165" s="3" t="n">
        <v>46085.51452546296</v>
      </c>
      <c r="C3165" s="3" t="n">
        <v>46085.72148148148</v>
      </c>
      <c r="D3165" s="4">
        <f>(C3165-B3165)*24</f>
        <v/>
      </c>
      <c r="E3165" s="5">
        <f>IF(AND(HOUR(B3165)&gt;=6,HOUR(B3165)&lt;18),"Day Shift","Night Shift")</f>
        <v/>
      </c>
      <c r="F3165" s="6">
        <f>INT(B3165)</f>
        <v/>
      </c>
      <c r="G3165" s="6">
        <f>INT(C3165)</f>
        <v/>
      </c>
    </row>
    <row r="3166">
      <c r="A3166" s="2" t="inlineStr">
        <is>
          <t>EXD100</t>
        </is>
      </c>
      <c r="B3166" s="3" t="n">
        <v>46085.52265046296</v>
      </c>
      <c r="C3166" s="3" t="n">
        <v>46085.72662037037</v>
      </c>
      <c r="D3166" s="4">
        <f>(C3166-B3166)*24</f>
        <v/>
      </c>
      <c r="E3166" s="5">
        <f>IF(AND(HOUR(B3166)&gt;=6,HOUR(B3166)&lt;18),"Day Shift","Night Shift")</f>
        <v/>
      </c>
      <c r="F3166" s="6">
        <f>INT(B3166)</f>
        <v/>
      </c>
      <c r="G3166" s="6">
        <f>INT(C3166)</f>
        <v/>
      </c>
    </row>
    <row r="3167">
      <c r="A3167" s="2" t="inlineStr">
        <is>
          <t>EXD407</t>
        </is>
      </c>
      <c r="B3167" s="3" t="n">
        <v>46085.54953703703</v>
      </c>
      <c r="C3167" s="3" t="n">
        <v>46085.75</v>
      </c>
      <c r="D3167" s="4">
        <f>(C3167-B3167)*24</f>
        <v/>
      </c>
      <c r="E3167" s="5">
        <f>IF(AND(HOUR(B3167)&gt;=6,HOUR(B3167)&lt;18),"Day Shift","Night Shift")</f>
        <v/>
      </c>
      <c r="F3167" s="6">
        <f>INT(B3167)</f>
        <v/>
      </c>
      <c r="G3167" s="6">
        <f>INT(C3167)</f>
        <v/>
      </c>
    </row>
    <row r="3168">
      <c r="A3168" s="7" t="inlineStr">
        <is>
          <t>EXD407</t>
        </is>
      </c>
      <c r="B3168" s="8" t="n">
        <v>46085.75</v>
      </c>
      <c r="C3168" s="8" t="n">
        <v>46086.25</v>
      </c>
      <c r="D3168" s="9">
        <f>(C3168-B3168)*24</f>
        <v/>
      </c>
      <c r="E3168" s="10">
        <f>IF(AND(HOUR(B3168)&gt;=6,HOUR(B3168)&lt;18),"Day Shift","Night Shift")</f>
        <v/>
      </c>
      <c r="F3168" s="11">
        <f>INT(B3168)</f>
        <v/>
      </c>
      <c r="G3168" s="11">
        <f>INT(C3168)</f>
        <v/>
      </c>
    </row>
    <row r="3169">
      <c r="A3169" s="2" t="inlineStr">
        <is>
          <t>EXD407</t>
        </is>
      </c>
      <c r="B3169" s="3" t="n">
        <v>46086.25</v>
      </c>
      <c r="C3169" s="3" t="n">
        <v>46086.75</v>
      </c>
      <c r="D3169" s="4">
        <f>(C3169-B3169)*24</f>
        <v/>
      </c>
      <c r="E3169" s="5">
        <f>IF(AND(HOUR(B3169)&gt;=6,HOUR(B3169)&lt;18),"Day Shift","Night Shift")</f>
        <v/>
      </c>
      <c r="F3169" s="6">
        <f>INT(B3169)</f>
        <v/>
      </c>
      <c r="G3169" s="6">
        <f>INT(C3169)</f>
        <v/>
      </c>
    </row>
    <row r="3170">
      <c r="A3170" s="7" t="inlineStr">
        <is>
          <t>EXD407</t>
        </is>
      </c>
      <c r="B3170" s="8" t="n">
        <v>46086.75</v>
      </c>
      <c r="C3170" s="8" t="n">
        <v>46087.14011574074</v>
      </c>
      <c r="D3170" s="9">
        <f>(C3170-B3170)*24</f>
        <v/>
      </c>
      <c r="E3170" s="10">
        <f>IF(AND(HOUR(B3170)&gt;=6,HOUR(B3170)&lt;18),"Day Shift","Night Shift")</f>
        <v/>
      </c>
      <c r="F3170" s="11">
        <f>INT(B3170)</f>
        <v/>
      </c>
      <c r="G3170" s="11">
        <f>INT(C3170)</f>
        <v/>
      </c>
    </row>
    <row r="3171">
      <c r="A3171" s="2" t="inlineStr">
        <is>
          <t>EXD101</t>
        </is>
      </c>
      <c r="B3171" s="3" t="n">
        <v>46085.58891203703</v>
      </c>
      <c r="C3171" s="3" t="n">
        <v>46085.75</v>
      </c>
      <c r="D3171" s="4">
        <f>(C3171-B3171)*24</f>
        <v/>
      </c>
      <c r="E3171" s="5">
        <f>IF(AND(HOUR(B3171)&gt;=6,HOUR(B3171)&lt;18),"Day Shift","Night Shift")</f>
        <v/>
      </c>
      <c r="F3171" s="6">
        <f>INT(B3171)</f>
        <v/>
      </c>
      <c r="G3171" s="6">
        <f>INT(C3171)</f>
        <v/>
      </c>
    </row>
    <row r="3172">
      <c r="A3172" s="7" t="inlineStr">
        <is>
          <t>EXD101</t>
        </is>
      </c>
      <c r="B3172" s="8" t="n">
        <v>46085.75</v>
      </c>
      <c r="C3172" s="8" t="n">
        <v>46085.99439814815</v>
      </c>
      <c r="D3172" s="9">
        <f>(C3172-B3172)*24</f>
        <v/>
      </c>
      <c r="E3172" s="10">
        <f>IF(AND(HOUR(B3172)&gt;=6,HOUR(B3172)&lt;18),"Day Shift","Night Shift")</f>
        <v/>
      </c>
      <c r="F3172" s="11">
        <f>INT(B3172)</f>
        <v/>
      </c>
      <c r="G3172" s="11">
        <f>INT(C3172)</f>
        <v/>
      </c>
    </row>
    <row r="3173">
      <c r="A3173" s="2" t="inlineStr">
        <is>
          <t>EDD2541;Sprint 1</t>
        </is>
      </c>
      <c r="B3173" s="3" t="n">
        <v>46085.72148148148</v>
      </c>
      <c r="C3173" s="3" t="n">
        <v>46085.75</v>
      </c>
      <c r="D3173" s="4">
        <f>(C3173-B3173)*24</f>
        <v/>
      </c>
      <c r="E3173" s="5">
        <f>IF(AND(HOUR(B3173)&gt;=6,HOUR(B3173)&lt;18),"Day Shift","Night Shift")</f>
        <v/>
      </c>
      <c r="F3173" s="6">
        <f>INT(B3173)</f>
        <v/>
      </c>
      <c r="G3173" s="6">
        <f>INT(C3173)</f>
        <v/>
      </c>
    </row>
    <row r="3174">
      <c r="A3174" s="7" t="inlineStr">
        <is>
          <t>EDD2541;Sprint 1</t>
        </is>
      </c>
      <c r="B3174" s="8" t="n">
        <v>46085.75</v>
      </c>
      <c r="C3174" s="8" t="n">
        <v>46085.93280092593</v>
      </c>
      <c r="D3174" s="9">
        <f>(C3174-B3174)*24</f>
        <v/>
      </c>
      <c r="E3174" s="10">
        <f>IF(AND(HOUR(B3174)&gt;=6,HOUR(B3174)&lt;18),"Day Shift","Night Shift")</f>
        <v/>
      </c>
      <c r="F3174" s="11">
        <f>INT(B3174)</f>
        <v/>
      </c>
      <c r="G3174" s="11">
        <f>INT(C3174)</f>
        <v/>
      </c>
    </row>
    <row r="3175">
      <c r="A3175" s="2" t="inlineStr">
        <is>
          <t>EXD100</t>
        </is>
      </c>
      <c r="B3175" s="3" t="n">
        <v>46085.74519675926</v>
      </c>
      <c r="C3175" s="3" t="n">
        <v>46085.75</v>
      </c>
      <c r="D3175" s="4">
        <f>(C3175-B3175)*24</f>
        <v/>
      </c>
      <c r="E3175" s="5">
        <f>IF(AND(HOUR(B3175)&gt;=6,HOUR(B3175)&lt;18),"Day Shift","Night Shift")</f>
        <v/>
      </c>
      <c r="F3175" s="6">
        <f>INT(B3175)</f>
        <v/>
      </c>
      <c r="G3175" s="6">
        <f>INT(C3175)</f>
        <v/>
      </c>
    </row>
    <row r="3176">
      <c r="A3176" s="7" t="inlineStr">
        <is>
          <t>EXD100</t>
        </is>
      </c>
      <c r="B3176" s="8" t="n">
        <v>46085.75</v>
      </c>
      <c r="C3176" s="8" t="n">
        <v>46086.00079861111</v>
      </c>
      <c r="D3176" s="9">
        <f>(C3176-B3176)*24</f>
        <v/>
      </c>
      <c r="E3176" s="10">
        <f>IF(AND(HOUR(B3176)&gt;=6,HOUR(B3176)&lt;18),"Day Shift","Night Shift")</f>
        <v/>
      </c>
      <c r="F3176" s="11">
        <f>INT(B3176)</f>
        <v/>
      </c>
      <c r="G3176" s="11">
        <f>INT(C3176)</f>
        <v/>
      </c>
    </row>
    <row r="3177">
      <c r="A3177" s="7" t="inlineStr">
        <is>
          <t>EXD55</t>
        </is>
      </c>
      <c r="B3177" s="8" t="n">
        <v>46085.83084490741</v>
      </c>
      <c r="C3177" s="8" t="n">
        <v>46086.25</v>
      </c>
      <c r="D3177" s="9">
        <f>(C3177-B3177)*24</f>
        <v/>
      </c>
      <c r="E3177" s="10">
        <f>IF(AND(HOUR(B3177)&gt;=6,HOUR(B3177)&lt;18),"Day Shift","Night Shift")</f>
        <v/>
      </c>
      <c r="F3177" s="11">
        <f>INT(B3177)</f>
        <v/>
      </c>
      <c r="G3177" s="11">
        <f>INT(C3177)</f>
        <v/>
      </c>
    </row>
    <row r="3178">
      <c r="A3178" s="2" t="inlineStr">
        <is>
          <t>EXD55</t>
        </is>
      </c>
      <c r="B3178" s="3" t="n">
        <v>46086.25</v>
      </c>
      <c r="C3178" s="3" t="n">
        <v>46086.75</v>
      </c>
      <c r="D3178" s="4">
        <f>(C3178-B3178)*24</f>
        <v/>
      </c>
      <c r="E3178" s="5">
        <f>IF(AND(HOUR(B3178)&gt;=6,HOUR(B3178)&lt;18),"Day Shift","Night Shift")</f>
        <v/>
      </c>
      <c r="F3178" s="6">
        <f>INT(B3178)</f>
        <v/>
      </c>
      <c r="G3178" s="6">
        <f>INT(C3178)</f>
        <v/>
      </c>
    </row>
    <row r="3179">
      <c r="A3179" s="7" t="inlineStr">
        <is>
          <t>EXD55</t>
        </is>
      </c>
      <c r="B3179" s="8" t="n">
        <v>46086.75</v>
      </c>
      <c r="C3179" s="8" t="n">
        <v>46087.25</v>
      </c>
      <c r="D3179" s="9">
        <f>(C3179-B3179)*24</f>
        <v/>
      </c>
      <c r="E3179" s="10">
        <f>IF(AND(HOUR(B3179)&gt;=6,HOUR(B3179)&lt;18),"Day Shift","Night Shift")</f>
        <v/>
      </c>
      <c r="F3179" s="11">
        <f>INT(B3179)</f>
        <v/>
      </c>
      <c r="G3179" s="11">
        <f>INT(C3179)</f>
        <v/>
      </c>
    </row>
    <row r="3180">
      <c r="A3180" s="2" t="inlineStr">
        <is>
          <t>EXD55</t>
        </is>
      </c>
      <c r="B3180" s="3" t="n">
        <v>46087.25</v>
      </c>
      <c r="C3180" s="3" t="n">
        <v>46087.46903935185</v>
      </c>
      <c r="D3180" s="4">
        <f>(C3180-B3180)*24</f>
        <v/>
      </c>
      <c r="E3180" s="5">
        <f>IF(AND(HOUR(B3180)&gt;=6,HOUR(B3180)&lt;18),"Day Shift","Night Shift")</f>
        <v/>
      </c>
      <c r="F3180" s="6">
        <f>INT(B3180)</f>
        <v/>
      </c>
      <c r="G3180" s="6">
        <f>INT(C3180)</f>
        <v/>
      </c>
    </row>
    <row r="3181">
      <c r="A3181" s="7" t="inlineStr">
        <is>
          <t>EXD56</t>
        </is>
      </c>
      <c r="B3181" s="8" t="n">
        <v>46085.84121527777</v>
      </c>
      <c r="C3181" s="8" t="n">
        <v>46086.25</v>
      </c>
      <c r="D3181" s="9">
        <f>(C3181-B3181)*24</f>
        <v/>
      </c>
      <c r="E3181" s="10">
        <f>IF(AND(HOUR(B3181)&gt;=6,HOUR(B3181)&lt;18),"Day Shift","Night Shift")</f>
        <v/>
      </c>
      <c r="F3181" s="11">
        <f>INT(B3181)</f>
        <v/>
      </c>
      <c r="G3181" s="11">
        <f>INT(C3181)</f>
        <v/>
      </c>
    </row>
    <row r="3182">
      <c r="A3182" s="2" t="inlineStr">
        <is>
          <t>EXD56</t>
        </is>
      </c>
      <c r="B3182" s="3" t="n">
        <v>46086.25</v>
      </c>
      <c r="C3182" s="3" t="n">
        <v>46086.75</v>
      </c>
      <c r="D3182" s="4">
        <f>(C3182-B3182)*24</f>
        <v/>
      </c>
      <c r="E3182" s="5">
        <f>IF(AND(HOUR(B3182)&gt;=6,HOUR(B3182)&lt;18),"Day Shift","Night Shift")</f>
        <v/>
      </c>
      <c r="F3182" s="6">
        <f>INT(B3182)</f>
        <v/>
      </c>
      <c r="G3182" s="6">
        <f>INT(C3182)</f>
        <v/>
      </c>
    </row>
    <row r="3183">
      <c r="A3183" s="7" t="inlineStr">
        <is>
          <t>EXD56</t>
        </is>
      </c>
      <c r="B3183" s="8" t="n">
        <v>46086.75</v>
      </c>
      <c r="C3183" s="8" t="n">
        <v>46087.25</v>
      </c>
      <c r="D3183" s="9">
        <f>(C3183-B3183)*24</f>
        <v/>
      </c>
      <c r="E3183" s="10">
        <f>IF(AND(HOUR(B3183)&gt;=6,HOUR(B3183)&lt;18),"Day Shift","Night Shift")</f>
        <v/>
      </c>
      <c r="F3183" s="11">
        <f>INT(B3183)</f>
        <v/>
      </c>
      <c r="G3183" s="11">
        <f>INT(C3183)</f>
        <v/>
      </c>
    </row>
    <row r="3184">
      <c r="A3184" s="2" t="inlineStr">
        <is>
          <t>EXD56</t>
        </is>
      </c>
      <c r="B3184" s="3" t="n">
        <v>46087.25</v>
      </c>
      <c r="C3184" s="3" t="n">
        <v>46087.75</v>
      </c>
      <c r="D3184" s="4">
        <f>(C3184-B3184)*24</f>
        <v/>
      </c>
      <c r="E3184" s="5">
        <f>IF(AND(HOUR(B3184)&gt;=6,HOUR(B3184)&lt;18),"Day Shift","Night Shift")</f>
        <v/>
      </c>
      <c r="F3184" s="6">
        <f>INT(B3184)</f>
        <v/>
      </c>
      <c r="G3184" s="6">
        <f>INT(C3184)</f>
        <v/>
      </c>
    </row>
    <row r="3185">
      <c r="A3185" s="7" t="inlineStr">
        <is>
          <t>EXD56</t>
        </is>
      </c>
      <c r="B3185" s="8" t="n">
        <v>46087.75</v>
      </c>
      <c r="C3185" s="8" t="n">
        <v>46088.25</v>
      </c>
      <c r="D3185" s="9">
        <f>(C3185-B3185)*24</f>
        <v/>
      </c>
      <c r="E3185" s="10">
        <f>IF(AND(HOUR(B3185)&gt;=6,HOUR(B3185)&lt;18),"Day Shift","Night Shift")</f>
        <v/>
      </c>
      <c r="F3185" s="11">
        <f>INT(B3185)</f>
        <v/>
      </c>
      <c r="G3185" s="11">
        <f>INT(C3185)</f>
        <v/>
      </c>
    </row>
    <row r="3186">
      <c r="A3186" s="2" t="inlineStr">
        <is>
          <t>EXD56</t>
        </is>
      </c>
      <c r="B3186" s="3" t="n">
        <v>46088.25</v>
      </c>
      <c r="C3186" s="3" t="n">
        <v>46088.75</v>
      </c>
      <c r="D3186" s="4">
        <f>(C3186-B3186)*24</f>
        <v/>
      </c>
      <c r="E3186" s="5">
        <f>IF(AND(HOUR(B3186)&gt;=6,HOUR(B3186)&lt;18),"Day Shift","Night Shift")</f>
        <v/>
      </c>
      <c r="F3186" s="6">
        <f>INT(B3186)</f>
        <v/>
      </c>
      <c r="G3186" s="6">
        <f>INT(C3186)</f>
        <v/>
      </c>
    </row>
    <row r="3187">
      <c r="A3187" s="7" t="inlineStr">
        <is>
          <t>EXD56</t>
        </is>
      </c>
      <c r="B3187" s="8" t="n">
        <v>46088.75</v>
      </c>
      <c r="C3187" s="8" t="n">
        <v>46089.25</v>
      </c>
      <c r="D3187" s="9">
        <f>(C3187-B3187)*24</f>
        <v/>
      </c>
      <c r="E3187" s="10">
        <f>IF(AND(HOUR(B3187)&gt;=6,HOUR(B3187)&lt;18),"Day Shift","Night Shift")</f>
        <v/>
      </c>
      <c r="F3187" s="11">
        <f>INT(B3187)</f>
        <v/>
      </c>
      <c r="G3187" s="11">
        <f>INT(C3187)</f>
        <v/>
      </c>
    </row>
    <row r="3188">
      <c r="A3188" s="2" t="inlineStr">
        <is>
          <t>EXD56</t>
        </is>
      </c>
      <c r="B3188" s="3" t="n">
        <v>46089.25</v>
      </c>
      <c r="C3188" s="3" t="n">
        <v>46089.75</v>
      </c>
      <c r="D3188" s="4">
        <f>(C3188-B3188)*24</f>
        <v/>
      </c>
      <c r="E3188" s="5">
        <f>IF(AND(HOUR(B3188)&gt;=6,HOUR(B3188)&lt;18),"Day Shift","Night Shift")</f>
        <v/>
      </c>
      <c r="F3188" s="6">
        <f>INT(B3188)</f>
        <v/>
      </c>
      <c r="G3188" s="6">
        <f>INT(C3188)</f>
        <v/>
      </c>
    </row>
    <row r="3189">
      <c r="A3189" s="7" t="inlineStr">
        <is>
          <t>EXD56</t>
        </is>
      </c>
      <c r="B3189" s="8" t="n">
        <v>46089.75</v>
      </c>
      <c r="C3189" s="8" t="n">
        <v>46089.78366898148</v>
      </c>
      <c r="D3189" s="9">
        <f>(C3189-B3189)*24</f>
        <v/>
      </c>
      <c r="E3189" s="10">
        <f>IF(AND(HOUR(B3189)&gt;=6,HOUR(B3189)&lt;18),"Day Shift","Night Shift")</f>
        <v/>
      </c>
      <c r="F3189" s="11">
        <f>INT(B3189)</f>
        <v/>
      </c>
      <c r="G3189" s="11">
        <f>INT(C3189)</f>
        <v/>
      </c>
    </row>
    <row r="3190">
      <c r="A3190" s="7" t="inlineStr">
        <is>
          <t>EXD409</t>
        </is>
      </c>
      <c r="B3190" s="8" t="n">
        <v>46085.85921296296</v>
      </c>
      <c r="C3190" s="8" t="n">
        <v>46086.25</v>
      </c>
      <c r="D3190" s="9">
        <f>(C3190-B3190)*24</f>
        <v/>
      </c>
      <c r="E3190" s="10">
        <f>IF(AND(HOUR(B3190)&gt;=6,HOUR(B3190)&lt;18),"Day Shift","Night Shift")</f>
        <v/>
      </c>
      <c r="F3190" s="11">
        <f>INT(B3190)</f>
        <v/>
      </c>
      <c r="G3190" s="11">
        <f>INT(C3190)</f>
        <v/>
      </c>
    </row>
    <row r="3191">
      <c r="A3191" s="2" t="inlineStr">
        <is>
          <t>EXD409</t>
        </is>
      </c>
      <c r="B3191" s="3" t="n">
        <v>46086.25</v>
      </c>
      <c r="C3191" s="3" t="n">
        <v>46086.32471064815</v>
      </c>
      <c r="D3191" s="4">
        <f>(C3191-B3191)*24</f>
        <v/>
      </c>
      <c r="E3191" s="5">
        <f>IF(AND(HOUR(B3191)&gt;=6,HOUR(B3191)&lt;18),"Day Shift","Night Shift")</f>
        <v/>
      </c>
      <c r="F3191" s="6">
        <f>INT(B3191)</f>
        <v/>
      </c>
      <c r="G3191" s="6">
        <f>INT(C3191)</f>
        <v/>
      </c>
    </row>
    <row r="3192">
      <c r="A3192" s="7" t="inlineStr">
        <is>
          <t>EDD1932</t>
        </is>
      </c>
      <c r="B3192" s="8" t="n">
        <v>46085.87326388889</v>
      </c>
      <c r="C3192" s="8" t="n">
        <v>46086.25</v>
      </c>
      <c r="D3192" s="9">
        <f>(C3192-B3192)*24</f>
        <v/>
      </c>
      <c r="E3192" s="10">
        <f>IF(AND(HOUR(B3192)&gt;=6,HOUR(B3192)&lt;18),"Day Shift","Night Shift")</f>
        <v/>
      </c>
      <c r="F3192" s="11">
        <f>INT(B3192)</f>
        <v/>
      </c>
      <c r="G3192" s="11">
        <f>INT(C3192)</f>
        <v/>
      </c>
    </row>
    <row r="3193">
      <c r="A3193" s="2" t="inlineStr">
        <is>
          <t>EDD1932</t>
        </is>
      </c>
      <c r="B3193" s="3" t="n">
        <v>46086.25</v>
      </c>
      <c r="C3193" s="3" t="n">
        <v>46086.60765046296</v>
      </c>
      <c r="D3193" s="4">
        <f>(C3193-B3193)*24</f>
        <v/>
      </c>
      <c r="E3193" s="5">
        <f>IF(AND(HOUR(B3193)&gt;=6,HOUR(B3193)&lt;18),"Day Shift","Night Shift")</f>
        <v/>
      </c>
      <c r="F3193" s="6">
        <f>INT(B3193)</f>
        <v/>
      </c>
      <c r="G3193" s="6">
        <f>INT(C3193)</f>
        <v/>
      </c>
    </row>
    <row r="3194">
      <c r="A3194" s="7" t="inlineStr">
        <is>
          <t>EDD812</t>
        </is>
      </c>
      <c r="B3194" s="8" t="n">
        <v>46085.87802083333</v>
      </c>
      <c r="C3194" s="8" t="n">
        <v>46086.25</v>
      </c>
      <c r="D3194" s="9">
        <f>(C3194-B3194)*24</f>
        <v/>
      </c>
      <c r="E3194" s="10">
        <f>IF(AND(HOUR(B3194)&gt;=6,HOUR(B3194)&lt;18),"Day Shift","Night Shift")</f>
        <v/>
      </c>
      <c r="F3194" s="11">
        <f>INT(B3194)</f>
        <v/>
      </c>
      <c r="G3194" s="11">
        <f>INT(C3194)</f>
        <v/>
      </c>
    </row>
    <row r="3195">
      <c r="A3195" s="2" t="inlineStr">
        <is>
          <t>EDD812</t>
        </is>
      </c>
      <c r="B3195" s="3" t="n">
        <v>46086.25</v>
      </c>
      <c r="C3195" s="3" t="n">
        <v>46086.75</v>
      </c>
      <c r="D3195" s="4">
        <f>(C3195-B3195)*24</f>
        <v/>
      </c>
      <c r="E3195" s="5">
        <f>IF(AND(HOUR(B3195)&gt;=6,HOUR(B3195)&lt;18),"Day Shift","Night Shift")</f>
        <v/>
      </c>
      <c r="F3195" s="6">
        <f>INT(B3195)</f>
        <v/>
      </c>
      <c r="G3195" s="6">
        <f>INT(C3195)</f>
        <v/>
      </c>
    </row>
    <row r="3196">
      <c r="A3196" s="7" t="inlineStr">
        <is>
          <t>EDD812</t>
        </is>
      </c>
      <c r="B3196" s="8" t="n">
        <v>46086.75</v>
      </c>
      <c r="C3196" s="8" t="n">
        <v>46087.17356481482</v>
      </c>
      <c r="D3196" s="9">
        <f>(C3196-B3196)*24</f>
        <v/>
      </c>
      <c r="E3196" s="10">
        <f>IF(AND(HOUR(B3196)&gt;=6,HOUR(B3196)&lt;18),"Day Shift","Night Shift")</f>
        <v/>
      </c>
      <c r="F3196" s="11">
        <f>INT(B3196)</f>
        <v/>
      </c>
      <c r="G3196" s="11">
        <f>INT(C3196)</f>
        <v/>
      </c>
    </row>
    <row r="3197">
      <c r="A3197" s="7" t="inlineStr">
        <is>
          <t>EDD175;EDD2134</t>
        </is>
      </c>
      <c r="B3197" s="8" t="n">
        <v>46085.90081018519</v>
      </c>
      <c r="C3197" s="8" t="n">
        <v>46086.25</v>
      </c>
      <c r="D3197" s="9">
        <f>(C3197-B3197)*24</f>
        <v/>
      </c>
      <c r="E3197" s="10">
        <f>IF(AND(HOUR(B3197)&gt;=6,HOUR(B3197)&lt;18),"Day Shift","Night Shift")</f>
        <v/>
      </c>
      <c r="F3197" s="11">
        <f>INT(B3197)</f>
        <v/>
      </c>
      <c r="G3197" s="11">
        <f>INT(C3197)</f>
        <v/>
      </c>
    </row>
    <row r="3198">
      <c r="A3198" s="2" t="inlineStr">
        <is>
          <t>EDD175;EDD2134</t>
        </is>
      </c>
      <c r="B3198" s="3" t="n">
        <v>46086.25</v>
      </c>
      <c r="C3198" s="3" t="n">
        <v>46086.59721064815</v>
      </c>
      <c r="D3198" s="4">
        <f>(C3198-B3198)*24</f>
        <v/>
      </c>
      <c r="E3198" s="5">
        <f>IF(AND(HOUR(B3198)&gt;=6,HOUR(B3198)&lt;18),"Day Shift","Night Shift")</f>
        <v/>
      </c>
      <c r="F3198" s="6">
        <f>INT(B3198)</f>
        <v/>
      </c>
      <c r="G3198" s="6">
        <f>INT(C3198)</f>
        <v/>
      </c>
    </row>
    <row r="3199">
      <c r="A3199" s="7" t="inlineStr">
        <is>
          <t>EDD2541;Sprint 1</t>
        </is>
      </c>
      <c r="B3199" s="8" t="n">
        <v>46085.93280092593</v>
      </c>
      <c r="C3199" s="8" t="n">
        <v>46086.12283564815</v>
      </c>
      <c r="D3199" s="9">
        <f>(C3199-B3199)*24</f>
        <v/>
      </c>
      <c r="E3199" s="10">
        <f>IF(AND(HOUR(B3199)&gt;=6,HOUR(B3199)&lt;18),"Day Shift","Night Shift")</f>
        <v/>
      </c>
      <c r="F3199" s="11">
        <f>INT(B3199)</f>
        <v/>
      </c>
      <c r="G3199" s="11">
        <f>INT(C3199)</f>
        <v/>
      </c>
    </row>
    <row r="3200">
      <c r="A3200" s="7" t="inlineStr">
        <is>
          <t>SHE36</t>
        </is>
      </c>
      <c r="B3200" s="8" t="n">
        <v>46085.94840277778</v>
      </c>
      <c r="C3200" s="8" t="n">
        <v>46086.25</v>
      </c>
      <c r="D3200" s="9">
        <f>(C3200-B3200)*24</f>
        <v/>
      </c>
      <c r="E3200" s="10">
        <f>IF(AND(HOUR(B3200)&gt;=6,HOUR(B3200)&lt;18),"Day Shift","Night Shift")</f>
        <v/>
      </c>
      <c r="F3200" s="11">
        <f>INT(B3200)</f>
        <v/>
      </c>
      <c r="G3200" s="11">
        <f>INT(C3200)</f>
        <v/>
      </c>
    </row>
    <row r="3201">
      <c r="A3201" s="2" t="inlineStr">
        <is>
          <t>SHE36</t>
        </is>
      </c>
      <c r="B3201" s="3" t="n">
        <v>46086.25</v>
      </c>
      <c r="C3201" s="3" t="n">
        <v>46086.75</v>
      </c>
      <c r="D3201" s="4">
        <f>(C3201-B3201)*24</f>
        <v/>
      </c>
      <c r="E3201" s="5">
        <f>IF(AND(HOUR(B3201)&gt;=6,HOUR(B3201)&lt;18),"Day Shift","Night Shift")</f>
        <v/>
      </c>
      <c r="F3201" s="6">
        <f>INT(B3201)</f>
        <v/>
      </c>
      <c r="G3201" s="6">
        <f>INT(C3201)</f>
        <v/>
      </c>
    </row>
    <row r="3202">
      <c r="A3202" s="7" t="inlineStr">
        <is>
          <t>SHE36</t>
        </is>
      </c>
      <c r="B3202" s="8" t="n">
        <v>46086.75</v>
      </c>
      <c r="C3202" s="8" t="n">
        <v>46086.98332175926</v>
      </c>
      <c r="D3202" s="9">
        <f>(C3202-B3202)*24</f>
        <v/>
      </c>
      <c r="E3202" s="10">
        <f>IF(AND(HOUR(B3202)&gt;=6,HOUR(B3202)&lt;18),"Day Shift","Night Shift")</f>
        <v/>
      </c>
      <c r="F3202" s="11">
        <f>INT(B3202)</f>
        <v/>
      </c>
      <c r="G3202" s="11">
        <f>INT(C3202)</f>
        <v/>
      </c>
    </row>
    <row r="3203">
      <c r="A3203" s="7" t="inlineStr">
        <is>
          <t>EXD98</t>
        </is>
      </c>
      <c r="B3203" s="8" t="n">
        <v>46085.97517361111</v>
      </c>
      <c r="C3203" s="8" t="n">
        <v>46086.25</v>
      </c>
      <c r="D3203" s="9">
        <f>(C3203-B3203)*24</f>
        <v/>
      </c>
      <c r="E3203" s="10">
        <f>IF(AND(HOUR(B3203)&gt;=6,HOUR(B3203)&lt;18),"Day Shift","Night Shift")</f>
        <v/>
      </c>
      <c r="F3203" s="11">
        <f>INT(B3203)</f>
        <v/>
      </c>
      <c r="G3203" s="11">
        <f>INT(C3203)</f>
        <v/>
      </c>
    </row>
    <row r="3204">
      <c r="A3204" s="2" t="inlineStr">
        <is>
          <t>EXD98</t>
        </is>
      </c>
      <c r="B3204" s="3" t="n">
        <v>46086.25</v>
      </c>
      <c r="C3204" s="3" t="n">
        <v>46086.51510416667</v>
      </c>
      <c r="D3204" s="4">
        <f>(C3204-B3204)*24</f>
        <v/>
      </c>
      <c r="E3204" s="5">
        <f>IF(AND(HOUR(B3204)&gt;=6,HOUR(B3204)&lt;18),"Day Shift","Night Shift")</f>
        <v/>
      </c>
      <c r="F3204" s="6">
        <f>INT(B3204)</f>
        <v/>
      </c>
      <c r="G3204" s="6">
        <f>INT(C3204)</f>
        <v/>
      </c>
    </row>
    <row r="3205">
      <c r="A3205" s="7" t="inlineStr">
        <is>
          <t>EXD101</t>
        </is>
      </c>
      <c r="B3205" s="8" t="n">
        <v>46085.9952662037</v>
      </c>
      <c r="C3205" s="8" t="n">
        <v>46086.25</v>
      </c>
      <c r="D3205" s="9">
        <f>(C3205-B3205)*24</f>
        <v/>
      </c>
      <c r="E3205" s="10">
        <f>IF(AND(HOUR(B3205)&gt;=6,HOUR(B3205)&lt;18),"Day Shift","Night Shift")</f>
        <v/>
      </c>
      <c r="F3205" s="11">
        <f>INT(B3205)</f>
        <v/>
      </c>
      <c r="G3205" s="11">
        <f>INT(C3205)</f>
        <v/>
      </c>
    </row>
    <row r="3206">
      <c r="A3206" s="2" t="inlineStr">
        <is>
          <t>EXD101</t>
        </is>
      </c>
      <c r="B3206" s="3" t="n">
        <v>46086.25</v>
      </c>
      <c r="C3206" s="3" t="n">
        <v>46086.29423611111</v>
      </c>
      <c r="D3206" s="4">
        <f>(C3206-B3206)*24</f>
        <v/>
      </c>
      <c r="E3206" s="5">
        <f>IF(AND(HOUR(B3206)&gt;=6,HOUR(B3206)&lt;18),"Day Shift","Night Shift")</f>
        <v/>
      </c>
      <c r="F3206" s="6">
        <f>INT(B3206)</f>
        <v/>
      </c>
      <c r="G3206" s="6">
        <f>INT(C3206)</f>
        <v/>
      </c>
    </row>
    <row r="3207">
      <c r="A3207" s="7" t="inlineStr">
        <is>
          <t>EXD100</t>
        </is>
      </c>
      <c r="B3207" s="8" t="n">
        <v>46086.00079861111</v>
      </c>
      <c r="C3207" s="8" t="n">
        <v>46086.25</v>
      </c>
      <c r="D3207" s="9">
        <f>(C3207-B3207)*24</f>
        <v/>
      </c>
      <c r="E3207" s="10">
        <f>IF(AND(HOUR(B3207)&gt;=6,HOUR(B3207)&lt;18),"Day Shift","Night Shift")</f>
        <v/>
      </c>
      <c r="F3207" s="11">
        <f>INT(B3207)</f>
        <v/>
      </c>
      <c r="G3207" s="11">
        <f>INT(C3207)</f>
        <v/>
      </c>
    </row>
    <row r="3208">
      <c r="A3208" s="2" t="inlineStr">
        <is>
          <t>EXD100</t>
        </is>
      </c>
      <c r="B3208" s="3" t="n">
        <v>46086.25</v>
      </c>
      <c r="C3208" s="3" t="n">
        <v>46086.50429398148</v>
      </c>
      <c r="D3208" s="4">
        <f>(C3208-B3208)*24</f>
        <v/>
      </c>
      <c r="E3208" s="5">
        <f>IF(AND(HOUR(B3208)&gt;=6,HOUR(B3208)&lt;18),"Day Shift","Night Shift")</f>
        <v/>
      </c>
      <c r="F3208" s="6">
        <f>INT(B3208)</f>
        <v/>
      </c>
      <c r="G3208" s="6">
        <f>INT(C3208)</f>
        <v/>
      </c>
    </row>
    <row r="3209">
      <c r="A3209" s="7" t="inlineStr">
        <is>
          <t>DRE08</t>
        </is>
      </c>
      <c r="B3209" s="8" t="n">
        <v>46086.03047453704</v>
      </c>
      <c r="C3209" s="8" t="n">
        <v>46086.23894675926</v>
      </c>
      <c r="D3209" s="9">
        <f>(C3209-B3209)*24</f>
        <v/>
      </c>
      <c r="E3209" s="10">
        <f>IF(AND(HOUR(B3209)&gt;=6,HOUR(B3209)&lt;18),"Day Shift","Night Shift")</f>
        <v/>
      </c>
      <c r="F3209" s="11">
        <f>INT(B3209)</f>
        <v/>
      </c>
      <c r="G3209" s="11">
        <f>INT(C3209)</f>
        <v/>
      </c>
    </row>
    <row r="3210">
      <c r="A3210" s="7" t="inlineStr">
        <is>
          <t>EXD61</t>
        </is>
      </c>
      <c r="B3210" s="8" t="n">
        <v>46086.03055555555</v>
      </c>
      <c r="C3210" s="8" t="n">
        <v>46086.25</v>
      </c>
      <c r="D3210" s="9">
        <f>(C3210-B3210)*24</f>
        <v/>
      </c>
      <c r="E3210" s="10">
        <f>IF(AND(HOUR(B3210)&gt;=6,HOUR(B3210)&lt;18),"Day Shift","Night Shift")</f>
        <v/>
      </c>
      <c r="F3210" s="11">
        <f>INT(B3210)</f>
        <v/>
      </c>
      <c r="G3210" s="11">
        <f>INT(C3210)</f>
        <v/>
      </c>
    </row>
    <row r="3211">
      <c r="A3211" s="2" t="inlineStr">
        <is>
          <t>EXD61</t>
        </is>
      </c>
      <c r="B3211" s="3" t="n">
        <v>46086.25</v>
      </c>
      <c r="C3211" s="3" t="n">
        <v>46086.55608796296</v>
      </c>
      <c r="D3211" s="4">
        <f>(C3211-B3211)*24</f>
        <v/>
      </c>
      <c r="E3211" s="5">
        <f>IF(AND(HOUR(B3211)&gt;=6,HOUR(B3211)&lt;18),"Day Shift","Night Shift")</f>
        <v/>
      </c>
      <c r="F3211" s="6">
        <f>INT(B3211)</f>
        <v/>
      </c>
      <c r="G3211" s="6">
        <f>INT(C3211)</f>
        <v/>
      </c>
    </row>
    <row r="3212">
      <c r="A3212" s="7" t="inlineStr">
        <is>
          <t>DRE09</t>
        </is>
      </c>
      <c r="B3212" s="8" t="n">
        <v>46086.03751157408</v>
      </c>
      <c r="C3212" s="8" t="n">
        <v>46086.25</v>
      </c>
      <c r="D3212" s="9">
        <f>(C3212-B3212)*24</f>
        <v/>
      </c>
      <c r="E3212" s="10">
        <f>IF(AND(HOUR(B3212)&gt;=6,HOUR(B3212)&lt;18),"Day Shift","Night Shift")</f>
        <v/>
      </c>
      <c r="F3212" s="11">
        <f>INT(B3212)</f>
        <v/>
      </c>
      <c r="G3212" s="11">
        <f>INT(C3212)</f>
        <v/>
      </c>
    </row>
    <row r="3213">
      <c r="A3213" s="2" t="inlineStr">
        <is>
          <t>DRE09</t>
        </is>
      </c>
      <c r="B3213" s="3" t="n">
        <v>46086.25</v>
      </c>
      <c r="C3213" s="3" t="n">
        <v>46086.75</v>
      </c>
      <c r="D3213" s="4">
        <f>(C3213-B3213)*24</f>
        <v/>
      </c>
      <c r="E3213" s="5">
        <f>IF(AND(HOUR(B3213)&gt;=6,HOUR(B3213)&lt;18),"Day Shift","Night Shift")</f>
        <v/>
      </c>
      <c r="F3213" s="6">
        <f>INT(B3213)</f>
        <v/>
      </c>
      <c r="G3213" s="6">
        <f>INT(C3213)</f>
        <v/>
      </c>
    </row>
    <row r="3214">
      <c r="A3214" s="7" t="inlineStr">
        <is>
          <t>DRE09</t>
        </is>
      </c>
      <c r="B3214" s="8" t="n">
        <v>46086.75</v>
      </c>
      <c r="C3214" s="8" t="n">
        <v>46087.25</v>
      </c>
      <c r="D3214" s="9">
        <f>(C3214-B3214)*24</f>
        <v/>
      </c>
      <c r="E3214" s="10">
        <f>IF(AND(HOUR(B3214)&gt;=6,HOUR(B3214)&lt;18),"Day Shift","Night Shift")</f>
        <v/>
      </c>
      <c r="F3214" s="11">
        <f>INT(B3214)</f>
        <v/>
      </c>
      <c r="G3214" s="11">
        <f>INT(C3214)</f>
        <v/>
      </c>
    </row>
    <row r="3215">
      <c r="A3215" s="2" t="inlineStr">
        <is>
          <t>DRE09</t>
        </is>
      </c>
      <c r="B3215" s="3" t="n">
        <v>46087.25</v>
      </c>
      <c r="C3215" s="3" t="n">
        <v>46087.75</v>
      </c>
      <c r="D3215" s="4">
        <f>(C3215-B3215)*24</f>
        <v/>
      </c>
      <c r="E3215" s="5">
        <f>IF(AND(HOUR(B3215)&gt;=6,HOUR(B3215)&lt;18),"Day Shift","Night Shift")</f>
        <v/>
      </c>
      <c r="F3215" s="6">
        <f>INT(B3215)</f>
        <v/>
      </c>
      <c r="G3215" s="6">
        <f>INT(C3215)</f>
        <v/>
      </c>
    </row>
    <row r="3216">
      <c r="A3216" s="7" t="inlineStr">
        <is>
          <t>DRE09</t>
        </is>
      </c>
      <c r="B3216" s="8" t="n">
        <v>46087.75</v>
      </c>
      <c r="C3216" s="8" t="n">
        <v>46088.25</v>
      </c>
      <c r="D3216" s="9">
        <f>(C3216-B3216)*24</f>
        <v/>
      </c>
      <c r="E3216" s="10">
        <f>IF(AND(HOUR(B3216)&gt;=6,HOUR(B3216)&lt;18),"Day Shift","Night Shift")</f>
        <v/>
      </c>
      <c r="F3216" s="11">
        <f>INT(B3216)</f>
        <v/>
      </c>
      <c r="G3216" s="11">
        <f>INT(C3216)</f>
        <v/>
      </c>
    </row>
    <row r="3217">
      <c r="A3217" s="2" t="inlineStr">
        <is>
          <t>DRE09</t>
        </is>
      </c>
      <c r="B3217" s="3" t="n">
        <v>46088.25</v>
      </c>
      <c r="C3217" s="3" t="n">
        <v>46088.75</v>
      </c>
      <c r="D3217" s="4">
        <f>(C3217-B3217)*24</f>
        <v/>
      </c>
      <c r="E3217" s="5">
        <f>IF(AND(HOUR(B3217)&gt;=6,HOUR(B3217)&lt;18),"Day Shift","Night Shift")</f>
        <v/>
      </c>
      <c r="F3217" s="6">
        <f>INT(B3217)</f>
        <v/>
      </c>
      <c r="G3217" s="6">
        <f>INT(C3217)</f>
        <v/>
      </c>
    </row>
    <row r="3218">
      <c r="A3218" s="7" t="inlineStr">
        <is>
          <t>DRE09</t>
        </is>
      </c>
      <c r="B3218" s="8" t="n">
        <v>46088.75</v>
      </c>
      <c r="C3218" s="8" t="n">
        <v>46089.25</v>
      </c>
      <c r="D3218" s="9">
        <f>(C3218-B3218)*24</f>
        <v/>
      </c>
      <c r="E3218" s="10">
        <f>IF(AND(HOUR(B3218)&gt;=6,HOUR(B3218)&lt;18),"Day Shift","Night Shift")</f>
        <v/>
      </c>
      <c r="F3218" s="11">
        <f>INT(B3218)</f>
        <v/>
      </c>
      <c r="G3218" s="11">
        <f>INT(C3218)</f>
        <v/>
      </c>
    </row>
    <row r="3219">
      <c r="A3219" s="2" t="inlineStr">
        <is>
          <t>DRE09</t>
        </is>
      </c>
      <c r="B3219" s="3" t="n">
        <v>46089.25</v>
      </c>
      <c r="C3219" s="3" t="n">
        <v>46089.75</v>
      </c>
      <c r="D3219" s="4">
        <f>(C3219-B3219)*24</f>
        <v/>
      </c>
      <c r="E3219" s="5">
        <f>IF(AND(HOUR(B3219)&gt;=6,HOUR(B3219)&lt;18),"Day Shift","Night Shift")</f>
        <v/>
      </c>
      <c r="F3219" s="6">
        <f>INT(B3219)</f>
        <v/>
      </c>
      <c r="G3219" s="6">
        <f>INT(C3219)</f>
        <v/>
      </c>
    </row>
    <row r="3220">
      <c r="A3220" s="7" t="inlineStr">
        <is>
          <t>DRE09</t>
        </is>
      </c>
      <c r="B3220" s="8" t="n">
        <v>46089.75</v>
      </c>
      <c r="C3220" s="8" t="n">
        <v>46090.25</v>
      </c>
      <c r="D3220" s="9">
        <f>(C3220-B3220)*24</f>
        <v/>
      </c>
      <c r="E3220" s="10">
        <f>IF(AND(HOUR(B3220)&gt;=6,HOUR(B3220)&lt;18),"Day Shift","Night Shift")</f>
        <v/>
      </c>
      <c r="F3220" s="11">
        <f>INT(B3220)</f>
        <v/>
      </c>
      <c r="G3220" s="11">
        <f>INT(C3220)</f>
        <v/>
      </c>
    </row>
    <row r="3221">
      <c r="A3221" s="2" t="inlineStr">
        <is>
          <t>DRE09</t>
        </is>
      </c>
      <c r="B3221" s="3" t="n">
        <v>46090.25</v>
      </c>
      <c r="C3221" s="3" t="n">
        <v>46090.75</v>
      </c>
      <c r="D3221" s="4">
        <f>(C3221-B3221)*24</f>
        <v/>
      </c>
      <c r="E3221" s="5">
        <f>IF(AND(HOUR(B3221)&gt;=6,HOUR(B3221)&lt;18),"Day Shift","Night Shift")</f>
        <v/>
      </c>
      <c r="F3221" s="6">
        <f>INT(B3221)</f>
        <v/>
      </c>
      <c r="G3221" s="6">
        <f>INT(C3221)</f>
        <v/>
      </c>
    </row>
    <row r="3222">
      <c r="A3222" s="7" t="inlineStr">
        <is>
          <t>DRE09</t>
        </is>
      </c>
      <c r="B3222" s="8" t="n">
        <v>46090.75</v>
      </c>
      <c r="C3222" s="8" t="n">
        <v>46091.25</v>
      </c>
      <c r="D3222" s="9">
        <f>(C3222-B3222)*24</f>
        <v/>
      </c>
      <c r="E3222" s="10">
        <f>IF(AND(HOUR(B3222)&gt;=6,HOUR(B3222)&lt;18),"Day Shift","Night Shift")</f>
        <v/>
      </c>
      <c r="F3222" s="11">
        <f>INT(B3222)</f>
        <v/>
      </c>
      <c r="G3222" s="11">
        <f>INT(C3222)</f>
        <v/>
      </c>
    </row>
    <row r="3223">
      <c r="A3223" s="2" t="inlineStr">
        <is>
          <t>DRE09</t>
        </is>
      </c>
      <c r="B3223" s="3" t="n">
        <v>46091.25</v>
      </c>
      <c r="C3223" s="3" t="n">
        <v>46091.75</v>
      </c>
      <c r="D3223" s="4">
        <f>(C3223-B3223)*24</f>
        <v/>
      </c>
      <c r="E3223" s="5">
        <f>IF(AND(HOUR(B3223)&gt;=6,HOUR(B3223)&lt;18),"Day Shift","Night Shift")</f>
        <v/>
      </c>
      <c r="F3223" s="6">
        <f>INT(B3223)</f>
        <v/>
      </c>
      <c r="G3223" s="6">
        <f>INT(C3223)</f>
        <v/>
      </c>
    </row>
    <row r="3224">
      <c r="A3224" s="7" t="inlineStr">
        <is>
          <t>DRE09</t>
        </is>
      </c>
      <c r="B3224" s="8" t="n">
        <v>46091.75</v>
      </c>
      <c r="C3224" s="8" t="n">
        <v>46092.25</v>
      </c>
      <c r="D3224" s="9">
        <f>(C3224-B3224)*24</f>
        <v/>
      </c>
      <c r="E3224" s="10">
        <f>IF(AND(HOUR(B3224)&gt;=6,HOUR(B3224)&lt;18),"Day Shift","Night Shift")</f>
        <v/>
      </c>
      <c r="F3224" s="11">
        <f>INT(B3224)</f>
        <v/>
      </c>
      <c r="G3224" s="11">
        <f>INT(C3224)</f>
        <v/>
      </c>
    </row>
    <row r="3225">
      <c r="A3225" s="2" t="inlineStr">
        <is>
          <t>DRE09</t>
        </is>
      </c>
      <c r="B3225" s="3" t="n">
        <v>46092.25</v>
      </c>
      <c r="C3225" s="3" t="n">
        <v>46092.75</v>
      </c>
      <c r="D3225" s="4">
        <f>(C3225-B3225)*24</f>
        <v/>
      </c>
      <c r="E3225" s="5">
        <f>IF(AND(HOUR(B3225)&gt;=6,HOUR(B3225)&lt;18),"Day Shift","Night Shift")</f>
        <v/>
      </c>
      <c r="F3225" s="6">
        <f>INT(B3225)</f>
        <v/>
      </c>
      <c r="G3225" s="6">
        <f>INT(C3225)</f>
        <v/>
      </c>
    </row>
    <row r="3226">
      <c r="A3226" s="7" t="inlineStr">
        <is>
          <t>DRE09</t>
        </is>
      </c>
      <c r="B3226" s="8" t="n">
        <v>46092.75</v>
      </c>
      <c r="C3226" s="8" t="n">
        <v>46093.25</v>
      </c>
      <c r="D3226" s="9">
        <f>(C3226-B3226)*24</f>
        <v/>
      </c>
      <c r="E3226" s="10">
        <f>IF(AND(HOUR(B3226)&gt;=6,HOUR(B3226)&lt;18),"Day Shift","Night Shift")</f>
        <v/>
      </c>
      <c r="F3226" s="11">
        <f>INT(B3226)</f>
        <v/>
      </c>
      <c r="G3226" s="11">
        <f>INT(C3226)</f>
        <v/>
      </c>
    </row>
    <row r="3227">
      <c r="A3227" s="2" t="inlineStr">
        <is>
          <t>DRE09</t>
        </is>
      </c>
      <c r="B3227" s="3" t="n">
        <v>46093.25</v>
      </c>
      <c r="C3227" s="3" t="n">
        <v>46093.75</v>
      </c>
      <c r="D3227" s="4">
        <f>(C3227-B3227)*24</f>
        <v/>
      </c>
      <c r="E3227" s="5">
        <f>IF(AND(HOUR(B3227)&gt;=6,HOUR(B3227)&lt;18),"Day Shift","Night Shift")</f>
        <v/>
      </c>
      <c r="F3227" s="6">
        <f>INT(B3227)</f>
        <v/>
      </c>
      <c r="G3227" s="6">
        <f>INT(C3227)</f>
        <v/>
      </c>
    </row>
    <row r="3228">
      <c r="A3228" s="7" t="inlineStr">
        <is>
          <t>DRE09</t>
        </is>
      </c>
      <c r="B3228" s="8" t="n">
        <v>46093.75</v>
      </c>
      <c r="C3228" s="8" t="n">
        <v>46094.25</v>
      </c>
      <c r="D3228" s="9">
        <f>(C3228-B3228)*24</f>
        <v/>
      </c>
      <c r="E3228" s="10">
        <f>IF(AND(HOUR(B3228)&gt;=6,HOUR(B3228)&lt;18),"Day Shift","Night Shift")</f>
        <v/>
      </c>
      <c r="F3228" s="11">
        <f>INT(B3228)</f>
        <v/>
      </c>
      <c r="G3228" s="11">
        <f>INT(C3228)</f>
        <v/>
      </c>
    </row>
    <row r="3229">
      <c r="A3229" s="2" t="inlineStr">
        <is>
          <t>DRE09</t>
        </is>
      </c>
      <c r="B3229" s="3" t="n">
        <v>46094.25</v>
      </c>
      <c r="C3229" s="3" t="n">
        <v>46094.75</v>
      </c>
      <c r="D3229" s="4">
        <f>(C3229-B3229)*24</f>
        <v/>
      </c>
      <c r="E3229" s="5">
        <f>IF(AND(HOUR(B3229)&gt;=6,HOUR(B3229)&lt;18),"Day Shift","Night Shift")</f>
        <v/>
      </c>
      <c r="F3229" s="6">
        <f>INT(B3229)</f>
        <v/>
      </c>
      <c r="G3229" s="6">
        <f>INT(C3229)</f>
        <v/>
      </c>
    </row>
    <row r="3230">
      <c r="A3230" s="7" t="inlineStr">
        <is>
          <t>DRE09</t>
        </is>
      </c>
      <c r="B3230" s="8" t="n">
        <v>46094.75</v>
      </c>
      <c r="C3230" s="8" t="n">
        <v>46095.25</v>
      </c>
      <c r="D3230" s="9">
        <f>(C3230-B3230)*24</f>
        <v/>
      </c>
      <c r="E3230" s="10">
        <f>IF(AND(HOUR(B3230)&gt;=6,HOUR(B3230)&lt;18),"Day Shift","Night Shift")</f>
        <v/>
      </c>
      <c r="F3230" s="11">
        <f>INT(B3230)</f>
        <v/>
      </c>
      <c r="G3230" s="11">
        <f>INT(C3230)</f>
        <v/>
      </c>
    </row>
    <row r="3231">
      <c r="A3231" s="2" t="inlineStr">
        <is>
          <t>DRE09</t>
        </is>
      </c>
      <c r="B3231" s="3" t="n">
        <v>46095.25</v>
      </c>
      <c r="C3231" s="3" t="n">
        <v>46095.75</v>
      </c>
      <c r="D3231" s="4">
        <f>(C3231-B3231)*24</f>
        <v/>
      </c>
      <c r="E3231" s="5">
        <f>IF(AND(HOUR(B3231)&gt;=6,HOUR(B3231)&lt;18),"Day Shift","Night Shift")</f>
        <v/>
      </c>
      <c r="F3231" s="6">
        <f>INT(B3231)</f>
        <v/>
      </c>
      <c r="G3231" s="6">
        <f>INT(C3231)</f>
        <v/>
      </c>
    </row>
    <row r="3232">
      <c r="A3232" s="7" t="inlineStr">
        <is>
          <t>DRE09</t>
        </is>
      </c>
      <c r="B3232" s="8" t="n">
        <v>46095.75</v>
      </c>
      <c r="C3232" s="8" t="n">
        <v>46096.12424768518</v>
      </c>
      <c r="D3232" s="9">
        <f>(C3232-B3232)*24</f>
        <v/>
      </c>
      <c r="E3232" s="10">
        <f>IF(AND(HOUR(B3232)&gt;=6,HOUR(B3232)&lt;18),"Day Shift","Night Shift")</f>
        <v/>
      </c>
      <c r="F3232" s="11">
        <f>INT(B3232)</f>
        <v/>
      </c>
      <c r="G3232" s="11">
        <f>INT(C3232)</f>
        <v/>
      </c>
    </row>
    <row r="3233">
      <c r="A3233" s="7" t="inlineStr">
        <is>
          <t>EDD2541;Sprint 1</t>
        </is>
      </c>
      <c r="B3233" s="8" t="n">
        <v>46086.18150462963</v>
      </c>
      <c r="C3233" s="8" t="n">
        <v>46086.25</v>
      </c>
      <c r="D3233" s="9">
        <f>(C3233-B3233)*24</f>
        <v/>
      </c>
      <c r="E3233" s="10">
        <f>IF(AND(HOUR(B3233)&gt;=6,HOUR(B3233)&lt;18),"Day Shift","Night Shift")</f>
        <v/>
      </c>
      <c r="F3233" s="11">
        <f>INT(B3233)</f>
        <v/>
      </c>
      <c r="G3233" s="11">
        <f>INT(C3233)</f>
        <v/>
      </c>
    </row>
    <row r="3234">
      <c r="A3234" s="2" t="inlineStr">
        <is>
          <t>EDD2541;Sprint 1</t>
        </is>
      </c>
      <c r="B3234" s="3" t="n">
        <v>46086.25</v>
      </c>
      <c r="C3234" s="3" t="n">
        <v>46086.53344907407</v>
      </c>
      <c r="D3234" s="4">
        <f>(C3234-B3234)*24</f>
        <v/>
      </c>
      <c r="E3234" s="5">
        <f>IF(AND(HOUR(B3234)&gt;=6,HOUR(B3234)&lt;18),"Day Shift","Night Shift")</f>
        <v/>
      </c>
      <c r="F3234" s="6">
        <f>INT(B3234)</f>
        <v/>
      </c>
      <c r="G3234" s="6">
        <f>INT(C3234)</f>
        <v/>
      </c>
    </row>
    <row r="3235">
      <c r="A3235" s="7" t="inlineStr">
        <is>
          <t>EXD73</t>
        </is>
      </c>
      <c r="B3235" s="8" t="n">
        <v>46086.21733796296</v>
      </c>
      <c r="C3235" s="8" t="n">
        <v>46086.25</v>
      </c>
      <c r="D3235" s="9">
        <f>(C3235-B3235)*24</f>
        <v/>
      </c>
      <c r="E3235" s="10">
        <f>IF(AND(HOUR(B3235)&gt;=6,HOUR(B3235)&lt;18),"Day Shift","Night Shift")</f>
        <v/>
      </c>
      <c r="F3235" s="11">
        <f>INT(B3235)</f>
        <v/>
      </c>
      <c r="G3235" s="11">
        <f>INT(C3235)</f>
        <v/>
      </c>
    </row>
    <row r="3236">
      <c r="A3236" s="2" t="inlineStr">
        <is>
          <t>EXD73</t>
        </is>
      </c>
      <c r="B3236" s="3" t="n">
        <v>46086.25</v>
      </c>
      <c r="C3236" s="3" t="n">
        <v>46086.43458333334</v>
      </c>
      <c r="D3236" s="4">
        <f>(C3236-B3236)*24</f>
        <v/>
      </c>
      <c r="E3236" s="5">
        <f>IF(AND(HOUR(B3236)&gt;=6,HOUR(B3236)&lt;18),"Day Shift","Night Shift")</f>
        <v/>
      </c>
      <c r="F3236" s="6">
        <f>INT(B3236)</f>
        <v/>
      </c>
      <c r="G3236" s="6">
        <f>INT(C3236)</f>
        <v/>
      </c>
    </row>
    <row r="3237">
      <c r="A3237" s="7" t="inlineStr">
        <is>
          <t>DRE08</t>
        </is>
      </c>
      <c r="B3237" s="8" t="n">
        <v>46086.23894675926</v>
      </c>
      <c r="C3237" s="8" t="n">
        <v>46086.25</v>
      </c>
      <c r="D3237" s="9">
        <f>(C3237-B3237)*24</f>
        <v/>
      </c>
      <c r="E3237" s="10">
        <f>IF(AND(HOUR(B3237)&gt;=6,HOUR(B3237)&lt;18),"Day Shift","Night Shift")</f>
        <v/>
      </c>
      <c r="F3237" s="11">
        <f>INT(B3237)</f>
        <v/>
      </c>
      <c r="G3237" s="11">
        <f>INT(C3237)</f>
        <v/>
      </c>
    </row>
    <row r="3238">
      <c r="A3238" s="2" t="inlineStr">
        <is>
          <t>DRE08</t>
        </is>
      </c>
      <c r="B3238" s="3" t="n">
        <v>46086.25</v>
      </c>
      <c r="C3238" s="3" t="n">
        <v>46086.75</v>
      </c>
      <c r="D3238" s="4">
        <f>(C3238-B3238)*24</f>
        <v/>
      </c>
      <c r="E3238" s="5">
        <f>IF(AND(HOUR(B3238)&gt;=6,HOUR(B3238)&lt;18),"Day Shift","Night Shift")</f>
        <v/>
      </c>
      <c r="F3238" s="6">
        <f>INT(B3238)</f>
        <v/>
      </c>
      <c r="G3238" s="6">
        <f>INT(C3238)</f>
        <v/>
      </c>
    </row>
    <row r="3239">
      <c r="A3239" s="7" t="inlineStr">
        <is>
          <t>DRE08</t>
        </is>
      </c>
      <c r="B3239" s="8" t="n">
        <v>46086.75</v>
      </c>
      <c r="C3239" s="8" t="n">
        <v>46086.86175925926</v>
      </c>
      <c r="D3239" s="9">
        <f>(C3239-B3239)*24</f>
        <v/>
      </c>
      <c r="E3239" s="10">
        <f>IF(AND(HOUR(B3239)&gt;=6,HOUR(B3239)&lt;18),"Day Shift","Night Shift")</f>
        <v/>
      </c>
      <c r="F3239" s="11">
        <f>INT(B3239)</f>
        <v/>
      </c>
      <c r="G3239" s="11">
        <f>INT(C3239)</f>
        <v/>
      </c>
    </row>
    <row r="3240">
      <c r="A3240" s="2" t="inlineStr">
        <is>
          <t>EXD52</t>
        </is>
      </c>
      <c r="B3240" s="3" t="n">
        <v>46086.2859837963</v>
      </c>
      <c r="C3240" s="3" t="n">
        <v>46086.75</v>
      </c>
      <c r="D3240" s="4">
        <f>(C3240-B3240)*24</f>
        <v/>
      </c>
      <c r="E3240" s="5">
        <f>IF(AND(HOUR(B3240)&gt;=6,HOUR(B3240)&lt;18),"Day Shift","Night Shift")</f>
        <v/>
      </c>
      <c r="F3240" s="6">
        <f>INT(B3240)</f>
        <v/>
      </c>
      <c r="G3240" s="6">
        <f>INT(C3240)</f>
        <v/>
      </c>
    </row>
    <row r="3241">
      <c r="A3241" s="7" t="inlineStr">
        <is>
          <t>EXD52</t>
        </is>
      </c>
      <c r="B3241" s="8" t="n">
        <v>46086.75</v>
      </c>
      <c r="C3241" s="8" t="n">
        <v>46087.03528935185</v>
      </c>
      <c r="D3241" s="9">
        <f>(C3241-B3241)*24</f>
        <v/>
      </c>
      <c r="E3241" s="10">
        <f>IF(AND(HOUR(B3241)&gt;=6,HOUR(B3241)&lt;18),"Day Shift","Night Shift")</f>
        <v/>
      </c>
      <c r="F3241" s="11">
        <f>INT(B3241)</f>
        <v/>
      </c>
      <c r="G3241" s="11">
        <f>INT(C3241)</f>
        <v/>
      </c>
    </row>
    <row r="3242">
      <c r="A3242" s="2" t="inlineStr">
        <is>
          <t>Stag Drill</t>
        </is>
      </c>
      <c r="B3242" s="3" t="n">
        <v>46086.29871527778</v>
      </c>
      <c r="C3242" s="3" t="n">
        <v>46086.75</v>
      </c>
      <c r="D3242" s="4">
        <f>(C3242-B3242)*24</f>
        <v/>
      </c>
      <c r="E3242" s="5">
        <f>IF(AND(HOUR(B3242)&gt;=6,HOUR(B3242)&lt;18),"Day Shift","Night Shift")</f>
        <v/>
      </c>
      <c r="F3242" s="6">
        <f>INT(B3242)</f>
        <v/>
      </c>
      <c r="G3242" s="6">
        <f>INT(C3242)</f>
        <v/>
      </c>
    </row>
    <row r="3243">
      <c r="A3243" s="7" t="inlineStr">
        <is>
          <t>Stag Drill</t>
        </is>
      </c>
      <c r="B3243" s="8" t="n">
        <v>46086.75</v>
      </c>
      <c r="C3243" s="8" t="n">
        <v>46086.98107638889</v>
      </c>
      <c r="D3243" s="9">
        <f>(C3243-B3243)*24</f>
        <v/>
      </c>
      <c r="E3243" s="10">
        <f>IF(AND(HOUR(B3243)&gt;=6,HOUR(B3243)&lt;18),"Day Shift","Night Shift")</f>
        <v/>
      </c>
      <c r="F3243" s="11">
        <f>INT(B3243)</f>
        <v/>
      </c>
      <c r="G3243" s="11">
        <f>INT(C3243)</f>
        <v/>
      </c>
    </row>
    <row r="3244">
      <c r="A3244" s="2" t="inlineStr">
        <is>
          <t>EXD409</t>
        </is>
      </c>
      <c r="B3244" s="3" t="n">
        <v>46086.32479166667</v>
      </c>
      <c r="C3244" s="3" t="n">
        <v>46086.75</v>
      </c>
      <c r="D3244" s="4">
        <f>(C3244-B3244)*24</f>
        <v/>
      </c>
      <c r="E3244" s="5">
        <f>IF(AND(HOUR(B3244)&gt;=6,HOUR(B3244)&lt;18),"Day Shift","Night Shift")</f>
        <v/>
      </c>
      <c r="F3244" s="6">
        <f>INT(B3244)</f>
        <v/>
      </c>
      <c r="G3244" s="6">
        <f>INT(C3244)</f>
        <v/>
      </c>
    </row>
    <row r="3245">
      <c r="A3245" s="7" t="inlineStr">
        <is>
          <t>EXD409</t>
        </is>
      </c>
      <c r="B3245" s="8" t="n">
        <v>46086.75</v>
      </c>
      <c r="C3245" s="8" t="n">
        <v>46086.93501157407</v>
      </c>
      <c r="D3245" s="9">
        <f>(C3245-B3245)*24</f>
        <v/>
      </c>
      <c r="E3245" s="10">
        <f>IF(AND(HOUR(B3245)&gt;=6,HOUR(B3245)&lt;18),"Day Shift","Night Shift")</f>
        <v/>
      </c>
      <c r="F3245" s="11">
        <f>INT(B3245)</f>
        <v/>
      </c>
      <c r="G3245" s="11">
        <f>INT(C3245)</f>
        <v/>
      </c>
    </row>
    <row r="3246">
      <c r="A3246" s="2" t="inlineStr">
        <is>
          <t>EXD60</t>
        </is>
      </c>
      <c r="B3246" s="3" t="n">
        <v>46086.41525462963</v>
      </c>
      <c r="C3246" s="3" t="n">
        <v>46086.67512731482</v>
      </c>
      <c r="D3246" s="4">
        <f>(C3246-B3246)*24</f>
        <v/>
      </c>
      <c r="E3246" s="5">
        <f>IF(AND(HOUR(B3246)&gt;=6,HOUR(B3246)&lt;18),"Day Shift","Night Shift")</f>
        <v/>
      </c>
      <c r="F3246" s="6">
        <f>INT(B3246)</f>
        <v/>
      </c>
      <c r="G3246" s="6">
        <f>INT(C3246)</f>
        <v/>
      </c>
    </row>
    <row r="3247">
      <c r="A3247" s="2" t="inlineStr">
        <is>
          <t>EXD101</t>
        </is>
      </c>
      <c r="B3247" s="3" t="n">
        <v>46086.42373842592</v>
      </c>
      <c r="C3247" s="3" t="n">
        <v>46086.75</v>
      </c>
      <c r="D3247" s="4">
        <f>(C3247-B3247)*24</f>
        <v/>
      </c>
      <c r="E3247" s="5">
        <f>IF(AND(HOUR(B3247)&gt;=6,HOUR(B3247)&lt;18),"Day Shift","Night Shift")</f>
        <v/>
      </c>
      <c r="F3247" s="6">
        <f>INT(B3247)</f>
        <v/>
      </c>
      <c r="G3247" s="6">
        <f>INT(C3247)</f>
        <v/>
      </c>
    </row>
    <row r="3248">
      <c r="A3248" s="7" t="inlineStr">
        <is>
          <t>EXD101</t>
        </is>
      </c>
      <c r="B3248" s="8" t="n">
        <v>46086.75</v>
      </c>
      <c r="C3248" s="8" t="n">
        <v>46087.25</v>
      </c>
      <c r="D3248" s="9">
        <f>(C3248-B3248)*24</f>
        <v/>
      </c>
      <c r="E3248" s="10">
        <f>IF(AND(HOUR(B3248)&gt;=6,HOUR(B3248)&lt;18),"Day Shift","Night Shift")</f>
        <v/>
      </c>
      <c r="F3248" s="11">
        <f>INT(B3248)</f>
        <v/>
      </c>
      <c r="G3248" s="11">
        <f>INT(C3248)</f>
        <v/>
      </c>
    </row>
    <row r="3249">
      <c r="A3249" s="2" t="inlineStr">
        <is>
          <t>EXD101</t>
        </is>
      </c>
      <c r="B3249" s="3" t="n">
        <v>46087.25</v>
      </c>
      <c r="C3249" s="3" t="n">
        <v>46087.32454861111</v>
      </c>
      <c r="D3249" s="4">
        <f>(C3249-B3249)*24</f>
        <v/>
      </c>
      <c r="E3249" s="5">
        <f>IF(AND(HOUR(B3249)&gt;=6,HOUR(B3249)&lt;18),"Day Shift","Night Shift")</f>
        <v/>
      </c>
      <c r="F3249" s="6">
        <f>INT(B3249)</f>
        <v/>
      </c>
      <c r="G3249" s="6">
        <f>INT(C3249)</f>
        <v/>
      </c>
    </row>
    <row r="3250">
      <c r="A3250" s="2" t="inlineStr">
        <is>
          <t>EXD73</t>
        </is>
      </c>
      <c r="B3250" s="3" t="n">
        <v>46086.44869212963</v>
      </c>
      <c r="C3250" s="3" t="n">
        <v>46086.75</v>
      </c>
      <c r="D3250" s="4">
        <f>(C3250-B3250)*24</f>
        <v/>
      </c>
      <c r="E3250" s="5">
        <f>IF(AND(HOUR(B3250)&gt;=6,HOUR(B3250)&lt;18),"Day Shift","Night Shift")</f>
        <v/>
      </c>
      <c r="F3250" s="6">
        <f>INT(B3250)</f>
        <v/>
      </c>
      <c r="G3250" s="6">
        <f>INT(C3250)</f>
        <v/>
      </c>
    </row>
    <row r="3251">
      <c r="A3251" s="7" t="inlineStr">
        <is>
          <t>EXD73</t>
        </is>
      </c>
      <c r="B3251" s="8" t="n">
        <v>46086.75</v>
      </c>
      <c r="C3251" s="8" t="n">
        <v>46087.25</v>
      </c>
      <c r="D3251" s="9">
        <f>(C3251-B3251)*24</f>
        <v/>
      </c>
      <c r="E3251" s="10">
        <f>IF(AND(HOUR(B3251)&gt;=6,HOUR(B3251)&lt;18),"Day Shift","Night Shift")</f>
        <v/>
      </c>
      <c r="F3251" s="11">
        <f>INT(B3251)</f>
        <v/>
      </c>
      <c r="G3251" s="11">
        <f>INT(C3251)</f>
        <v/>
      </c>
    </row>
    <row r="3252">
      <c r="A3252" s="2" t="inlineStr">
        <is>
          <t>EXD73</t>
        </is>
      </c>
      <c r="B3252" s="3" t="n">
        <v>46087.25</v>
      </c>
      <c r="C3252" s="3" t="n">
        <v>46087.60600694444</v>
      </c>
      <c r="D3252" s="4">
        <f>(C3252-B3252)*24</f>
        <v/>
      </c>
      <c r="E3252" s="5">
        <f>IF(AND(HOUR(B3252)&gt;=6,HOUR(B3252)&lt;18),"Day Shift","Night Shift")</f>
        <v/>
      </c>
      <c r="F3252" s="6">
        <f>INT(B3252)</f>
        <v/>
      </c>
      <c r="G3252" s="6">
        <f>INT(C3252)</f>
        <v/>
      </c>
    </row>
    <row r="3253">
      <c r="A3253" s="2" t="inlineStr">
        <is>
          <t>Blast</t>
        </is>
      </c>
      <c r="B3253" s="3" t="n">
        <v>46086.45833333334</v>
      </c>
      <c r="C3253" s="3" t="n">
        <v>46086.45865740741</v>
      </c>
      <c r="D3253" s="4">
        <f>(C3253-B3253)*24</f>
        <v/>
      </c>
      <c r="E3253" s="5">
        <f>IF(AND(HOUR(B3253)&gt;=6,HOUR(B3253)&lt;18),"Day Shift","Night Shift")</f>
        <v/>
      </c>
      <c r="F3253" s="6">
        <f>INT(B3253)</f>
        <v/>
      </c>
      <c r="G3253" s="6">
        <f>INT(C3253)</f>
        <v/>
      </c>
    </row>
    <row r="3254">
      <c r="A3254" s="2" t="inlineStr">
        <is>
          <t>Blast</t>
        </is>
      </c>
      <c r="B3254" s="3" t="n">
        <v>46086.45865740741</v>
      </c>
      <c r="C3254" s="3" t="n">
        <v>46086.459375</v>
      </c>
      <c r="D3254" s="4">
        <f>(C3254-B3254)*24</f>
        <v/>
      </c>
      <c r="E3254" s="5">
        <f>IF(AND(HOUR(B3254)&gt;=6,HOUR(B3254)&lt;18),"Day Shift","Night Shift")</f>
        <v/>
      </c>
      <c r="F3254" s="6">
        <f>INT(B3254)</f>
        <v/>
      </c>
      <c r="G3254" s="6">
        <f>INT(C3254)</f>
        <v/>
      </c>
    </row>
    <row r="3255">
      <c r="A3255" s="2" t="inlineStr">
        <is>
          <t>Blast</t>
        </is>
      </c>
      <c r="B3255" s="3" t="n">
        <v>46086.459375</v>
      </c>
      <c r="C3255" s="3" t="n">
        <v>46086.46009259259</v>
      </c>
      <c r="D3255" s="4">
        <f>(C3255-B3255)*24</f>
        <v/>
      </c>
      <c r="E3255" s="5">
        <f>IF(AND(HOUR(B3255)&gt;=6,HOUR(B3255)&lt;18),"Day Shift","Night Shift")</f>
        <v/>
      </c>
      <c r="F3255" s="6">
        <f>INT(B3255)</f>
        <v/>
      </c>
      <c r="G3255" s="6">
        <f>INT(C3255)</f>
        <v/>
      </c>
    </row>
    <row r="3256">
      <c r="A3256" s="2" t="inlineStr">
        <is>
          <t>Blast</t>
        </is>
      </c>
      <c r="B3256" s="3" t="n">
        <v>46086.46009259259</v>
      </c>
      <c r="C3256" s="3" t="n">
        <v>46086.46082175926</v>
      </c>
      <c r="D3256" s="4">
        <f>(C3256-B3256)*24</f>
        <v/>
      </c>
      <c r="E3256" s="5">
        <f>IF(AND(HOUR(B3256)&gt;=6,HOUR(B3256)&lt;18),"Day Shift","Night Shift")</f>
        <v/>
      </c>
      <c r="F3256" s="6">
        <f>INT(B3256)</f>
        <v/>
      </c>
      <c r="G3256" s="6">
        <f>INT(C3256)</f>
        <v/>
      </c>
    </row>
    <row r="3257">
      <c r="A3257" s="2" t="inlineStr">
        <is>
          <t>Blast</t>
        </is>
      </c>
      <c r="B3257" s="3" t="n">
        <v>46086.46082175926</v>
      </c>
      <c r="C3257" s="3" t="n">
        <v>46086.46153935185</v>
      </c>
      <c r="D3257" s="4">
        <f>(C3257-B3257)*24</f>
        <v/>
      </c>
      <c r="E3257" s="5">
        <f>IF(AND(HOUR(B3257)&gt;=6,HOUR(B3257)&lt;18),"Day Shift","Night Shift")</f>
        <v/>
      </c>
      <c r="F3257" s="6">
        <f>INT(B3257)</f>
        <v/>
      </c>
      <c r="G3257" s="6">
        <f>INT(C3257)</f>
        <v/>
      </c>
    </row>
    <row r="3258">
      <c r="A3258" s="2" t="inlineStr">
        <is>
          <t>Blast</t>
        </is>
      </c>
      <c r="B3258" s="3" t="n">
        <v>46086.46153935185</v>
      </c>
      <c r="C3258" s="3" t="n">
        <v>46086.46234953704</v>
      </c>
      <c r="D3258" s="4">
        <f>(C3258-B3258)*24</f>
        <v/>
      </c>
      <c r="E3258" s="5">
        <f>IF(AND(HOUR(B3258)&gt;=6,HOUR(B3258)&lt;18),"Day Shift","Night Shift")</f>
        <v/>
      </c>
      <c r="F3258" s="6">
        <f>INT(B3258)</f>
        <v/>
      </c>
      <c r="G3258" s="6">
        <f>INT(C3258)</f>
        <v/>
      </c>
    </row>
    <row r="3259">
      <c r="A3259" s="2" t="inlineStr">
        <is>
          <t>Blast</t>
        </is>
      </c>
      <c r="B3259" s="3" t="n">
        <v>46086.46234953704</v>
      </c>
      <c r="C3259" s="3" t="n">
        <v>46086.46324074074</v>
      </c>
      <c r="D3259" s="4">
        <f>(C3259-B3259)*24</f>
        <v/>
      </c>
      <c r="E3259" s="5">
        <f>IF(AND(HOUR(B3259)&gt;=6,HOUR(B3259)&lt;18),"Day Shift","Night Shift")</f>
        <v/>
      </c>
      <c r="F3259" s="6">
        <f>INT(B3259)</f>
        <v/>
      </c>
      <c r="G3259" s="6">
        <f>INT(C3259)</f>
        <v/>
      </c>
    </row>
    <row r="3260">
      <c r="A3260" s="2" t="inlineStr">
        <is>
          <t>Blast</t>
        </is>
      </c>
      <c r="B3260" s="3" t="n">
        <v>46086.46324074074</v>
      </c>
      <c r="C3260" s="3" t="n">
        <v>46086.4640625</v>
      </c>
      <c r="D3260" s="4">
        <f>(C3260-B3260)*24</f>
        <v/>
      </c>
      <c r="E3260" s="5">
        <f>IF(AND(HOUR(B3260)&gt;=6,HOUR(B3260)&lt;18),"Day Shift","Night Shift")</f>
        <v/>
      </c>
      <c r="F3260" s="6">
        <f>INT(B3260)</f>
        <v/>
      </c>
      <c r="G3260" s="6">
        <f>INT(C3260)</f>
        <v/>
      </c>
    </row>
    <row r="3261">
      <c r="A3261" s="2" t="inlineStr">
        <is>
          <t>Blast</t>
        </is>
      </c>
      <c r="B3261" s="3" t="n">
        <v>46086.4640625</v>
      </c>
      <c r="C3261" s="3" t="n">
        <v>46086.46480324074</v>
      </c>
      <c r="D3261" s="4">
        <f>(C3261-B3261)*24</f>
        <v/>
      </c>
      <c r="E3261" s="5">
        <f>IF(AND(HOUR(B3261)&gt;=6,HOUR(B3261)&lt;18),"Day Shift","Night Shift")</f>
        <v/>
      </c>
      <c r="F3261" s="6">
        <f>INT(B3261)</f>
        <v/>
      </c>
      <c r="G3261" s="6">
        <f>INT(C3261)</f>
        <v/>
      </c>
    </row>
    <row r="3262">
      <c r="A3262" s="2" t="inlineStr">
        <is>
          <t>EXD100</t>
        </is>
      </c>
      <c r="B3262" s="3" t="n">
        <v>46086.50429398148</v>
      </c>
      <c r="C3262" s="3" t="n">
        <v>46086.75</v>
      </c>
      <c r="D3262" s="4">
        <f>(C3262-B3262)*24</f>
        <v/>
      </c>
      <c r="E3262" s="5">
        <f>IF(AND(HOUR(B3262)&gt;=6,HOUR(B3262)&lt;18),"Day Shift","Night Shift")</f>
        <v/>
      </c>
      <c r="F3262" s="6">
        <f>INT(B3262)</f>
        <v/>
      </c>
      <c r="G3262" s="6">
        <f>INT(C3262)</f>
        <v/>
      </c>
    </row>
    <row r="3263">
      <c r="A3263" s="7" t="inlineStr">
        <is>
          <t>EXD100</t>
        </is>
      </c>
      <c r="B3263" s="8" t="n">
        <v>46086.75</v>
      </c>
      <c r="C3263" s="8" t="n">
        <v>46087.00127314815</v>
      </c>
      <c r="D3263" s="9">
        <f>(C3263-B3263)*24</f>
        <v/>
      </c>
      <c r="E3263" s="10">
        <f>IF(AND(HOUR(B3263)&gt;=6,HOUR(B3263)&lt;18),"Day Shift","Night Shift")</f>
        <v/>
      </c>
      <c r="F3263" s="11">
        <f>INT(B3263)</f>
        <v/>
      </c>
      <c r="G3263" s="11">
        <f>INT(C3263)</f>
        <v/>
      </c>
    </row>
    <row r="3264">
      <c r="A3264" s="2" t="inlineStr">
        <is>
          <t>EXD98</t>
        </is>
      </c>
      <c r="B3264" s="3" t="n">
        <v>46086.51510416667</v>
      </c>
      <c r="C3264" s="3" t="n">
        <v>46086.75</v>
      </c>
      <c r="D3264" s="4">
        <f>(C3264-B3264)*24</f>
        <v/>
      </c>
      <c r="E3264" s="5">
        <f>IF(AND(HOUR(B3264)&gt;=6,HOUR(B3264)&lt;18),"Day Shift","Night Shift")</f>
        <v/>
      </c>
      <c r="F3264" s="6">
        <f>INT(B3264)</f>
        <v/>
      </c>
      <c r="G3264" s="6">
        <f>INT(C3264)</f>
        <v/>
      </c>
    </row>
    <row r="3265">
      <c r="A3265" s="7" t="inlineStr">
        <is>
          <t>EXD98</t>
        </is>
      </c>
      <c r="B3265" s="8" t="n">
        <v>46086.75</v>
      </c>
      <c r="C3265" s="8" t="n">
        <v>46087.25</v>
      </c>
      <c r="D3265" s="9">
        <f>(C3265-B3265)*24</f>
        <v/>
      </c>
      <c r="E3265" s="10">
        <f>IF(AND(HOUR(B3265)&gt;=6,HOUR(B3265)&lt;18),"Day Shift","Night Shift")</f>
        <v/>
      </c>
      <c r="F3265" s="11">
        <f>INT(B3265)</f>
        <v/>
      </c>
      <c r="G3265" s="11">
        <f>INT(C3265)</f>
        <v/>
      </c>
    </row>
    <row r="3266">
      <c r="A3266" s="2" t="inlineStr">
        <is>
          <t>EXD98</t>
        </is>
      </c>
      <c r="B3266" s="3" t="n">
        <v>46087.25</v>
      </c>
      <c r="C3266" s="3" t="n">
        <v>46087.28496527778</v>
      </c>
      <c r="D3266" s="4">
        <f>(C3266-B3266)*24</f>
        <v/>
      </c>
      <c r="E3266" s="5">
        <f>IF(AND(HOUR(B3266)&gt;=6,HOUR(B3266)&lt;18),"Day Shift","Night Shift")</f>
        <v/>
      </c>
      <c r="F3266" s="6">
        <f>INT(B3266)</f>
        <v/>
      </c>
      <c r="G3266" s="6">
        <f>INT(C3266)</f>
        <v/>
      </c>
    </row>
    <row r="3267">
      <c r="A3267" s="2" t="inlineStr">
        <is>
          <t>EXD408</t>
        </is>
      </c>
      <c r="B3267" s="3" t="n">
        <v>46086.52645833333</v>
      </c>
      <c r="C3267" s="3" t="n">
        <v>46086.75</v>
      </c>
      <c r="D3267" s="4">
        <f>(C3267-B3267)*24</f>
        <v/>
      </c>
      <c r="E3267" s="5">
        <f>IF(AND(HOUR(B3267)&gt;=6,HOUR(B3267)&lt;18),"Day Shift","Night Shift")</f>
        <v/>
      </c>
      <c r="F3267" s="6">
        <f>INT(B3267)</f>
        <v/>
      </c>
      <c r="G3267" s="6">
        <f>INT(C3267)</f>
        <v/>
      </c>
    </row>
    <row r="3268">
      <c r="A3268" s="7" t="inlineStr">
        <is>
          <t>EXD408</t>
        </is>
      </c>
      <c r="B3268" s="8" t="n">
        <v>46086.75</v>
      </c>
      <c r="C3268" s="8" t="n">
        <v>46087.25</v>
      </c>
      <c r="D3268" s="9">
        <f>(C3268-B3268)*24</f>
        <v/>
      </c>
      <c r="E3268" s="10">
        <f>IF(AND(HOUR(B3268)&gt;=6,HOUR(B3268)&lt;18),"Day Shift","Night Shift")</f>
        <v/>
      </c>
      <c r="F3268" s="11">
        <f>INT(B3268)</f>
        <v/>
      </c>
      <c r="G3268" s="11">
        <f>INT(C3268)</f>
        <v/>
      </c>
    </row>
    <row r="3269">
      <c r="A3269" s="2" t="inlineStr">
        <is>
          <t>EXD408</t>
        </is>
      </c>
      <c r="B3269" s="3" t="n">
        <v>46087.25</v>
      </c>
      <c r="C3269" s="3" t="n">
        <v>46087.75</v>
      </c>
      <c r="D3269" s="4">
        <f>(C3269-B3269)*24</f>
        <v/>
      </c>
      <c r="E3269" s="5">
        <f>IF(AND(HOUR(B3269)&gt;=6,HOUR(B3269)&lt;18),"Day Shift","Night Shift")</f>
        <v/>
      </c>
      <c r="F3269" s="6">
        <f>INT(B3269)</f>
        <v/>
      </c>
      <c r="G3269" s="6">
        <f>INT(C3269)</f>
        <v/>
      </c>
    </row>
    <row r="3270">
      <c r="A3270" s="7" t="inlineStr">
        <is>
          <t>EXD408</t>
        </is>
      </c>
      <c r="B3270" s="8" t="n">
        <v>46087.75</v>
      </c>
      <c r="C3270" s="8" t="n">
        <v>46087.86821759259</v>
      </c>
      <c r="D3270" s="9">
        <f>(C3270-B3270)*24</f>
        <v/>
      </c>
      <c r="E3270" s="10">
        <f>IF(AND(HOUR(B3270)&gt;=6,HOUR(B3270)&lt;18),"Day Shift","Night Shift")</f>
        <v/>
      </c>
      <c r="F3270" s="11">
        <f>INT(B3270)</f>
        <v/>
      </c>
      <c r="G3270" s="11">
        <f>INT(C3270)</f>
        <v/>
      </c>
    </row>
    <row r="3271">
      <c r="A3271" s="2" t="inlineStr">
        <is>
          <t>Sprint 1;EDD2541</t>
        </is>
      </c>
      <c r="B3271" s="3" t="n">
        <v>46086.53344907407</v>
      </c>
      <c r="C3271" s="3" t="n">
        <v>46086.75</v>
      </c>
      <c r="D3271" s="4">
        <f>(C3271-B3271)*24</f>
        <v/>
      </c>
      <c r="E3271" s="5">
        <f>IF(AND(HOUR(B3271)&gt;=6,HOUR(B3271)&lt;18),"Day Shift","Night Shift")</f>
        <v/>
      </c>
      <c r="F3271" s="6">
        <f>INT(B3271)</f>
        <v/>
      </c>
      <c r="G3271" s="6">
        <f>INT(C3271)</f>
        <v/>
      </c>
    </row>
    <row r="3272">
      <c r="A3272" s="7" t="inlineStr">
        <is>
          <t>Sprint 1;EDD2541</t>
        </is>
      </c>
      <c r="B3272" s="8" t="n">
        <v>46086.75</v>
      </c>
      <c r="C3272" s="8" t="n">
        <v>46086.87638888889</v>
      </c>
      <c r="D3272" s="9">
        <f>(C3272-B3272)*24</f>
        <v/>
      </c>
      <c r="E3272" s="10">
        <f>IF(AND(HOUR(B3272)&gt;=6,HOUR(B3272)&lt;18),"Day Shift","Night Shift")</f>
        <v/>
      </c>
      <c r="F3272" s="11">
        <f>INT(B3272)</f>
        <v/>
      </c>
      <c r="G3272" s="11">
        <f>INT(C3272)</f>
        <v/>
      </c>
    </row>
    <row r="3273">
      <c r="A3273" s="2" t="inlineStr">
        <is>
          <t>EXD61</t>
        </is>
      </c>
      <c r="B3273" s="3" t="n">
        <v>46086.55608796296</v>
      </c>
      <c r="C3273" s="3" t="n">
        <v>46086.75</v>
      </c>
      <c r="D3273" s="4">
        <f>(C3273-B3273)*24</f>
        <v/>
      </c>
      <c r="E3273" s="5">
        <f>IF(AND(HOUR(B3273)&gt;=6,HOUR(B3273)&lt;18),"Day Shift","Night Shift")</f>
        <v/>
      </c>
      <c r="F3273" s="6">
        <f>INT(B3273)</f>
        <v/>
      </c>
      <c r="G3273" s="6">
        <f>INT(C3273)</f>
        <v/>
      </c>
    </row>
    <row r="3274">
      <c r="A3274" s="7" t="inlineStr">
        <is>
          <t>EXD61</t>
        </is>
      </c>
      <c r="B3274" s="8" t="n">
        <v>46086.75</v>
      </c>
      <c r="C3274" s="8" t="n">
        <v>46087.25</v>
      </c>
      <c r="D3274" s="9">
        <f>(C3274-B3274)*24</f>
        <v/>
      </c>
      <c r="E3274" s="10">
        <f>IF(AND(HOUR(B3274)&gt;=6,HOUR(B3274)&lt;18),"Day Shift","Night Shift")</f>
        <v/>
      </c>
      <c r="F3274" s="11">
        <f>INT(B3274)</f>
        <v/>
      </c>
      <c r="G3274" s="11">
        <f>INT(C3274)</f>
        <v/>
      </c>
    </row>
    <row r="3275">
      <c r="A3275" s="2" t="inlineStr">
        <is>
          <t>EXD61</t>
        </is>
      </c>
      <c r="B3275" s="3" t="n">
        <v>46087.25</v>
      </c>
      <c r="C3275" s="3" t="n">
        <v>46087.73443287037</v>
      </c>
      <c r="D3275" s="4">
        <f>(C3275-B3275)*24</f>
        <v/>
      </c>
      <c r="E3275" s="5">
        <f>IF(AND(HOUR(B3275)&gt;=6,HOUR(B3275)&lt;18),"Day Shift","Night Shift")</f>
        <v/>
      </c>
      <c r="F3275" s="6">
        <f>INT(B3275)</f>
        <v/>
      </c>
      <c r="G3275" s="6">
        <f>INT(C3275)</f>
        <v/>
      </c>
    </row>
    <row r="3276">
      <c r="A3276" s="2" t="inlineStr">
        <is>
          <t>EDD175;EDD2134</t>
        </is>
      </c>
      <c r="B3276" s="3" t="n">
        <v>46086.59721064815</v>
      </c>
      <c r="C3276" s="3" t="n">
        <v>46086.75</v>
      </c>
      <c r="D3276" s="4">
        <f>(C3276-B3276)*24</f>
        <v/>
      </c>
      <c r="E3276" s="5">
        <f>IF(AND(HOUR(B3276)&gt;=6,HOUR(B3276)&lt;18),"Day Shift","Night Shift")</f>
        <v/>
      </c>
      <c r="F3276" s="6">
        <f>INT(B3276)</f>
        <v/>
      </c>
      <c r="G3276" s="6">
        <f>INT(C3276)</f>
        <v/>
      </c>
    </row>
    <row r="3277">
      <c r="A3277" s="7" t="inlineStr">
        <is>
          <t>EDD175;EDD2134</t>
        </is>
      </c>
      <c r="B3277" s="8" t="n">
        <v>46086.75</v>
      </c>
      <c r="C3277" s="8" t="n">
        <v>46087.15854166666</v>
      </c>
      <c r="D3277" s="9">
        <f>(C3277-B3277)*24</f>
        <v/>
      </c>
      <c r="E3277" s="10">
        <f>IF(AND(HOUR(B3277)&gt;=6,HOUR(B3277)&lt;18),"Day Shift","Night Shift")</f>
        <v/>
      </c>
      <c r="F3277" s="11">
        <f>INT(B3277)</f>
        <v/>
      </c>
      <c r="G3277" s="11">
        <f>INT(C3277)</f>
        <v/>
      </c>
    </row>
    <row r="3278">
      <c r="A3278" s="2" t="inlineStr">
        <is>
          <t>EDD1932</t>
        </is>
      </c>
      <c r="B3278" s="3" t="n">
        <v>46086.60765046296</v>
      </c>
      <c r="C3278" s="3" t="n">
        <v>46086.75</v>
      </c>
      <c r="D3278" s="4">
        <f>(C3278-B3278)*24</f>
        <v/>
      </c>
      <c r="E3278" s="5">
        <f>IF(AND(HOUR(B3278)&gt;=6,HOUR(B3278)&lt;18),"Day Shift","Night Shift")</f>
        <v/>
      </c>
      <c r="F3278" s="6">
        <f>INT(B3278)</f>
        <v/>
      </c>
      <c r="G3278" s="6">
        <f>INT(C3278)</f>
        <v/>
      </c>
    </row>
    <row r="3279">
      <c r="A3279" s="7" t="inlineStr">
        <is>
          <t>EDD1932</t>
        </is>
      </c>
      <c r="B3279" s="8" t="n">
        <v>46086.75</v>
      </c>
      <c r="C3279" s="8" t="n">
        <v>46087.25</v>
      </c>
      <c r="D3279" s="9">
        <f>(C3279-B3279)*24</f>
        <v/>
      </c>
      <c r="E3279" s="10">
        <f>IF(AND(HOUR(B3279)&gt;=6,HOUR(B3279)&lt;18),"Day Shift","Night Shift")</f>
        <v/>
      </c>
      <c r="F3279" s="11">
        <f>INT(B3279)</f>
        <v/>
      </c>
      <c r="G3279" s="11">
        <f>INT(C3279)</f>
        <v/>
      </c>
    </row>
    <row r="3280">
      <c r="A3280" s="2" t="inlineStr">
        <is>
          <t>EDD1932</t>
        </is>
      </c>
      <c r="B3280" s="3" t="n">
        <v>46087.25</v>
      </c>
      <c r="C3280" s="3" t="n">
        <v>46087.62276620371</v>
      </c>
      <c r="D3280" s="4">
        <f>(C3280-B3280)*24</f>
        <v/>
      </c>
      <c r="E3280" s="5">
        <f>IF(AND(HOUR(B3280)&gt;=6,HOUR(B3280)&lt;18),"Day Shift","Night Shift")</f>
        <v/>
      </c>
      <c r="F3280" s="6">
        <f>INT(B3280)</f>
        <v/>
      </c>
      <c r="G3280" s="6">
        <f>INT(C3280)</f>
        <v/>
      </c>
    </row>
    <row r="3281">
      <c r="A3281" s="2" t="inlineStr">
        <is>
          <t>EXD60</t>
        </is>
      </c>
      <c r="B3281" s="3" t="n">
        <v>46086.67538194444</v>
      </c>
      <c r="C3281" s="3" t="n">
        <v>46086.75</v>
      </c>
      <c r="D3281" s="4">
        <f>(C3281-B3281)*24</f>
        <v/>
      </c>
      <c r="E3281" s="5">
        <f>IF(AND(HOUR(B3281)&gt;=6,HOUR(B3281)&lt;18),"Day Shift","Night Shift")</f>
        <v/>
      </c>
      <c r="F3281" s="6">
        <f>INT(B3281)</f>
        <v/>
      </c>
      <c r="G3281" s="6">
        <f>INT(C3281)</f>
        <v/>
      </c>
    </row>
    <row r="3282">
      <c r="A3282" s="7" t="inlineStr">
        <is>
          <t>EXD60</t>
        </is>
      </c>
      <c r="B3282" s="8" t="n">
        <v>46086.75</v>
      </c>
      <c r="C3282" s="8" t="n">
        <v>46087.25</v>
      </c>
      <c r="D3282" s="9">
        <f>(C3282-B3282)*24</f>
        <v/>
      </c>
      <c r="E3282" s="10">
        <f>IF(AND(HOUR(B3282)&gt;=6,HOUR(B3282)&lt;18),"Day Shift","Night Shift")</f>
        <v/>
      </c>
      <c r="F3282" s="11">
        <f>INT(B3282)</f>
        <v/>
      </c>
      <c r="G3282" s="11">
        <f>INT(C3282)</f>
        <v/>
      </c>
    </row>
    <row r="3283">
      <c r="A3283" s="2" t="inlineStr">
        <is>
          <t>EXD60</t>
        </is>
      </c>
      <c r="B3283" s="3" t="n">
        <v>46087.25</v>
      </c>
      <c r="C3283" s="3" t="n">
        <v>46087.7300925926</v>
      </c>
      <c r="D3283" s="4">
        <f>(C3283-B3283)*24</f>
        <v/>
      </c>
      <c r="E3283" s="5">
        <f>IF(AND(HOUR(B3283)&gt;=6,HOUR(B3283)&lt;18),"Day Shift","Night Shift")</f>
        <v/>
      </c>
      <c r="F3283" s="6">
        <f>INT(B3283)</f>
        <v/>
      </c>
      <c r="G3283" s="6">
        <f>INT(C3283)</f>
        <v/>
      </c>
    </row>
    <row r="3284">
      <c r="A3284" s="7" t="inlineStr">
        <is>
          <t>DRE08</t>
        </is>
      </c>
      <c r="B3284" s="8" t="n">
        <v>46086.86175925926</v>
      </c>
      <c r="C3284" s="8" t="n">
        <v>46087.25</v>
      </c>
      <c r="D3284" s="9">
        <f>(C3284-B3284)*24</f>
        <v/>
      </c>
      <c r="E3284" s="10">
        <f>IF(AND(HOUR(B3284)&gt;=6,HOUR(B3284)&lt;18),"Day Shift","Night Shift")</f>
        <v/>
      </c>
      <c r="F3284" s="11">
        <f>INT(B3284)</f>
        <v/>
      </c>
      <c r="G3284" s="11">
        <f>INT(C3284)</f>
        <v/>
      </c>
    </row>
    <row r="3285">
      <c r="A3285" s="2" t="inlineStr">
        <is>
          <t>DRE08</t>
        </is>
      </c>
      <c r="B3285" s="3" t="n">
        <v>46087.25</v>
      </c>
      <c r="C3285" s="3" t="n">
        <v>46087.48722222223</v>
      </c>
      <c r="D3285" s="4">
        <f>(C3285-B3285)*24</f>
        <v/>
      </c>
      <c r="E3285" s="5">
        <f>IF(AND(HOUR(B3285)&gt;=6,HOUR(B3285)&lt;18),"Day Shift","Night Shift")</f>
        <v/>
      </c>
      <c r="F3285" s="6">
        <f>INT(B3285)</f>
        <v/>
      </c>
      <c r="G3285" s="6">
        <f>INT(C3285)</f>
        <v/>
      </c>
    </row>
    <row r="3286">
      <c r="A3286" s="7" t="inlineStr">
        <is>
          <t>EDD2541;Sprint 1</t>
        </is>
      </c>
      <c r="B3286" s="8" t="n">
        <v>46086.87638888889</v>
      </c>
      <c r="C3286" s="8" t="n">
        <v>46087.13737268518</v>
      </c>
      <c r="D3286" s="9">
        <f>(C3286-B3286)*24</f>
        <v/>
      </c>
      <c r="E3286" s="10">
        <f>IF(AND(HOUR(B3286)&gt;=6,HOUR(B3286)&lt;18),"Day Shift","Night Shift")</f>
        <v/>
      </c>
      <c r="F3286" s="11">
        <f>INT(B3286)</f>
        <v/>
      </c>
      <c r="G3286" s="11">
        <f>INT(C3286)</f>
        <v/>
      </c>
    </row>
    <row r="3287">
      <c r="A3287" s="7" t="inlineStr">
        <is>
          <t>EXD409</t>
        </is>
      </c>
      <c r="B3287" s="8" t="n">
        <v>46086.93509259259</v>
      </c>
      <c r="C3287" s="8" t="n">
        <v>46087.25</v>
      </c>
      <c r="D3287" s="9">
        <f>(C3287-B3287)*24</f>
        <v/>
      </c>
      <c r="E3287" s="10">
        <f>IF(AND(HOUR(B3287)&gt;=6,HOUR(B3287)&lt;18),"Day Shift","Night Shift")</f>
        <v/>
      </c>
      <c r="F3287" s="11">
        <f>INT(B3287)</f>
        <v/>
      </c>
      <c r="G3287" s="11">
        <f>INT(C3287)</f>
        <v/>
      </c>
    </row>
    <row r="3288">
      <c r="A3288" s="2" t="inlineStr">
        <is>
          <t>EXD409</t>
        </is>
      </c>
      <c r="B3288" s="3" t="n">
        <v>46087.25</v>
      </c>
      <c r="C3288" s="3" t="n">
        <v>46087.50141203704</v>
      </c>
      <c r="D3288" s="4">
        <f>(C3288-B3288)*24</f>
        <v/>
      </c>
      <c r="E3288" s="5">
        <f>IF(AND(HOUR(B3288)&gt;=6,HOUR(B3288)&lt;18),"Day Shift","Night Shift")</f>
        <v/>
      </c>
      <c r="F3288" s="6">
        <f>INT(B3288)</f>
        <v/>
      </c>
      <c r="G3288" s="6">
        <f>INT(C3288)</f>
        <v/>
      </c>
    </row>
    <row r="3289">
      <c r="A3289" s="7" t="inlineStr">
        <is>
          <t>Stag Drill</t>
        </is>
      </c>
      <c r="B3289" s="8" t="n">
        <v>46086.98107638889</v>
      </c>
      <c r="C3289" s="8" t="n">
        <v>46087.25</v>
      </c>
      <c r="D3289" s="9">
        <f>(C3289-B3289)*24</f>
        <v/>
      </c>
      <c r="E3289" s="10">
        <f>IF(AND(HOUR(B3289)&gt;=6,HOUR(B3289)&lt;18),"Day Shift","Night Shift")</f>
        <v/>
      </c>
      <c r="F3289" s="11">
        <f>INT(B3289)</f>
        <v/>
      </c>
      <c r="G3289" s="11">
        <f>INT(C3289)</f>
        <v/>
      </c>
    </row>
    <row r="3290">
      <c r="A3290" s="2" t="inlineStr">
        <is>
          <t>Stag Drill</t>
        </is>
      </c>
      <c r="B3290" s="3" t="n">
        <v>46087.25</v>
      </c>
      <c r="C3290" s="3" t="n">
        <v>46087.65508101852</v>
      </c>
      <c r="D3290" s="4">
        <f>(C3290-B3290)*24</f>
        <v/>
      </c>
      <c r="E3290" s="5">
        <f>IF(AND(HOUR(B3290)&gt;=6,HOUR(B3290)&lt;18),"Day Shift","Night Shift")</f>
        <v/>
      </c>
      <c r="F3290" s="6">
        <f>INT(B3290)</f>
        <v/>
      </c>
      <c r="G3290" s="6">
        <f>INT(C3290)</f>
        <v/>
      </c>
    </row>
    <row r="3291">
      <c r="A3291" s="7" t="inlineStr">
        <is>
          <t>SHE36</t>
        </is>
      </c>
      <c r="B3291" s="8" t="n">
        <v>46086.98332175926</v>
      </c>
      <c r="C3291" s="8" t="n">
        <v>46087.25</v>
      </c>
      <c r="D3291" s="9">
        <f>(C3291-B3291)*24</f>
        <v/>
      </c>
      <c r="E3291" s="10">
        <f>IF(AND(HOUR(B3291)&gt;=6,HOUR(B3291)&lt;18),"Day Shift","Night Shift")</f>
        <v/>
      </c>
      <c r="F3291" s="11">
        <f>INT(B3291)</f>
        <v/>
      </c>
      <c r="G3291" s="11">
        <f>INT(C3291)</f>
        <v/>
      </c>
    </row>
    <row r="3292">
      <c r="A3292" s="2" t="inlineStr">
        <is>
          <t>SHE36</t>
        </is>
      </c>
      <c r="B3292" s="3" t="n">
        <v>46087.25</v>
      </c>
      <c r="C3292" s="3" t="n">
        <v>46087.75</v>
      </c>
      <c r="D3292" s="4">
        <f>(C3292-B3292)*24</f>
        <v/>
      </c>
      <c r="E3292" s="5">
        <f>IF(AND(HOUR(B3292)&gt;=6,HOUR(B3292)&lt;18),"Day Shift","Night Shift")</f>
        <v/>
      </c>
      <c r="F3292" s="6">
        <f>INT(B3292)</f>
        <v/>
      </c>
      <c r="G3292" s="6">
        <f>INT(C3292)</f>
        <v/>
      </c>
    </row>
    <row r="3293">
      <c r="A3293" s="7" t="inlineStr">
        <is>
          <t>SHE36</t>
        </is>
      </c>
      <c r="B3293" s="8" t="n">
        <v>46087.75</v>
      </c>
      <c r="C3293" s="8" t="n">
        <v>46088.0497800926</v>
      </c>
      <c r="D3293" s="9">
        <f>(C3293-B3293)*24</f>
        <v/>
      </c>
      <c r="E3293" s="10">
        <f>IF(AND(HOUR(B3293)&gt;=6,HOUR(B3293)&lt;18),"Day Shift","Night Shift")</f>
        <v/>
      </c>
      <c r="F3293" s="11">
        <f>INT(B3293)</f>
        <v/>
      </c>
      <c r="G3293" s="11">
        <f>INT(C3293)</f>
        <v/>
      </c>
    </row>
    <row r="3294">
      <c r="A3294" s="7" t="inlineStr">
        <is>
          <t>EXD52</t>
        </is>
      </c>
      <c r="B3294" s="8" t="n">
        <v>46087.03528935185</v>
      </c>
      <c r="C3294" s="8" t="n">
        <v>46087.25</v>
      </c>
      <c r="D3294" s="9">
        <f>(C3294-B3294)*24</f>
        <v/>
      </c>
      <c r="E3294" s="10">
        <f>IF(AND(HOUR(B3294)&gt;=6,HOUR(B3294)&lt;18),"Day Shift","Night Shift")</f>
        <v/>
      </c>
      <c r="F3294" s="11">
        <f>INT(B3294)</f>
        <v/>
      </c>
      <c r="G3294" s="11">
        <f>INT(C3294)</f>
        <v/>
      </c>
    </row>
    <row r="3295">
      <c r="A3295" s="2" t="inlineStr">
        <is>
          <t>EXD52</t>
        </is>
      </c>
      <c r="B3295" s="3" t="n">
        <v>46087.25</v>
      </c>
      <c r="C3295" s="3" t="n">
        <v>46087.75</v>
      </c>
      <c r="D3295" s="4">
        <f>(C3295-B3295)*24</f>
        <v/>
      </c>
      <c r="E3295" s="5">
        <f>IF(AND(HOUR(B3295)&gt;=6,HOUR(B3295)&lt;18),"Day Shift","Night Shift")</f>
        <v/>
      </c>
      <c r="F3295" s="6">
        <f>INT(B3295)</f>
        <v/>
      </c>
      <c r="G3295" s="6">
        <f>INT(C3295)</f>
        <v/>
      </c>
    </row>
    <row r="3296">
      <c r="A3296" s="7" t="inlineStr">
        <is>
          <t>EXD52</t>
        </is>
      </c>
      <c r="B3296" s="8" t="n">
        <v>46087.75</v>
      </c>
      <c r="C3296" s="8" t="n">
        <v>46087.79177083333</v>
      </c>
      <c r="D3296" s="9">
        <f>(C3296-B3296)*24</f>
        <v/>
      </c>
      <c r="E3296" s="10">
        <f>IF(AND(HOUR(B3296)&gt;=6,HOUR(B3296)&lt;18),"Day Shift","Night Shift")</f>
        <v/>
      </c>
      <c r="F3296" s="11">
        <f>INT(B3296)</f>
        <v/>
      </c>
      <c r="G3296" s="11">
        <f>INT(C3296)</f>
        <v/>
      </c>
    </row>
    <row r="3297">
      <c r="A3297" s="7" t="inlineStr">
        <is>
          <t>EDD2541;Sprint 1</t>
        </is>
      </c>
      <c r="B3297" s="8" t="n">
        <v>46087.13737268518</v>
      </c>
      <c r="C3297" s="8" t="n">
        <v>46087.25</v>
      </c>
      <c r="D3297" s="9">
        <f>(C3297-B3297)*24</f>
        <v/>
      </c>
      <c r="E3297" s="10">
        <f>IF(AND(HOUR(B3297)&gt;=6,HOUR(B3297)&lt;18),"Day Shift","Night Shift")</f>
        <v/>
      </c>
      <c r="F3297" s="11">
        <f>INT(B3297)</f>
        <v/>
      </c>
      <c r="G3297" s="11">
        <f>INT(C3297)</f>
        <v/>
      </c>
    </row>
    <row r="3298">
      <c r="A3298" s="2" t="inlineStr">
        <is>
          <t>EDD2541;Sprint 1</t>
        </is>
      </c>
      <c r="B3298" s="3" t="n">
        <v>46087.25</v>
      </c>
      <c r="C3298" s="3" t="n">
        <v>46087.38775462963</v>
      </c>
      <c r="D3298" s="4">
        <f>(C3298-B3298)*24</f>
        <v/>
      </c>
      <c r="E3298" s="5">
        <f>IF(AND(HOUR(B3298)&gt;=6,HOUR(B3298)&lt;18),"Day Shift","Night Shift")</f>
        <v/>
      </c>
      <c r="F3298" s="6">
        <f>INT(B3298)</f>
        <v/>
      </c>
      <c r="G3298" s="6">
        <f>INT(C3298)</f>
        <v/>
      </c>
    </row>
    <row r="3299">
      <c r="A3299" s="7" t="inlineStr">
        <is>
          <t>EXD407</t>
        </is>
      </c>
      <c r="B3299" s="8" t="n">
        <v>46087.14011574074</v>
      </c>
      <c r="C3299" s="8" t="n">
        <v>46087.25</v>
      </c>
      <c r="D3299" s="9">
        <f>(C3299-B3299)*24</f>
        <v/>
      </c>
      <c r="E3299" s="10">
        <f>IF(AND(HOUR(B3299)&gt;=6,HOUR(B3299)&lt;18),"Day Shift","Night Shift")</f>
        <v/>
      </c>
      <c r="F3299" s="11">
        <f>INT(B3299)</f>
        <v/>
      </c>
      <c r="G3299" s="11">
        <f>INT(C3299)</f>
        <v/>
      </c>
    </row>
    <row r="3300">
      <c r="A3300" s="2" t="inlineStr">
        <is>
          <t>EXD407</t>
        </is>
      </c>
      <c r="B3300" s="3" t="n">
        <v>46087.25</v>
      </c>
      <c r="C3300" s="3" t="n">
        <v>46087.75</v>
      </c>
      <c r="D3300" s="4">
        <f>(C3300-B3300)*24</f>
        <v/>
      </c>
      <c r="E3300" s="5">
        <f>IF(AND(HOUR(B3300)&gt;=6,HOUR(B3300)&lt;18),"Day Shift","Night Shift")</f>
        <v/>
      </c>
      <c r="F3300" s="6">
        <f>INT(B3300)</f>
        <v/>
      </c>
      <c r="G3300" s="6">
        <f>INT(C3300)</f>
        <v/>
      </c>
    </row>
    <row r="3301">
      <c r="A3301" s="7" t="inlineStr">
        <is>
          <t>EXD407</t>
        </is>
      </c>
      <c r="B3301" s="8" t="n">
        <v>46087.75</v>
      </c>
      <c r="C3301" s="8" t="n">
        <v>46088.25</v>
      </c>
      <c r="D3301" s="9">
        <f>(C3301-B3301)*24</f>
        <v/>
      </c>
      <c r="E3301" s="10">
        <f>IF(AND(HOUR(B3301)&gt;=6,HOUR(B3301)&lt;18),"Day Shift","Night Shift")</f>
        <v/>
      </c>
      <c r="F3301" s="11">
        <f>INT(B3301)</f>
        <v/>
      </c>
      <c r="G3301" s="11">
        <f>INT(C3301)</f>
        <v/>
      </c>
    </row>
    <row r="3302">
      <c r="A3302" s="2" t="inlineStr">
        <is>
          <t>EXD407</t>
        </is>
      </c>
      <c r="B3302" s="3" t="n">
        <v>46088.25</v>
      </c>
      <c r="C3302" s="3" t="n">
        <v>46088.75</v>
      </c>
      <c r="D3302" s="4">
        <f>(C3302-B3302)*24</f>
        <v/>
      </c>
      <c r="E3302" s="5">
        <f>IF(AND(HOUR(B3302)&gt;=6,HOUR(B3302)&lt;18),"Day Shift","Night Shift")</f>
        <v/>
      </c>
      <c r="F3302" s="6">
        <f>INT(B3302)</f>
        <v/>
      </c>
      <c r="G3302" s="6">
        <f>INT(C3302)</f>
        <v/>
      </c>
    </row>
    <row r="3303">
      <c r="A3303" s="7" t="inlineStr">
        <is>
          <t>EXD407</t>
        </is>
      </c>
      <c r="B3303" s="8" t="n">
        <v>46088.75</v>
      </c>
      <c r="C3303" s="8" t="n">
        <v>46088.81028935185</v>
      </c>
      <c r="D3303" s="9">
        <f>(C3303-B3303)*24</f>
        <v/>
      </c>
      <c r="E3303" s="10">
        <f>IF(AND(HOUR(B3303)&gt;=6,HOUR(B3303)&lt;18),"Day Shift","Night Shift")</f>
        <v/>
      </c>
      <c r="F3303" s="11">
        <f>INT(B3303)</f>
        <v/>
      </c>
      <c r="G3303" s="11">
        <f>INT(C3303)</f>
        <v/>
      </c>
    </row>
    <row r="3304">
      <c r="A3304" s="7" t="inlineStr">
        <is>
          <t>EDD175;EDD2134</t>
        </is>
      </c>
      <c r="B3304" s="8" t="n">
        <v>46087.15854166666</v>
      </c>
      <c r="C3304" s="8" t="n">
        <v>46087.25</v>
      </c>
      <c r="D3304" s="9">
        <f>(C3304-B3304)*24</f>
        <v/>
      </c>
      <c r="E3304" s="10">
        <f>IF(AND(HOUR(B3304)&gt;=6,HOUR(B3304)&lt;18),"Day Shift","Night Shift")</f>
        <v/>
      </c>
      <c r="F3304" s="11">
        <f>INT(B3304)</f>
        <v/>
      </c>
      <c r="G3304" s="11">
        <f>INT(C3304)</f>
        <v/>
      </c>
    </row>
    <row r="3305">
      <c r="A3305" s="2" t="inlineStr">
        <is>
          <t>EDD175;EDD2134</t>
        </is>
      </c>
      <c r="B3305" s="3" t="n">
        <v>46087.25</v>
      </c>
      <c r="C3305" s="3" t="n">
        <v>46087.56605324074</v>
      </c>
      <c r="D3305" s="4">
        <f>(C3305-B3305)*24</f>
        <v/>
      </c>
      <c r="E3305" s="5">
        <f>IF(AND(HOUR(B3305)&gt;=6,HOUR(B3305)&lt;18),"Day Shift","Night Shift")</f>
        <v/>
      </c>
      <c r="F3305" s="6">
        <f>INT(B3305)</f>
        <v/>
      </c>
      <c r="G3305" s="6">
        <f>INT(C3305)</f>
        <v/>
      </c>
    </row>
    <row r="3306">
      <c r="A3306" s="7" t="inlineStr">
        <is>
          <t>EDD812</t>
        </is>
      </c>
      <c r="B3306" s="8" t="n">
        <v>46087.17356481482</v>
      </c>
      <c r="C3306" s="8" t="n">
        <v>46087.25</v>
      </c>
      <c r="D3306" s="9">
        <f>(C3306-B3306)*24</f>
        <v/>
      </c>
      <c r="E3306" s="10">
        <f>IF(AND(HOUR(B3306)&gt;=6,HOUR(B3306)&lt;18),"Day Shift","Night Shift")</f>
        <v/>
      </c>
      <c r="F3306" s="11">
        <f>INT(B3306)</f>
        <v/>
      </c>
      <c r="G3306" s="11">
        <f>INT(C3306)</f>
        <v/>
      </c>
    </row>
    <row r="3307">
      <c r="A3307" s="2" t="inlineStr">
        <is>
          <t>EDD812</t>
        </is>
      </c>
      <c r="B3307" s="3" t="n">
        <v>46087.25</v>
      </c>
      <c r="C3307" s="3" t="n">
        <v>46087.75</v>
      </c>
      <c r="D3307" s="4">
        <f>(C3307-B3307)*24</f>
        <v/>
      </c>
      <c r="E3307" s="5">
        <f>IF(AND(HOUR(B3307)&gt;=6,HOUR(B3307)&lt;18),"Day Shift","Night Shift")</f>
        <v/>
      </c>
      <c r="F3307" s="6">
        <f>INT(B3307)</f>
        <v/>
      </c>
      <c r="G3307" s="6">
        <f>INT(C3307)</f>
        <v/>
      </c>
    </row>
    <row r="3308">
      <c r="A3308" s="7" t="inlineStr">
        <is>
          <t>EDD812</t>
        </is>
      </c>
      <c r="B3308" s="8" t="n">
        <v>46087.75</v>
      </c>
      <c r="C3308" s="8" t="n">
        <v>46088.25</v>
      </c>
      <c r="D3308" s="9">
        <f>(C3308-B3308)*24</f>
        <v/>
      </c>
      <c r="E3308" s="10">
        <f>IF(AND(HOUR(B3308)&gt;=6,HOUR(B3308)&lt;18),"Day Shift","Night Shift")</f>
        <v/>
      </c>
      <c r="F3308" s="11">
        <f>INT(B3308)</f>
        <v/>
      </c>
      <c r="G3308" s="11">
        <f>INT(C3308)</f>
        <v/>
      </c>
    </row>
    <row r="3309">
      <c r="A3309" s="2" t="inlineStr">
        <is>
          <t>EDD812</t>
        </is>
      </c>
      <c r="B3309" s="3" t="n">
        <v>46088.25</v>
      </c>
      <c r="C3309" s="3" t="n">
        <v>46088.49145833333</v>
      </c>
      <c r="D3309" s="4">
        <f>(C3309-B3309)*24</f>
        <v/>
      </c>
      <c r="E3309" s="5">
        <f>IF(AND(HOUR(B3309)&gt;=6,HOUR(B3309)&lt;18),"Day Shift","Night Shift")</f>
        <v/>
      </c>
      <c r="F3309" s="6">
        <f>INT(B3309)</f>
        <v/>
      </c>
      <c r="G3309" s="6">
        <f>INT(C3309)</f>
        <v/>
      </c>
    </row>
    <row r="3310">
      <c r="A3310" s="2" t="inlineStr">
        <is>
          <t>EXD98</t>
        </is>
      </c>
      <c r="B3310" s="3" t="n">
        <v>46087.28496527778</v>
      </c>
      <c r="C3310" s="3" t="n">
        <v>46087.75</v>
      </c>
      <c r="D3310" s="4">
        <f>(C3310-B3310)*24</f>
        <v/>
      </c>
      <c r="E3310" s="5">
        <f>IF(AND(HOUR(B3310)&gt;=6,HOUR(B3310)&lt;18),"Day Shift","Night Shift")</f>
        <v/>
      </c>
      <c r="F3310" s="6">
        <f>INT(B3310)</f>
        <v/>
      </c>
      <c r="G3310" s="6">
        <f>INT(C3310)</f>
        <v/>
      </c>
    </row>
    <row r="3311">
      <c r="A3311" s="7" t="inlineStr">
        <is>
          <t>EXD98</t>
        </is>
      </c>
      <c r="B3311" s="8" t="n">
        <v>46087.75</v>
      </c>
      <c r="C3311" s="8" t="n">
        <v>46087.99420138889</v>
      </c>
      <c r="D3311" s="9">
        <f>(C3311-B3311)*24</f>
        <v/>
      </c>
      <c r="E3311" s="10">
        <f>IF(AND(HOUR(B3311)&gt;=6,HOUR(B3311)&lt;18),"Day Shift","Night Shift")</f>
        <v/>
      </c>
      <c r="F3311" s="11">
        <f>INT(B3311)</f>
        <v/>
      </c>
      <c r="G3311" s="11">
        <f>INT(C3311)</f>
        <v/>
      </c>
    </row>
    <row r="3312">
      <c r="A3312" s="2" t="inlineStr">
        <is>
          <t>EXD101</t>
        </is>
      </c>
      <c r="B3312" s="3" t="n">
        <v>46087.32454861111</v>
      </c>
      <c r="C3312" s="3" t="n">
        <v>46087.75</v>
      </c>
      <c r="D3312" s="4">
        <f>(C3312-B3312)*24</f>
        <v/>
      </c>
      <c r="E3312" s="5">
        <f>IF(AND(HOUR(B3312)&gt;=6,HOUR(B3312)&lt;18),"Day Shift","Night Shift")</f>
        <v/>
      </c>
      <c r="F3312" s="6">
        <f>INT(B3312)</f>
        <v/>
      </c>
      <c r="G3312" s="6">
        <f>INT(C3312)</f>
        <v/>
      </c>
    </row>
    <row r="3313">
      <c r="A3313" s="7" t="inlineStr">
        <is>
          <t>EXD101</t>
        </is>
      </c>
      <c r="B3313" s="8" t="n">
        <v>46087.75</v>
      </c>
      <c r="C3313" s="8" t="n">
        <v>46088.14737268518</v>
      </c>
      <c r="D3313" s="9">
        <f>(C3313-B3313)*24</f>
        <v/>
      </c>
      <c r="E3313" s="10">
        <f>IF(AND(HOUR(B3313)&gt;=6,HOUR(B3313)&lt;18),"Day Shift","Night Shift")</f>
        <v/>
      </c>
      <c r="F3313" s="11">
        <f>INT(B3313)</f>
        <v/>
      </c>
      <c r="G3313" s="11">
        <f>INT(C3313)</f>
        <v/>
      </c>
    </row>
    <row r="3314">
      <c r="A3314" s="2" t="inlineStr">
        <is>
          <t>EXD100</t>
        </is>
      </c>
      <c r="B3314" s="3" t="n">
        <v>46087.3425</v>
      </c>
      <c r="C3314" s="3" t="n">
        <v>46087.75</v>
      </c>
      <c r="D3314" s="4">
        <f>(C3314-B3314)*24</f>
        <v/>
      </c>
      <c r="E3314" s="5">
        <f>IF(AND(HOUR(B3314)&gt;=6,HOUR(B3314)&lt;18),"Day Shift","Night Shift")</f>
        <v/>
      </c>
      <c r="F3314" s="6">
        <f>INT(B3314)</f>
        <v/>
      </c>
      <c r="G3314" s="6">
        <f>INT(C3314)</f>
        <v/>
      </c>
    </row>
    <row r="3315">
      <c r="A3315" s="7" t="inlineStr">
        <is>
          <t>EXD100</t>
        </is>
      </c>
      <c r="B3315" s="8" t="n">
        <v>46087.75</v>
      </c>
      <c r="C3315" s="8" t="n">
        <v>46087.75589120371</v>
      </c>
      <c r="D3315" s="9">
        <f>(C3315-B3315)*24</f>
        <v/>
      </c>
      <c r="E3315" s="10">
        <f>IF(AND(HOUR(B3315)&gt;=6,HOUR(B3315)&lt;18),"Day Shift","Night Shift")</f>
        <v/>
      </c>
      <c r="F3315" s="11">
        <f>INT(B3315)</f>
        <v/>
      </c>
      <c r="G3315" s="11">
        <f>INT(C3315)</f>
        <v/>
      </c>
    </row>
    <row r="3316">
      <c r="A3316" s="2" t="inlineStr">
        <is>
          <t>EDD2541;Sprint 1</t>
        </is>
      </c>
      <c r="B3316" s="3" t="n">
        <v>46087.38775462963</v>
      </c>
      <c r="C3316" s="3" t="n">
        <v>46087.61024305555</v>
      </c>
      <c r="D3316" s="4">
        <f>(C3316-B3316)*24</f>
        <v/>
      </c>
      <c r="E3316" s="5">
        <f>IF(AND(HOUR(B3316)&gt;=6,HOUR(B3316)&lt;18),"Day Shift","Night Shift")</f>
        <v/>
      </c>
      <c r="F3316" s="6">
        <f>INT(B3316)</f>
        <v/>
      </c>
      <c r="G3316" s="6">
        <f>INT(C3316)</f>
        <v/>
      </c>
    </row>
    <row r="3317">
      <c r="A3317" s="2" t="inlineStr">
        <is>
          <t>EXD55</t>
        </is>
      </c>
      <c r="B3317" s="3" t="n">
        <v>46087.46903935185</v>
      </c>
      <c r="C3317" s="3" t="n">
        <v>46087.75</v>
      </c>
      <c r="D3317" s="4">
        <f>(C3317-B3317)*24</f>
        <v/>
      </c>
      <c r="E3317" s="5">
        <f>IF(AND(HOUR(B3317)&gt;=6,HOUR(B3317)&lt;18),"Day Shift","Night Shift")</f>
        <v/>
      </c>
      <c r="F3317" s="6">
        <f>INT(B3317)</f>
        <v/>
      </c>
      <c r="G3317" s="6">
        <f>INT(C3317)</f>
        <v/>
      </c>
    </row>
    <row r="3318">
      <c r="A3318" s="7" t="inlineStr">
        <is>
          <t>EXD55</t>
        </is>
      </c>
      <c r="B3318" s="8" t="n">
        <v>46087.75</v>
      </c>
      <c r="C3318" s="8" t="n">
        <v>46088.25</v>
      </c>
      <c r="D3318" s="9">
        <f>(C3318-B3318)*24</f>
        <v/>
      </c>
      <c r="E3318" s="10">
        <f>IF(AND(HOUR(B3318)&gt;=6,HOUR(B3318)&lt;18),"Day Shift","Night Shift")</f>
        <v/>
      </c>
      <c r="F3318" s="11">
        <f>INT(B3318)</f>
        <v/>
      </c>
      <c r="G3318" s="11">
        <f>INT(C3318)</f>
        <v/>
      </c>
    </row>
    <row r="3319">
      <c r="A3319" s="2" t="inlineStr">
        <is>
          <t>EXD55</t>
        </is>
      </c>
      <c r="B3319" s="3" t="n">
        <v>46088.25</v>
      </c>
      <c r="C3319" s="3" t="n">
        <v>46088.45003472222</v>
      </c>
      <c r="D3319" s="4">
        <f>(C3319-B3319)*24</f>
        <v/>
      </c>
      <c r="E3319" s="5">
        <f>IF(AND(HOUR(B3319)&gt;=6,HOUR(B3319)&lt;18),"Day Shift","Night Shift")</f>
        <v/>
      </c>
      <c r="F3319" s="6">
        <f>INT(B3319)</f>
        <v/>
      </c>
      <c r="G3319" s="6">
        <f>INT(C3319)</f>
        <v/>
      </c>
    </row>
    <row r="3320">
      <c r="A3320" s="2" t="inlineStr">
        <is>
          <t>DRE08</t>
        </is>
      </c>
      <c r="B3320" s="3" t="n">
        <v>46087.48722222223</v>
      </c>
      <c r="C3320" s="3" t="n">
        <v>46087.75</v>
      </c>
      <c r="D3320" s="4">
        <f>(C3320-B3320)*24</f>
        <v/>
      </c>
      <c r="E3320" s="5">
        <f>IF(AND(HOUR(B3320)&gt;=6,HOUR(B3320)&lt;18),"Day Shift","Night Shift")</f>
        <v/>
      </c>
      <c r="F3320" s="6">
        <f>INT(B3320)</f>
        <v/>
      </c>
      <c r="G3320" s="6">
        <f>INT(C3320)</f>
        <v/>
      </c>
    </row>
    <row r="3321">
      <c r="A3321" s="7" t="inlineStr">
        <is>
          <t>DRE08</t>
        </is>
      </c>
      <c r="B3321" s="8" t="n">
        <v>46087.75</v>
      </c>
      <c r="C3321" s="8" t="n">
        <v>46088.25</v>
      </c>
      <c r="D3321" s="9">
        <f>(C3321-B3321)*24</f>
        <v/>
      </c>
      <c r="E3321" s="10">
        <f>IF(AND(HOUR(B3321)&gt;=6,HOUR(B3321)&lt;18),"Day Shift","Night Shift")</f>
        <v/>
      </c>
      <c r="F3321" s="11">
        <f>INT(B3321)</f>
        <v/>
      </c>
      <c r="G3321" s="11">
        <f>INT(C3321)</f>
        <v/>
      </c>
    </row>
    <row r="3322">
      <c r="A3322" s="2" t="inlineStr">
        <is>
          <t>DRE08</t>
        </is>
      </c>
      <c r="B3322" s="3" t="n">
        <v>46088.25</v>
      </c>
      <c r="C3322" s="3" t="n">
        <v>46088.75</v>
      </c>
      <c r="D3322" s="4">
        <f>(C3322-B3322)*24</f>
        <v/>
      </c>
      <c r="E3322" s="5">
        <f>IF(AND(HOUR(B3322)&gt;=6,HOUR(B3322)&lt;18),"Day Shift","Night Shift")</f>
        <v/>
      </c>
      <c r="F3322" s="6">
        <f>INT(B3322)</f>
        <v/>
      </c>
      <c r="G3322" s="6">
        <f>INT(C3322)</f>
        <v/>
      </c>
    </row>
    <row r="3323">
      <c r="A3323" s="7" t="inlineStr">
        <is>
          <t>DRE08</t>
        </is>
      </c>
      <c r="B3323" s="8" t="n">
        <v>46088.75</v>
      </c>
      <c r="C3323" s="8" t="n">
        <v>46089.25</v>
      </c>
      <c r="D3323" s="9">
        <f>(C3323-B3323)*24</f>
        <v/>
      </c>
      <c r="E3323" s="10">
        <f>IF(AND(HOUR(B3323)&gt;=6,HOUR(B3323)&lt;18),"Day Shift","Night Shift")</f>
        <v/>
      </c>
      <c r="F3323" s="11">
        <f>INT(B3323)</f>
        <v/>
      </c>
      <c r="G3323" s="11">
        <f>INT(C3323)</f>
        <v/>
      </c>
    </row>
    <row r="3324">
      <c r="A3324" s="2" t="inlineStr">
        <is>
          <t>DRE08</t>
        </is>
      </c>
      <c r="B3324" s="3" t="n">
        <v>46089.25</v>
      </c>
      <c r="C3324" s="3" t="n">
        <v>46089.75</v>
      </c>
      <c r="D3324" s="4">
        <f>(C3324-B3324)*24</f>
        <v/>
      </c>
      <c r="E3324" s="5">
        <f>IF(AND(HOUR(B3324)&gt;=6,HOUR(B3324)&lt;18),"Day Shift","Night Shift")</f>
        <v/>
      </c>
      <c r="F3324" s="6">
        <f>INT(B3324)</f>
        <v/>
      </c>
      <c r="G3324" s="6">
        <f>INT(C3324)</f>
        <v/>
      </c>
    </row>
    <row r="3325">
      <c r="A3325" s="7" t="inlineStr">
        <is>
          <t>DRE08</t>
        </is>
      </c>
      <c r="B3325" s="8" t="n">
        <v>46089.75</v>
      </c>
      <c r="C3325" s="8" t="n">
        <v>46090.12556712963</v>
      </c>
      <c r="D3325" s="9">
        <f>(C3325-B3325)*24</f>
        <v/>
      </c>
      <c r="E3325" s="10">
        <f>IF(AND(HOUR(B3325)&gt;=6,HOUR(B3325)&lt;18),"Day Shift","Night Shift")</f>
        <v/>
      </c>
      <c r="F3325" s="11">
        <f>INT(B3325)</f>
        <v/>
      </c>
      <c r="G3325" s="11">
        <f>INT(C3325)</f>
        <v/>
      </c>
    </row>
    <row r="3326">
      <c r="A3326" s="2" t="inlineStr">
        <is>
          <t>EXD409</t>
        </is>
      </c>
      <c r="B3326" s="3" t="n">
        <v>46087.50153935186</v>
      </c>
      <c r="C3326" s="3" t="n">
        <v>46087.75</v>
      </c>
      <c r="D3326" s="4">
        <f>(C3326-B3326)*24</f>
        <v/>
      </c>
      <c r="E3326" s="5">
        <f>IF(AND(HOUR(B3326)&gt;=6,HOUR(B3326)&lt;18),"Day Shift","Night Shift")</f>
        <v/>
      </c>
      <c r="F3326" s="6">
        <f>INT(B3326)</f>
        <v/>
      </c>
      <c r="G3326" s="6">
        <f>INT(C3326)</f>
        <v/>
      </c>
    </row>
    <row r="3327">
      <c r="A3327" s="7" t="inlineStr">
        <is>
          <t>EXD409</t>
        </is>
      </c>
      <c r="B3327" s="8" t="n">
        <v>46087.75</v>
      </c>
      <c r="C3327" s="8" t="n">
        <v>46088.19251157407</v>
      </c>
      <c r="D3327" s="9">
        <f>(C3327-B3327)*24</f>
        <v/>
      </c>
      <c r="E3327" s="10">
        <f>IF(AND(HOUR(B3327)&gt;=6,HOUR(B3327)&lt;18),"Day Shift","Night Shift")</f>
        <v/>
      </c>
      <c r="F3327" s="11">
        <f>INT(B3327)</f>
        <v/>
      </c>
      <c r="G3327" s="11">
        <f>INT(C3327)</f>
        <v/>
      </c>
    </row>
    <row r="3328">
      <c r="A3328" s="2" t="inlineStr">
        <is>
          <t>EDD175;EDD2134</t>
        </is>
      </c>
      <c r="B3328" s="3" t="n">
        <v>46087.56605324074</v>
      </c>
      <c r="C3328" s="3" t="n">
        <v>46087.70034722222</v>
      </c>
      <c r="D3328" s="4">
        <f>(C3328-B3328)*24</f>
        <v/>
      </c>
      <c r="E3328" s="5">
        <f>IF(AND(HOUR(B3328)&gt;=6,HOUR(B3328)&lt;18),"Day Shift","Night Shift")</f>
        <v/>
      </c>
      <c r="F3328" s="6">
        <f>INT(B3328)</f>
        <v/>
      </c>
      <c r="G3328" s="6">
        <f>INT(C3328)</f>
        <v/>
      </c>
    </row>
    <row r="3329">
      <c r="A3329" s="2" t="inlineStr">
        <is>
          <t>EXD73</t>
        </is>
      </c>
      <c r="B3329" s="3" t="n">
        <v>46087.60600694444</v>
      </c>
      <c r="C3329" s="3" t="n">
        <v>46087.75</v>
      </c>
      <c r="D3329" s="4">
        <f>(C3329-B3329)*24</f>
        <v/>
      </c>
      <c r="E3329" s="5">
        <f>IF(AND(HOUR(B3329)&gt;=6,HOUR(B3329)&lt;18),"Day Shift","Night Shift")</f>
        <v/>
      </c>
      <c r="F3329" s="6">
        <f>INT(B3329)</f>
        <v/>
      </c>
      <c r="G3329" s="6">
        <f>INT(C3329)</f>
        <v/>
      </c>
    </row>
    <row r="3330">
      <c r="A3330" s="7" t="inlineStr">
        <is>
          <t>EXD73</t>
        </is>
      </c>
      <c r="B3330" s="8" t="n">
        <v>46087.75</v>
      </c>
      <c r="C3330" s="8" t="n">
        <v>46088.25</v>
      </c>
      <c r="D3330" s="9">
        <f>(C3330-B3330)*24</f>
        <v/>
      </c>
      <c r="E3330" s="10">
        <f>IF(AND(HOUR(B3330)&gt;=6,HOUR(B3330)&lt;18),"Day Shift","Night Shift")</f>
        <v/>
      </c>
      <c r="F3330" s="11">
        <f>INT(B3330)</f>
        <v/>
      </c>
      <c r="G3330" s="11">
        <f>INT(C3330)</f>
        <v/>
      </c>
    </row>
    <row r="3331">
      <c r="A3331" s="2" t="inlineStr">
        <is>
          <t>EXD73</t>
        </is>
      </c>
      <c r="B3331" s="3" t="n">
        <v>46088.25</v>
      </c>
      <c r="C3331" s="3" t="n">
        <v>46088.72439814815</v>
      </c>
      <c r="D3331" s="4">
        <f>(C3331-B3331)*24</f>
        <v/>
      </c>
      <c r="E3331" s="5">
        <f>IF(AND(HOUR(B3331)&gt;=6,HOUR(B3331)&lt;18),"Day Shift","Night Shift")</f>
        <v/>
      </c>
      <c r="F3331" s="6">
        <f>INT(B3331)</f>
        <v/>
      </c>
      <c r="G3331" s="6">
        <f>INT(C3331)</f>
        <v/>
      </c>
    </row>
    <row r="3332">
      <c r="A3332" s="2" t="inlineStr">
        <is>
          <t>EDD2541;Sprint 1</t>
        </is>
      </c>
      <c r="B3332" s="3" t="n">
        <v>46087.61024305555</v>
      </c>
      <c r="C3332" s="3" t="n">
        <v>46087.75</v>
      </c>
      <c r="D3332" s="4">
        <f>(C3332-B3332)*24</f>
        <v/>
      </c>
      <c r="E3332" s="5">
        <f>IF(AND(HOUR(B3332)&gt;=6,HOUR(B3332)&lt;18),"Day Shift","Night Shift")</f>
        <v/>
      </c>
      <c r="F3332" s="6">
        <f>INT(B3332)</f>
        <v/>
      </c>
      <c r="G3332" s="6">
        <f>INT(C3332)</f>
        <v/>
      </c>
    </row>
    <row r="3333">
      <c r="A3333" s="7" t="inlineStr">
        <is>
          <t>EDD2541;Sprint 1</t>
        </is>
      </c>
      <c r="B3333" s="8" t="n">
        <v>46087.75</v>
      </c>
      <c r="C3333" s="8" t="n">
        <v>46087.82803240741</v>
      </c>
      <c r="D3333" s="9">
        <f>(C3333-B3333)*24</f>
        <v/>
      </c>
      <c r="E3333" s="10">
        <f>IF(AND(HOUR(B3333)&gt;=6,HOUR(B3333)&lt;18),"Day Shift","Night Shift")</f>
        <v/>
      </c>
      <c r="F3333" s="11">
        <f>INT(B3333)</f>
        <v/>
      </c>
      <c r="G3333" s="11">
        <f>INT(C3333)</f>
        <v/>
      </c>
    </row>
    <row r="3334">
      <c r="A3334" s="2" t="inlineStr">
        <is>
          <t>EDD1932</t>
        </is>
      </c>
      <c r="B3334" s="3" t="n">
        <v>46087.62276620371</v>
      </c>
      <c r="C3334" s="3" t="n">
        <v>46087.75</v>
      </c>
      <c r="D3334" s="4">
        <f>(C3334-B3334)*24</f>
        <v/>
      </c>
      <c r="E3334" s="5">
        <f>IF(AND(HOUR(B3334)&gt;=6,HOUR(B3334)&lt;18),"Day Shift","Night Shift")</f>
        <v/>
      </c>
      <c r="F3334" s="6">
        <f>INT(B3334)</f>
        <v/>
      </c>
      <c r="G3334" s="6">
        <f>INT(C3334)</f>
        <v/>
      </c>
    </row>
    <row r="3335">
      <c r="A3335" s="7" t="inlineStr">
        <is>
          <t>EDD1932</t>
        </is>
      </c>
      <c r="B3335" s="8" t="n">
        <v>46087.75</v>
      </c>
      <c r="C3335" s="8" t="n">
        <v>46088.25</v>
      </c>
      <c r="D3335" s="9">
        <f>(C3335-B3335)*24</f>
        <v/>
      </c>
      <c r="E3335" s="10">
        <f>IF(AND(HOUR(B3335)&gt;=6,HOUR(B3335)&lt;18),"Day Shift","Night Shift")</f>
        <v/>
      </c>
      <c r="F3335" s="11">
        <f>INT(B3335)</f>
        <v/>
      </c>
      <c r="G3335" s="11">
        <f>INT(C3335)</f>
        <v/>
      </c>
    </row>
    <row r="3336">
      <c r="A3336" s="2" t="inlineStr">
        <is>
          <t>EDD1932</t>
        </is>
      </c>
      <c r="B3336" s="3" t="n">
        <v>46088.25</v>
      </c>
      <c r="C3336" s="3" t="n">
        <v>46088.75</v>
      </c>
      <c r="D3336" s="4">
        <f>(C3336-B3336)*24</f>
        <v/>
      </c>
      <c r="E3336" s="5">
        <f>IF(AND(HOUR(B3336)&gt;=6,HOUR(B3336)&lt;18),"Day Shift","Night Shift")</f>
        <v/>
      </c>
      <c r="F3336" s="6">
        <f>INT(B3336)</f>
        <v/>
      </c>
      <c r="G3336" s="6">
        <f>INT(C3336)</f>
        <v/>
      </c>
    </row>
    <row r="3337">
      <c r="A3337" s="7" t="inlineStr">
        <is>
          <t>EDD1932</t>
        </is>
      </c>
      <c r="B3337" s="8" t="n">
        <v>46088.75</v>
      </c>
      <c r="C3337" s="8" t="n">
        <v>46088.86940972223</v>
      </c>
      <c r="D3337" s="9">
        <f>(C3337-B3337)*24</f>
        <v/>
      </c>
      <c r="E3337" s="10">
        <f>IF(AND(HOUR(B3337)&gt;=6,HOUR(B3337)&lt;18),"Day Shift","Night Shift")</f>
        <v/>
      </c>
      <c r="F3337" s="11">
        <f>INT(B3337)</f>
        <v/>
      </c>
      <c r="G3337" s="11">
        <f>INT(C3337)</f>
        <v/>
      </c>
    </row>
    <row r="3338">
      <c r="A3338" s="2" t="inlineStr">
        <is>
          <t>Stag Drill</t>
        </is>
      </c>
      <c r="B3338" s="3" t="n">
        <v>46087.65508101852</v>
      </c>
      <c r="C3338" s="3" t="n">
        <v>46087.75</v>
      </c>
      <c r="D3338" s="4">
        <f>(C3338-B3338)*24</f>
        <v/>
      </c>
      <c r="E3338" s="5">
        <f>IF(AND(HOUR(B3338)&gt;=6,HOUR(B3338)&lt;18),"Day Shift","Night Shift")</f>
        <v/>
      </c>
      <c r="F3338" s="6">
        <f>INT(B3338)</f>
        <v/>
      </c>
      <c r="G3338" s="6">
        <f>INT(C3338)</f>
        <v/>
      </c>
    </row>
    <row r="3339">
      <c r="A3339" s="7" t="inlineStr">
        <is>
          <t>Stag Drill</t>
        </is>
      </c>
      <c r="B3339" s="8" t="n">
        <v>46087.75</v>
      </c>
      <c r="C3339" s="8" t="n">
        <v>46088.25</v>
      </c>
      <c r="D3339" s="9">
        <f>(C3339-B3339)*24</f>
        <v/>
      </c>
      <c r="E3339" s="10">
        <f>IF(AND(HOUR(B3339)&gt;=6,HOUR(B3339)&lt;18),"Day Shift","Night Shift")</f>
        <v/>
      </c>
      <c r="F3339" s="11">
        <f>INT(B3339)</f>
        <v/>
      </c>
      <c r="G3339" s="11">
        <f>INT(C3339)</f>
        <v/>
      </c>
    </row>
    <row r="3340">
      <c r="A3340" s="2" t="inlineStr">
        <is>
          <t>Stag Drill</t>
        </is>
      </c>
      <c r="B3340" s="3" t="n">
        <v>46088.25</v>
      </c>
      <c r="C3340" s="3" t="n">
        <v>46088.40077546296</v>
      </c>
      <c r="D3340" s="4">
        <f>(C3340-B3340)*24</f>
        <v/>
      </c>
      <c r="E3340" s="5">
        <f>IF(AND(HOUR(B3340)&gt;=6,HOUR(B3340)&lt;18),"Day Shift","Night Shift")</f>
        <v/>
      </c>
      <c r="F3340" s="6">
        <f>INT(B3340)</f>
        <v/>
      </c>
      <c r="G3340" s="6">
        <f>INT(C3340)</f>
        <v/>
      </c>
    </row>
    <row r="3341">
      <c r="A3341" s="2" t="inlineStr">
        <is>
          <t>EDD175;EDD2134</t>
        </is>
      </c>
      <c r="B3341" s="3" t="n">
        <v>46087.70034722222</v>
      </c>
      <c r="C3341" s="3" t="n">
        <v>46087.75</v>
      </c>
      <c r="D3341" s="4">
        <f>(C3341-B3341)*24</f>
        <v/>
      </c>
      <c r="E3341" s="5">
        <f>IF(AND(HOUR(B3341)&gt;=6,HOUR(B3341)&lt;18),"Day Shift","Night Shift")</f>
        <v/>
      </c>
      <c r="F3341" s="6">
        <f>INT(B3341)</f>
        <v/>
      </c>
      <c r="G3341" s="6">
        <f>INT(C3341)</f>
        <v/>
      </c>
    </row>
    <row r="3342">
      <c r="A3342" s="7" t="inlineStr">
        <is>
          <t>EDD175;EDD2134</t>
        </is>
      </c>
      <c r="B3342" s="8" t="n">
        <v>46087.75</v>
      </c>
      <c r="C3342" s="8" t="n">
        <v>46087.85745370371</v>
      </c>
      <c r="D3342" s="9">
        <f>(C3342-B3342)*24</f>
        <v/>
      </c>
      <c r="E3342" s="10">
        <f>IF(AND(HOUR(B3342)&gt;=6,HOUR(B3342)&lt;18),"Day Shift","Night Shift")</f>
        <v/>
      </c>
      <c r="F3342" s="11">
        <f>INT(B3342)</f>
        <v/>
      </c>
      <c r="G3342" s="11">
        <f>INT(C3342)</f>
        <v/>
      </c>
    </row>
    <row r="3343">
      <c r="A3343" s="2" t="inlineStr">
        <is>
          <t>EXD61</t>
        </is>
      </c>
      <c r="B3343" s="3" t="n">
        <v>46087.73443287037</v>
      </c>
      <c r="C3343" s="3" t="n">
        <v>46087.75</v>
      </c>
      <c r="D3343" s="4">
        <f>(C3343-B3343)*24</f>
        <v/>
      </c>
      <c r="E3343" s="5">
        <f>IF(AND(HOUR(B3343)&gt;=6,HOUR(B3343)&lt;18),"Day Shift","Night Shift")</f>
        <v/>
      </c>
      <c r="F3343" s="6">
        <f>INT(B3343)</f>
        <v/>
      </c>
      <c r="G3343" s="6">
        <f>INT(C3343)</f>
        <v/>
      </c>
    </row>
    <row r="3344">
      <c r="A3344" s="7" t="inlineStr">
        <is>
          <t>EXD61</t>
        </is>
      </c>
      <c r="B3344" s="8" t="n">
        <v>46087.75</v>
      </c>
      <c r="C3344" s="8" t="n">
        <v>46088.09508101852</v>
      </c>
      <c r="D3344" s="9">
        <f>(C3344-B3344)*24</f>
        <v/>
      </c>
      <c r="E3344" s="10">
        <f>IF(AND(HOUR(B3344)&gt;=6,HOUR(B3344)&lt;18),"Day Shift","Night Shift")</f>
        <v/>
      </c>
      <c r="F3344" s="11">
        <f>INT(B3344)</f>
        <v/>
      </c>
      <c r="G3344" s="11">
        <f>INT(C3344)</f>
        <v/>
      </c>
    </row>
    <row r="3345">
      <c r="A3345" s="7" t="inlineStr">
        <is>
          <t>EXD100</t>
        </is>
      </c>
      <c r="B3345" s="8" t="n">
        <v>46087.75589120371</v>
      </c>
      <c r="C3345" s="8" t="n">
        <v>46088.25</v>
      </c>
      <c r="D3345" s="9">
        <f>(C3345-B3345)*24</f>
        <v/>
      </c>
      <c r="E3345" s="10">
        <f>IF(AND(HOUR(B3345)&gt;=6,HOUR(B3345)&lt;18),"Day Shift","Night Shift")</f>
        <v/>
      </c>
      <c r="F3345" s="11">
        <f>INT(B3345)</f>
        <v/>
      </c>
      <c r="G3345" s="11">
        <f>INT(C3345)</f>
        <v/>
      </c>
    </row>
    <row r="3346">
      <c r="A3346" s="2" t="inlineStr">
        <is>
          <t>EXD100</t>
        </is>
      </c>
      <c r="B3346" s="3" t="n">
        <v>46088.25</v>
      </c>
      <c r="C3346" s="3" t="n">
        <v>46088.33412037037</v>
      </c>
      <c r="D3346" s="4">
        <f>(C3346-B3346)*24</f>
        <v/>
      </c>
      <c r="E3346" s="5">
        <f>IF(AND(HOUR(B3346)&gt;=6,HOUR(B3346)&lt;18),"Day Shift","Night Shift")</f>
        <v/>
      </c>
      <c r="F3346" s="6">
        <f>INT(B3346)</f>
        <v/>
      </c>
      <c r="G3346" s="6">
        <f>INT(C3346)</f>
        <v/>
      </c>
    </row>
    <row r="3347">
      <c r="A3347" s="7" t="inlineStr">
        <is>
          <t>EXD52</t>
        </is>
      </c>
      <c r="B3347" s="8" t="n">
        <v>46087.79177083333</v>
      </c>
      <c r="C3347" s="8" t="n">
        <v>46088.25</v>
      </c>
      <c r="D3347" s="9">
        <f>(C3347-B3347)*24</f>
        <v/>
      </c>
      <c r="E3347" s="10">
        <f>IF(AND(HOUR(B3347)&gt;=6,HOUR(B3347)&lt;18),"Day Shift","Night Shift")</f>
        <v/>
      </c>
      <c r="F3347" s="11">
        <f>INT(B3347)</f>
        <v/>
      </c>
      <c r="G3347" s="11">
        <f>INT(C3347)</f>
        <v/>
      </c>
    </row>
    <row r="3348">
      <c r="A3348" s="2" t="inlineStr">
        <is>
          <t>EXD52</t>
        </is>
      </c>
      <c r="B3348" s="3" t="n">
        <v>46088.25</v>
      </c>
      <c r="C3348" s="3" t="n">
        <v>46088.75</v>
      </c>
      <c r="D3348" s="4">
        <f>(C3348-B3348)*24</f>
        <v/>
      </c>
      <c r="E3348" s="5">
        <f>IF(AND(HOUR(B3348)&gt;=6,HOUR(B3348)&lt;18),"Day Shift","Night Shift")</f>
        <v/>
      </c>
      <c r="F3348" s="6">
        <f>INT(B3348)</f>
        <v/>
      </c>
      <c r="G3348" s="6">
        <f>INT(C3348)</f>
        <v/>
      </c>
    </row>
    <row r="3349">
      <c r="A3349" s="7" t="inlineStr">
        <is>
          <t>EXD52</t>
        </is>
      </c>
      <c r="B3349" s="8" t="n">
        <v>46088.75</v>
      </c>
      <c r="C3349" s="8" t="n">
        <v>46089.18449074074</v>
      </c>
      <c r="D3349" s="9">
        <f>(C3349-B3349)*24</f>
        <v/>
      </c>
      <c r="E3349" s="10">
        <f>IF(AND(HOUR(B3349)&gt;=6,HOUR(B3349)&lt;18),"Day Shift","Night Shift")</f>
        <v/>
      </c>
      <c r="F3349" s="11">
        <f>INT(B3349)</f>
        <v/>
      </c>
      <c r="G3349" s="11">
        <f>INT(C3349)</f>
        <v/>
      </c>
    </row>
    <row r="3350">
      <c r="A3350" s="7" t="inlineStr">
        <is>
          <t>EDD2541;Sprint 1</t>
        </is>
      </c>
      <c r="B3350" s="8" t="n">
        <v>46087.82803240741</v>
      </c>
      <c r="C3350" s="8" t="n">
        <v>46088.03024305555</v>
      </c>
      <c r="D3350" s="9">
        <f>(C3350-B3350)*24</f>
        <v/>
      </c>
      <c r="E3350" s="10">
        <f>IF(AND(HOUR(B3350)&gt;=6,HOUR(B3350)&lt;18),"Day Shift","Night Shift")</f>
        <v/>
      </c>
      <c r="F3350" s="11">
        <f>INT(B3350)</f>
        <v/>
      </c>
      <c r="G3350" s="11">
        <f>INT(C3350)</f>
        <v/>
      </c>
    </row>
    <row r="3351">
      <c r="A3351" s="7" t="inlineStr">
        <is>
          <t>EXD60</t>
        </is>
      </c>
      <c r="B3351" s="8" t="n">
        <v>46087.82931712963</v>
      </c>
      <c r="C3351" s="8" t="n">
        <v>46088.00528935185</v>
      </c>
      <c r="D3351" s="9">
        <f>(C3351-B3351)*24</f>
        <v/>
      </c>
      <c r="E3351" s="10">
        <f>IF(AND(HOUR(B3351)&gt;=6,HOUR(B3351)&lt;18),"Day Shift","Night Shift")</f>
        <v/>
      </c>
      <c r="F3351" s="11">
        <f>INT(B3351)</f>
        <v/>
      </c>
      <c r="G3351" s="11">
        <f>INT(C3351)</f>
        <v/>
      </c>
    </row>
    <row r="3352">
      <c r="A3352" s="7" t="inlineStr">
        <is>
          <t>EDD175;EDD2134</t>
        </is>
      </c>
      <c r="B3352" s="8" t="n">
        <v>46087.85745370371</v>
      </c>
      <c r="C3352" s="8" t="n">
        <v>46087.97784722222</v>
      </c>
      <c r="D3352" s="9">
        <f>(C3352-B3352)*24</f>
        <v/>
      </c>
      <c r="E3352" s="10">
        <f>IF(AND(HOUR(B3352)&gt;=6,HOUR(B3352)&lt;18),"Day Shift","Night Shift")</f>
        <v/>
      </c>
      <c r="F3352" s="11">
        <f>INT(B3352)</f>
        <v/>
      </c>
      <c r="G3352" s="11">
        <f>INT(C3352)</f>
        <v/>
      </c>
    </row>
    <row r="3353">
      <c r="A3353" s="7" t="inlineStr">
        <is>
          <t>EXD408</t>
        </is>
      </c>
      <c r="B3353" s="8" t="n">
        <v>46087.86821759259</v>
      </c>
      <c r="C3353" s="8" t="n">
        <v>46088.25</v>
      </c>
      <c r="D3353" s="9">
        <f>(C3353-B3353)*24</f>
        <v/>
      </c>
      <c r="E3353" s="10">
        <f>IF(AND(HOUR(B3353)&gt;=6,HOUR(B3353)&lt;18),"Day Shift","Night Shift")</f>
        <v/>
      </c>
      <c r="F3353" s="11">
        <f>INT(B3353)</f>
        <v/>
      </c>
      <c r="G3353" s="11">
        <f>INT(C3353)</f>
        <v/>
      </c>
    </row>
    <row r="3354">
      <c r="A3354" s="2" t="inlineStr">
        <is>
          <t>EXD408</t>
        </is>
      </c>
      <c r="B3354" s="3" t="n">
        <v>46088.25</v>
      </c>
      <c r="C3354" s="3" t="n">
        <v>46088.75</v>
      </c>
      <c r="D3354" s="4">
        <f>(C3354-B3354)*24</f>
        <v/>
      </c>
      <c r="E3354" s="5">
        <f>IF(AND(HOUR(B3354)&gt;=6,HOUR(B3354)&lt;18),"Day Shift","Night Shift")</f>
        <v/>
      </c>
      <c r="F3354" s="6">
        <f>INT(B3354)</f>
        <v/>
      </c>
      <c r="G3354" s="6">
        <f>INT(C3354)</f>
        <v/>
      </c>
    </row>
    <row r="3355">
      <c r="A3355" s="7" t="inlineStr">
        <is>
          <t>EXD408</t>
        </is>
      </c>
      <c r="B3355" s="8" t="n">
        <v>46088.75</v>
      </c>
      <c r="C3355" s="8" t="n">
        <v>46089.25</v>
      </c>
      <c r="D3355" s="9">
        <f>(C3355-B3355)*24</f>
        <v/>
      </c>
      <c r="E3355" s="10">
        <f>IF(AND(HOUR(B3355)&gt;=6,HOUR(B3355)&lt;18),"Day Shift","Night Shift")</f>
        <v/>
      </c>
      <c r="F3355" s="11">
        <f>INT(B3355)</f>
        <v/>
      </c>
      <c r="G3355" s="11">
        <f>INT(C3355)</f>
        <v/>
      </c>
    </row>
    <row r="3356">
      <c r="A3356" s="2" t="inlineStr">
        <is>
          <t>EXD408</t>
        </is>
      </c>
      <c r="B3356" s="3" t="n">
        <v>46089.25</v>
      </c>
      <c r="C3356" s="3" t="n">
        <v>46089.37260416667</v>
      </c>
      <c r="D3356" s="4">
        <f>(C3356-B3356)*24</f>
        <v/>
      </c>
      <c r="E3356" s="5">
        <f>IF(AND(HOUR(B3356)&gt;=6,HOUR(B3356)&lt;18),"Day Shift","Night Shift")</f>
        <v/>
      </c>
      <c r="F3356" s="6">
        <f>INT(B3356)</f>
        <v/>
      </c>
      <c r="G3356" s="6">
        <f>INT(C3356)</f>
        <v/>
      </c>
    </row>
    <row r="3357">
      <c r="A3357" s="7" t="inlineStr">
        <is>
          <t>EDD175;EDD2134</t>
        </is>
      </c>
      <c r="B3357" s="8" t="n">
        <v>46087.97784722222</v>
      </c>
      <c r="C3357" s="8" t="n">
        <v>46088.08185185185</v>
      </c>
      <c r="D3357" s="9">
        <f>(C3357-B3357)*24</f>
        <v/>
      </c>
      <c r="E3357" s="10">
        <f>IF(AND(HOUR(B3357)&gt;=6,HOUR(B3357)&lt;18),"Day Shift","Night Shift")</f>
        <v/>
      </c>
      <c r="F3357" s="11">
        <f>INT(B3357)</f>
        <v/>
      </c>
      <c r="G3357" s="11">
        <f>INT(C3357)</f>
        <v/>
      </c>
    </row>
    <row r="3358">
      <c r="A3358" s="7" t="inlineStr">
        <is>
          <t>EXD98</t>
        </is>
      </c>
      <c r="B3358" s="8" t="n">
        <v>46087.99515046296</v>
      </c>
      <c r="C3358" s="8" t="n">
        <v>46088.25</v>
      </c>
      <c r="D3358" s="9">
        <f>(C3358-B3358)*24</f>
        <v/>
      </c>
      <c r="E3358" s="10">
        <f>IF(AND(HOUR(B3358)&gt;=6,HOUR(B3358)&lt;18),"Day Shift","Night Shift")</f>
        <v/>
      </c>
      <c r="F3358" s="11">
        <f>INT(B3358)</f>
        <v/>
      </c>
      <c r="G3358" s="11">
        <f>INT(C3358)</f>
        <v/>
      </c>
    </row>
    <row r="3359">
      <c r="A3359" s="2" t="inlineStr">
        <is>
          <t>EXD98</t>
        </is>
      </c>
      <c r="B3359" s="3" t="n">
        <v>46088.25</v>
      </c>
      <c r="C3359" s="3" t="n">
        <v>46088.65224537037</v>
      </c>
      <c r="D3359" s="4">
        <f>(C3359-B3359)*24</f>
        <v/>
      </c>
      <c r="E3359" s="5">
        <f>IF(AND(HOUR(B3359)&gt;=6,HOUR(B3359)&lt;18),"Day Shift","Night Shift")</f>
        <v/>
      </c>
      <c r="F3359" s="6">
        <f>INT(B3359)</f>
        <v/>
      </c>
      <c r="G3359" s="6">
        <f>INT(C3359)</f>
        <v/>
      </c>
    </row>
    <row r="3360">
      <c r="A3360" s="7" t="inlineStr">
        <is>
          <t>EXD60</t>
        </is>
      </c>
      <c r="B3360" s="8" t="n">
        <v>46088.00577546296</v>
      </c>
      <c r="C3360" s="8" t="n">
        <v>46088.25</v>
      </c>
      <c r="D3360" s="9">
        <f>(C3360-B3360)*24</f>
        <v/>
      </c>
      <c r="E3360" s="10">
        <f>IF(AND(HOUR(B3360)&gt;=6,HOUR(B3360)&lt;18),"Day Shift","Night Shift")</f>
        <v/>
      </c>
      <c r="F3360" s="11">
        <f>INT(B3360)</f>
        <v/>
      </c>
      <c r="G3360" s="11">
        <f>INT(C3360)</f>
        <v/>
      </c>
    </row>
    <row r="3361">
      <c r="A3361" s="2" t="inlineStr">
        <is>
          <t>EXD60</t>
        </is>
      </c>
      <c r="B3361" s="3" t="n">
        <v>46088.25</v>
      </c>
      <c r="C3361" s="3" t="n">
        <v>46088.75</v>
      </c>
      <c r="D3361" s="4">
        <f>(C3361-B3361)*24</f>
        <v/>
      </c>
      <c r="E3361" s="5">
        <f>IF(AND(HOUR(B3361)&gt;=6,HOUR(B3361)&lt;18),"Day Shift","Night Shift")</f>
        <v/>
      </c>
      <c r="F3361" s="6">
        <f>INT(B3361)</f>
        <v/>
      </c>
      <c r="G3361" s="6">
        <f>INT(C3361)</f>
        <v/>
      </c>
    </row>
    <row r="3362">
      <c r="A3362" s="7" t="inlineStr">
        <is>
          <t>EXD60</t>
        </is>
      </c>
      <c r="B3362" s="8" t="n">
        <v>46088.75</v>
      </c>
      <c r="C3362" s="8" t="n">
        <v>46089.25</v>
      </c>
      <c r="D3362" s="9">
        <f>(C3362-B3362)*24</f>
        <v/>
      </c>
      <c r="E3362" s="10">
        <f>IF(AND(HOUR(B3362)&gt;=6,HOUR(B3362)&lt;18),"Day Shift","Night Shift")</f>
        <v/>
      </c>
      <c r="F3362" s="11">
        <f>INT(B3362)</f>
        <v/>
      </c>
      <c r="G3362" s="11">
        <f>INT(C3362)</f>
        <v/>
      </c>
    </row>
    <row r="3363">
      <c r="A3363" s="2" t="inlineStr">
        <is>
          <t>EXD60</t>
        </is>
      </c>
      <c r="B3363" s="3" t="n">
        <v>46089.25</v>
      </c>
      <c r="C3363" s="3" t="n">
        <v>46089.75</v>
      </c>
      <c r="D3363" s="4">
        <f>(C3363-B3363)*24</f>
        <v/>
      </c>
      <c r="E3363" s="5">
        <f>IF(AND(HOUR(B3363)&gt;=6,HOUR(B3363)&lt;18),"Day Shift","Night Shift")</f>
        <v/>
      </c>
      <c r="F3363" s="6">
        <f>INT(B3363)</f>
        <v/>
      </c>
      <c r="G3363" s="6">
        <f>INT(C3363)</f>
        <v/>
      </c>
    </row>
    <row r="3364">
      <c r="A3364" s="7" t="inlineStr">
        <is>
          <t>EXD60</t>
        </is>
      </c>
      <c r="B3364" s="8" t="n">
        <v>46089.75</v>
      </c>
      <c r="C3364" s="8" t="n">
        <v>46090.06344907408</v>
      </c>
      <c r="D3364" s="9">
        <f>(C3364-B3364)*24</f>
        <v/>
      </c>
      <c r="E3364" s="10">
        <f>IF(AND(HOUR(B3364)&gt;=6,HOUR(B3364)&lt;18),"Day Shift","Night Shift")</f>
        <v/>
      </c>
      <c r="F3364" s="11">
        <f>INT(B3364)</f>
        <v/>
      </c>
      <c r="G3364" s="11">
        <f>INT(C3364)</f>
        <v/>
      </c>
    </row>
    <row r="3365">
      <c r="A3365" s="7" t="inlineStr">
        <is>
          <t>EDD2541;Sprint 1</t>
        </is>
      </c>
      <c r="B3365" s="8" t="n">
        <v>46088.03024305555</v>
      </c>
      <c r="C3365" s="8" t="n">
        <v>46088.20019675926</v>
      </c>
      <c r="D3365" s="9">
        <f>(C3365-B3365)*24</f>
        <v/>
      </c>
      <c r="E3365" s="10">
        <f>IF(AND(HOUR(B3365)&gt;=6,HOUR(B3365)&lt;18),"Day Shift","Night Shift")</f>
        <v/>
      </c>
      <c r="F3365" s="11">
        <f>INT(B3365)</f>
        <v/>
      </c>
      <c r="G3365" s="11">
        <f>INT(C3365)</f>
        <v/>
      </c>
    </row>
    <row r="3366">
      <c r="A3366" s="7" t="inlineStr">
        <is>
          <t>SHE36</t>
        </is>
      </c>
      <c r="B3366" s="8" t="n">
        <v>46088.0497800926</v>
      </c>
      <c r="C3366" s="8" t="n">
        <v>46088.25</v>
      </c>
      <c r="D3366" s="9">
        <f>(C3366-B3366)*24</f>
        <v/>
      </c>
      <c r="E3366" s="10">
        <f>IF(AND(HOUR(B3366)&gt;=6,HOUR(B3366)&lt;18),"Day Shift","Night Shift")</f>
        <v/>
      </c>
      <c r="F3366" s="11">
        <f>INT(B3366)</f>
        <v/>
      </c>
      <c r="G3366" s="11">
        <f>INT(C3366)</f>
        <v/>
      </c>
    </row>
    <row r="3367">
      <c r="A3367" s="2" t="inlineStr">
        <is>
          <t>SHE36</t>
        </is>
      </c>
      <c r="B3367" s="3" t="n">
        <v>46088.25</v>
      </c>
      <c r="C3367" s="3" t="n">
        <v>46088.75</v>
      </c>
      <c r="D3367" s="4">
        <f>(C3367-B3367)*24</f>
        <v/>
      </c>
      <c r="E3367" s="5">
        <f>IF(AND(HOUR(B3367)&gt;=6,HOUR(B3367)&lt;18),"Day Shift","Night Shift")</f>
        <v/>
      </c>
      <c r="F3367" s="6">
        <f>INT(B3367)</f>
        <v/>
      </c>
      <c r="G3367" s="6">
        <f>INT(C3367)</f>
        <v/>
      </c>
    </row>
    <row r="3368">
      <c r="A3368" s="7" t="inlineStr">
        <is>
          <t>SHE36</t>
        </is>
      </c>
      <c r="B3368" s="8" t="n">
        <v>46088.75</v>
      </c>
      <c r="C3368" s="8" t="n">
        <v>46089.16359953704</v>
      </c>
      <c r="D3368" s="9">
        <f>(C3368-B3368)*24</f>
        <v/>
      </c>
      <c r="E3368" s="10">
        <f>IF(AND(HOUR(B3368)&gt;=6,HOUR(B3368)&lt;18),"Day Shift","Night Shift")</f>
        <v/>
      </c>
      <c r="F3368" s="11">
        <f>INT(B3368)</f>
        <v/>
      </c>
      <c r="G3368" s="11">
        <f>INT(C3368)</f>
        <v/>
      </c>
    </row>
    <row r="3369">
      <c r="A3369" s="7" t="inlineStr">
        <is>
          <t>EXD61</t>
        </is>
      </c>
      <c r="B3369" s="8" t="n">
        <v>46088.09508101852</v>
      </c>
      <c r="C3369" s="8" t="n">
        <v>46088.25</v>
      </c>
      <c r="D3369" s="9">
        <f>(C3369-B3369)*24</f>
        <v/>
      </c>
      <c r="E3369" s="10">
        <f>IF(AND(HOUR(B3369)&gt;=6,HOUR(B3369)&lt;18),"Day Shift","Night Shift")</f>
        <v/>
      </c>
      <c r="F3369" s="11">
        <f>INT(B3369)</f>
        <v/>
      </c>
      <c r="G3369" s="11">
        <f>INT(C3369)</f>
        <v/>
      </c>
    </row>
    <row r="3370">
      <c r="A3370" s="2" t="inlineStr">
        <is>
          <t>EXD61</t>
        </is>
      </c>
      <c r="B3370" s="3" t="n">
        <v>46088.25</v>
      </c>
      <c r="C3370" s="3" t="n">
        <v>46088.75</v>
      </c>
      <c r="D3370" s="4">
        <f>(C3370-B3370)*24</f>
        <v/>
      </c>
      <c r="E3370" s="5">
        <f>IF(AND(HOUR(B3370)&gt;=6,HOUR(B3370)&lt;18),"Day Shift","Night Shift")</f>
        <v/>
      </c>
      <c r="F3370" s="6">
        <f>INT(B3370)</f>
        <v/>
      </c>
      <c r="G3370" s="6">
        <f>INT(C3370)</f>
        <v/>
      </c>
    </row>
    <row r="3371">
      <c r="A3371" s="7" t="inlineStr">
        <is>
          <t>EXD61</t>
        </is>
      </c>
      <c r="B3371" s="8" t="n">
        <v>46088.75</v>
      </c>
      <c r="C3371" s="8" t="n">
        <v>46089.25</v>
      </c>
      <c r="D3371" s="9">
        <f>(C3371-B3371)*24</f>
        <v/>
      </c>
      <c r="E3371" s="10">
        <f>IF(AND(HOUR(B3371)&gt;=6,HOUR(B3371)&lt;18),"Day Shift","Night Shift")</f>
        <v/>
      </c>
      <c r="F3371" s="11">
        <f>INT(B3371)</f>
        <v/>
      </c>
      <c r="G3371" s="11">
        <f>INT(C3371)</f>
        <v/>
      </c>
    </row>
    <row r="3372">
      <c r="A3372" s="2" t="inlineStr">
        <is>
          <t>EXD61</t>
        </is>
      </c>
      <c r="B3372" s="3" t="n">
        <v>46089.25</v>
      </c>
      <c r="C3372" s="3" t="n">
        <v>46089.37836805556</v>
      </c>
      <c r="D3372" s="4">
        <f>(C3372-B3372)*24</f>
        <v/>
      </c>
      <c r="E3372" s="5">
        <f>IF(AND(HOUR(B3372)&gt;=6,HOUR(B3372)&lt;18),"Day Shift","Night Shift")</f>
        <v/>
      </c>
      <c r="F3372" s="6">
        <f>INT(B3372)</f>
        <v/>
      </c>
      <c r="G3372" s="6">
        <f>INT(C3372)</f>
        <v/>
      </c>
    </row>
    <row r="3373">
      <c r="A3373" s="7" t="inlineStr">
        <is>
          <t>EXD101</t>
        </is>
      </c>
      <c r="B3373" s="8" t="n">
        <v>46088.14737268518</v>
      </c>
      <c r="C3373" s="8" t="n">
        <v>46088.25</v>
      </c>
      <c r="D3373" s="9">
        <f>(C3373-B3373)*24</f>
        <v/>
      </c>
      <c r="E3373" s="10">
        <f>IF(AND(HOUR(B3373)&gt;=6,HOUR(B3373)&lt;18),"Day Shift","Night Shift")</f>
        <v/>
      </c>
      <c r="F3373" s="11">
        <f>INT(B3373)</f>
        <v/>
      </c>
      <c r="G3373" s="11">
        <f>INT(C3373)</f>
        <v/>
      </c>
    </row>
    <row r="3374">
      <c r="A3374" s="2" t="inlineStr">
        <is>
          <t>EXD101</t>
        </is>
      </c>
      <c r="B3374" s="3" t="n">
        <v>46088.25</v>
      </c>
      <c r="C3374" s="3" t="n">
        <v>46088.75</v>
      </c>
      <c r="D3374" s="4">
        <f>(C3374-B3374)*24</f>
        <v/>
      </c>
      <c r="E3374" s="5">
        <f>IF(AND(HOUR(B3374)&gt;=6,HOUR(B3374)&lt;18),"Day Shift","Night Shift")</f>
        <v/>
      </c>
      <c r="F3374" s="6">
        <f>INT(B3374)</f>
        <v/>
      </c>
      <c r="G3374" s="6">
        <f>INT(C3374)</f>
        <v/>
      </c>
    </row>
    <row r="3375">
      <c r="A3375" s="7" t="inlineStr">
        <is>
          <t>EXD101</t>
        </is>
      </c>
      <c r="B3375" s="8" t="n">
        <v>46088.75</v>
      </c>
      <c r="C3375" s="8" t="n">
        <v>46088.92376157407</v>
      </c>
      <c r="D3375" s="9">
        <f>(C3375-B3375)*24</f>
        <v/>
      </c>
      <c r="E3375" s="10">
        <f>IF(AND(HOUR(B3375)&gt;=6,HOUR(B3375)&lt;18),"Day Shift","Night Shift")</f>
        <v/>
      </c>
      <c r="F3375" s="11">
        <f>INT(B3375)</f>
        <v/>
      </c>
      <c r="G3375" s="11">
        <f>INT(C3375)</f>
        <v/>
      </c>
    </row>
    <row r="3376">
      <c r="A3376" s="7" t="inlineStr">
        <is>
          <t>EXD409</t>
        </is>
      </c>
      <c r="B3376" s="8" t="n">
        <v>46088.19280092593</v>
      </c>
      <c r="C3376" s="8" t="n">
        <v>46088.25</v>
      </c>
      <c r="D3376" s="9">
        <f>(C3376-B3376)*24</f>
        <v/>
      </c>
      <c r="E3376" s="10">
        <f>IF(AND(HOUR(B3376)&gt;=6,HOUR(B3376)&lt;18),"Day Shift","Night Shift")</f>
        <v/>
      </c>
      <c r="F3376" s="11">
        <f>INT(B3376)</f>
        <v/>
      </c>
      <c r="G3376" s="11">
        <f>INT(C3376)</f>
        <v/>
      </c>
    </row>
    <row r="3377">
      <c r="A3377" s="2" t="inlineStr">
        <is>
          <t>EXD409</t>
        </is>
      </c>
      <c r="B3377" s="3" t="n">
        <v>46088.25</v>
      </c>
      <c r="C3377" s="3" t="n">
        <v>46088.44076388889</v>
      </c>
      <c r="D3377" s="4">
        <f>(C3377-B3377)*24</f>
        <v/>
      </c>
      <c r="E3377" s="5">
        <f>IF(AND(HOUR(B3377)&gt;=6,HOUR(B3377)&lt;18),"Day Shift","Night Shift")</f>
        <v/>
      </c>
      <c r="F3377" s="6">
        <f>INT(B3377)</f>
        <v/>
      </c>
      <c r="G3377" s="6">
        <f>INT(C3377)</f>
        <v/>
      </c>
    </row>
    <row r="3378">
      <c r="A3378" s="7" t="inlineStr">
        <is>
          <t>EDD2541;Sprint 1</t>
        </is>
      </c>
      <c r="B3378" s="8" t="n">
        <v>46088.21667824074</v>
      </c>
      <c r="C3378" s="8" t="n">
        <v>46088.25</v>
      </c>
      <c r="D3378" s="9">
        <f>(C3378-B3378)*24</f>
        <v/>
      </c>
      <c r="E3378" s="10">
        <f>IF(AND(HOUR(B3378)&gt;=6,HOUR(B3378)&lt;18),"Day Shift","Night Shift")</f>
        <v/>
      </c>
      <c r="F3378" s="11">
        <f>INT(B3378)</f>
        <v/>
      </c>
      <c r="G3378" s="11">
        <f>INT(C3378)</f>
        <v/>
      </c>
    </row>
    <row r="3379">
      <c r="A3379" s="2" t="inlineStr">
        <is>
          <t>EDD2541;Sprint 1</t>
        </is>
      </c>
      <c r="B3379" s="3" t="n">
        <v>46088.25</v>
      </c>
      <c r="C3379" s="3" t="n">
        <v>46088.33785879629</v>
      </c>
      <c r="D3379" s="4">
        <f>(C3379-B3379)*24</f>
        <v/>
      </c>
      <c r="E3379" s="5">
        <f>IF(AND(HOUR(B3379)&gt;=6,HOUR(B3379)&lt;18),"Day Shift","Night Shift")</f>
        <v/>
      </c>
      <c r="F3379" s="6">
        <f>INT(B3379)</f>
        <v/>
      </c>
      <c r="G3379" s="6">
        <f>INT(C3379)</f>
        <v/>
      </c>
    </row>
    <row r="3380">
      <c r="A3380" s="2" t="inlineStr">
        <is>
          <t>EDD175;EDD2134</t>
        </is>
      </c>
      <c r="B3380" s="3" t="n">
        <v>46088.26495370371</v>
      </c>
      <c r="C3380" s="3" t="n">
        <v>46088.75</v>
      </c>
      <c r="D3380" s="4">
        <f>(C3380-B3380)*24</f>
        <v/>
      </c>
      <c r="E3380" s="5">
        <f>IF(AND(HOUR(B3380)&gt;=6,HOUR(B3380)&lt;18),"Day Shift","Night Shift")</f>
        <v/>
      </c>
      <c r="F3380" s="6">
        <f>INT(B3380)</f>
        <v/>
      </c>
      <c r="G3380" s="6">
        <f>INT(C3380)</f>
        <v/>
      </c>
    </row>
    <row r="3381">
      <c r="A3381" s="7" t="inlineStr">
        <is>
          <t>EDD175;EDD2134</t>
        </is>
      </c>
      <c r="B3381" s="8" t="n">
        <v>46088.75</v>
      </c>
      <c r="C3381" s="8" t="n">
        <v>46089.21974537037</v>
      </c>
      <c r="D3381" s="9">
        <f>(C3381-B3381)*24</f>
        <v/>
      </c>
      <c r="E3381" s="10">
        <f>IF(AND(HOUR(B3381)&gt;=6,HOUR(B3381)&lt;18),"Day Shift","Night Shift")</f>
        <v/>
      </c>
      <c r="F3381" s="11">
        <f>INT(B3381)</f>
        <v/>
      </c>
      <c r="G3381" s="11">
        <f>INT(C3381)</f>
        <v/>
      </c>
    </row>
    <row r="3382">
      <c r="A3382" s="2" t="inlineStr">
        <is>
          <t>EXD100</t>
        </is>
      </c>
      <c r="B3382" s="3" t="n">
        <v>46088.33412037037</v>
      </c>
      <c r="C3382" s="3" t="n">
        <v>46088.75</v>
      </c>
      <c r="D3382" s="4">
        <f>(C3382-B3382)*24</f>
        <v/>
      </c>
      <c r="E3382" s="5">
        <f>IF(AND(HOUR(B3382)&gt;=6,HOUR(B3382)&lt;18),"Day Shift","Night Shift")</f>
        <v/>
      </c>
      <c r="F3382" s="6">
        <f>INT(B3382)</f>
        <v/>
      </c>
      <c r="G3382" s="6">
        <f>INT(C3382)</f>
        <v/>
      </c>
    </row>
    <row r="3383">
      <c r="A3383" s="7" t="inlineStr">
        <is>
          <t>EXD100</t>
        </is>
      </c>
      <c r="B3383" s="8" t="n">
        <v>46088.75</v>
      </c>
      <c r="C3383" s="8" t="n">
        <v>46088.91476851852</v>
      </c>
      <c r="D3383" s="9">
        <f>(C3383-B3383)*24</f>
        <v/>
      </c>
      <c r="E3383" s="10">
        <f>IF(AND(HOUR(B3383)&gt;=6,HOUR(B3383)&lt;18),"Day Shift","Night Shift")</f>
        <v/>
      </c>
      <c r="F3383" s="11">
        <f>INT(B3383)</f>
        <v/>
      </c>
      <c r="G3383" s="11">
        <f>INT(C3383)</f>
        <v/>
      </c>
    </row>
    <row r="3384">
      <c r="A3384" s="2" t="inlineStr">
        <is>
          <t>EDD2541;Sprint 1</t>
        </is>
      </c>
      <c r="B3384" s="3" t="n">
        <v>46088.33785879629</v>
      </c>
      <c r="C3384" s="3" t="n">
        <v>46088.56769675926</v>
      </c>
      <c r="D3384" s="4">
        <f>(C3384-B3384)*24</f>
        <v/>
      </c>
      <c r="E3384" s="5">
        <f>IF(AND(HOUR(B3384)&gt;=6,HOUR(B3384)&lt;18),"Day Shift","Night Shift")</f>
        <v/>
      </c>
      <c r="F3384" s="6">
        <f>INT(B3384)</f>
        <v/>
      </c>
      <c r="G3384" s="6">
        <f>INT(C3384)</f>
        <v/>
      </c>
    </row>
    <row r="3385">
      <c r="A3385" s="2" t="inlineStr">
        <is>
          <t>Stag Drill</t>
        </is>
      </c>
      <c r="B3385" s="3" t="n">
        <v>46088.40077546296</v>
      </c>
      <c r="C3385" s="3" t="n">
        <v>46088.75</v>
      </c>
      <c r="D3385" s="4">
        <f>(C3385-B3385)*24</f>
        <v/>
      </c>
      <c r="E3385" s="5">
        <f>IF(AND(HOUR(B3385)&gt;=6,HOUR(B3385)&lt;18),"Day Shift","Night Shift")</f>
        <v/>
      </c>
      <c r="F3385" s="6">
        <f>INT(B3385)</f>
        <v/>
      </c>
      <c r="G3385" s="6">
        <f>INT(C3385)</f>
        <v/>
      </c>
    </row>
    <row r="3386">
      <c r="A3386" s="7" t="inlineStr">
        <is>
          <t>Stag Drill</t>
        </is>
      </c>
      <c r="B3386" s="8" t="n">
        <v>46088.75</v>
      </c>
      <c r="C3386" s="8" t="n">
        <v>46088.96784722222</v>
      </c>
      <c r="D3386" s="9">
        <f>(C3386-B3386)*24</f>
        <v/>
      </c>
      <c r="E3386" s="10">
        <f>IF(AND(HOUR(B3386)&gt;=6,HOUR(B3386)&lt;18),"Day Shift","Night Shift")</f>
        <v/>
      </c>
      <c r="F3386" s="11">
        <f>INT(B3386)</f>
        <v/>
      </c>
      <c r="G3386" s="11">
        <f>INT(C3386)</f>
        <v/>
      </c>
    </row>
    <row r="3387">
      <c r="A3387" s="2" t="inlineStr">
        <is>
          <t>EXD409</t>
        </is>
      </c>
      <c r="B3387" s="3" t="n">
        <v>46088.44128472222</v>
      </c>
      <c r="C3387" s="3" t="n">
        <v>46088.75</v>
      </c>
      <c r="D3387" s="4">
        <f>(C3387-B3387)*24</f>
        <v/>
      </c>
      <c r="E3387" s="5">
        <f>IF(AND(HOUR(B3387)&gt;=6,HOUR(B3387)&lt;18),"Day Shift","Night Shift")</f>
        <v/>
      </c>
      <c r="F3387" s="6">
        <f>INT(B3387)</f>
        <v/>
      </c>
      <c r="G3387" s="6">
        <f>INT(C3387)</f>
        <v/>
      </c>
    </row>
    <row r="3388">
      <c r="A3388" s="7" t="inlineStr">
        <is>
          <t>EXD409</t>
        </is>
      </c>
      <c r="B3388" s="8" t="n">
        <v>46088.75</v>
      </c>
      <c r="C3388" s="8" t="n">
        <v>46088.76128472222</v>
      </c>
      <c r="D3388" s="9">
        <f>(C3388-B3388)*24</f>
        <v/>
      </c>
      <c r="E3388" s="10">
        <f>IF(AND(HOUR(B3388)&gt;=6,HOUR(B3388)&lt;18),"Day Shift","Night Shift")</f>
        <v/>
      </c>
      <c r="F3388" s="11">
        <f>INT(B3388)</f>
        <v/>
      </c>
      <c r="G3388" s="11">
        <f>INT(C3388)</f>
        <v/>
      </c>
    </row>
    <row r="3389">
      <c r="A3389" s="2" t="inlineStr">
        <is>
          <t>EXD55;EXD51</t>
        </is>
      </c>
      <c r="B3389" s="3" t="n">
        <v>46088.45003472222</v>
      </c>
      <c r="C3389" s="3" t="n">
        <v>46088.75</v>
      </c>
      <c r="D3389" s="4">
        <f>(C3389-B3389)*24</f>
        <v/>
      </c>
      <c r="E3389" s="5">
        <f>IF(AND(HOUR(B3389)&gt;=6,HOUR(B3389)&lt;18),"Day Shift","Night Shift")</f>
        <v/>
      </c>
      <c r="F3389" s="6">
        <f>INT(B3389)</f>
        <v/>
      </c>
      <c r="G3389" s="6">
        <f>INT(C3389)</f>
        <v/>
      </c>
    </row>
    <row r="3390">
      <c r="A3390" s="7" t="inlineStr">
        <is>
          <t>EXD55;EXD51</t>
        </is>
      </c>
      <c r="B3390" s="8" t="n">
        <v>46088.75</v>
      </c>
      <c r="C3390" s="8" t="n">
        <v>46089.25</v>
      </c>
      <c r="D3390" s="9">
        <f>(C3390-B3390)*24</f>
        <v/>
      </c>
      <c r="E3390" s="10">
        <f>IF(AND(HOUR(B3390)&gt;=6,HOUR(B3390)&lt;18),"Day Shift","Night Shift")</f>
        <v/>
      </c>
      <c r="F3390" s="11">
        <f>INT(B3390)</f>
        <v/>
      </c>
      <c r="G3390" s="11">
        <f>INT(C3390)</f>
        <v/>
      </c>
    </row>
    <row r="3391">
      <c r="A3391" s="2" t="inlineStr">
        <is>
          <t>EXD55;EXD51</t>
        </is>
      </c>
      <c r="B3391" s="3" t="n">
        <v>46089.25</v>
      </c>
      <c r="C3391" s="3" t="n">
        <v>46089.44481481481</v>
      </c>
      <c r="D3391" s="4">
        <f>(C3391-B3391)*24</f>
        <v/>
      </c>
      <c r="E3391" s="5">
        <f>IF(AND(HOUR(B3391)&gt;=6,HOUR(B3391)&lt;18),"Day Shift","Night Shift")</f>
        <v/>
      </c>
      <c r="F3391" s="6">
        <f>INT(B3391)</f>
        <v/>
      </c>
      <c r="G3391" s="6">
        <f>INT(C3391)</f>
        <v/>
      </c>
    </row>
    <row r="3392">
      <c r="A3392" s="2" t="inlineStr">
        <is>
          <t>EDD812</t>
        </is>
      </c>
      <c r="B3392" s="3" t="n">
        <v>46088.49145833333</v>
      </c>
      <c r="C3392" s="3" t="n">
        <v>46088.75</v>
      </c>
      <c r="D3392" s="4">
        <f>(C3392-B3392)*24</f>
        <v/>
      </c>
      <c r="E3392" s="5">
        <f>IF(AND(HOUR(B3392)&gt;=6,HOUR(B3392)&lt;18),"Day Shift","Night Shift")</f>
        <v/>
      </c>
      <c r="F3392" s="6">
        <f>INT(B3392)</f>
        <v/>
      </c>
      <c r="G3392" s="6">
        <f>INT(C3392)</f>
        <v/>
      </c>
    </row>
    <row r="3393">
      <c r="A3393" s="7" t="inlineStr">
        <is>
          <t>EDD812</t>
        </is>
      </c>
      <c r="B3393" s="8" t="n">
        <v>46088.75</v>
      </c>
      <c r="C3393" s="8" t="n">
        <v>46089.25</v>
      </c>
      <c r="D3393" s="9">
        <f>(C3393-B3393)*24</f>
        <v/>
      </c>
      <c r="E3393" s="10">
        <f>IF(AND(HOUR(B3393)&gt;=6,HOUR(B3393)&lt;18),"Day Shift","Night Shift")</f>
        <v/>
      </c>
      <c r="F3393" s="11">
        <f>INT(B3393)</f>
        <v/>
      </c>
      <c r="G3393" s="11">
        <f>INT(C3393)</f>
        <v/>
      </c>
    </row>
    <row r="3394">
      <c r="A3394" s="2" t="inlineStr">
        <is>
          <t>EDD812</t>
        </is>
      </c>
      <c r="B3394" s="3" t="n">
        <v>46089.25</v>
      </c>
      <c r="C3394" s="3" t="n">
        <v>46089.27276620371</v>
      </c>
      <c r="D3394" s="4">
        <f>(C3394-B3394)*24</f>
        <v/>
      </c>
      <c r="E3394" s="5">
        <f>IF(AND(HOUR(B3394)&gt;=6,HOUR(B3394)&lt;18),"Day Shift","Night Shift")</f>
        <v/>
      </c>
      <c r="F3394" s="6">
        <f>INT(B3394)</f>
        <v/>
      </c>
      <c r="G3394" s="6">
        <f>INT(C3394)</f>
        <v/>
      </c>
    </row>
    <row r="3395">
      <c r="A3395" s="2" t="inlineStr">
        <is>
          <t>EDD2541;Sprint 1</t>
        </is>
      </c>
      <c r="B3395" s="3" t="n">
        <v>46088.56769675926</v>
      </c>
      <c r="C3395" s="3" t="n">
        <v>46088.75</v>
      </c>
      <c r="D3395" s="4">
        <f>(C3395-B3395)*24</f>
        <v/>
      </c>
      <c r="E3395" s="5">
        <f>IF(AND(HOUR(B3395)&gt;=6,HOUR(B3395)&lt;18),"Day Shift","Night Shift")</f>
        <v/>
      </c>
      <c r="F3395" s="6">
        <f>INT(B3395)</f>
        <v/>
      </c>
      <c r="G3395" s="6">
        <f>INT(C3395)</f>
        <v/>
      </c>
    </row>
    <row r="3396">
      <c r="A3396" s="7" t="inlineStr">
        <is>
          <t>EDD2541;Sprint 1</t>
        </is>
      </c>
      <c r="B3396" s="8" t="n">
        <v>46088.75</v>
      </c>
      <c r="C3396" s="8" t="n">
        <v>46088.83480324074</v>
      </c>
      <c r="D3396" s="9">
        <f>(C3396-B3396)*24</f>
        <v/>
      </c>
      <c r="E3396" s="10">
        <f>IF(AND(HOUR(B3396)&gt;=6,HOUR(B3396)&lt;18),"Day Shift","Night Shift")</f>
        <v/>
      </c>
      <c r="F3396" s="11">
        <f>INT(B3396)</f>
        <v/>
      </c>
      <c r="G3396" s="11">
        <f>INT(C3396)</f>
        <v/>
      </c>
    </row>
    <row r="3397">
      <c r="A3397" s="2" t="inlineStr">
        <is>
          <t>EXD98</t>
        </is>
      </c>
      <c r="B3397" s="3" t="n">
        <v>46088.65224537037</v>
      </c>
      <c r="C3397" s="3" t="n">
        <v>46088.75</v>
      </c>
      <c r="D3397" s="4">
        <f>(C3397-B3397)*24</f>
        <v/>
      </c>
      <c r="E3397" s="5">
        <f>IF(AND(HOUR(B3397)&gt;=6,HOUR(B3397)&lt;18),"Day Shift","Night Shift")</f>
        <v/>
      </c>
      <c r="F3397" s="6">
        <f>INT(B3397)</f>
        <v/>
      </c>
      <c r="G3397" s="6">
        <f>INT(C3397)</f>
        <v/>
      </c>
    </row>
    <row r="3398">
      <c r="A3398" s="7" t="inlineStr">
        <is>
          <t>EXD98</t>
        </is>
      </c>
      <c r="B3398" s="8" t="n">
        <v>46088.75</v>
      </c>
      <c r="C3398" s="8" t="n">
        <v>46089.25</v>
      </c>
      <c r="D3398" s="9">
        <f>(C3398-B3398)*24</f>
        <v/>
      </c>
      <c r="E3398" s="10">
        <f>IF(AND(HOUR(B3398)&gt;=6,HOUR(B3398)&lt;18),"Day Shift","Night Shift")</f>
        <v/>
      </c>
      <c r="F3398" s="11">
        <f>INT(B3398)</f>
        <v/>
      </c>
      <c r="G3398" s="11">
        <f>INT(C3398)</f>
        <v/>
      </c>
    </row>
    <row r="3399">
      <c r="A3399" s="2" t="inlineStr">
        <is>
          <t>EXD98</t>
        </is>
      </c>
      <c r="B3399" s="3" t="n">
        <v>46089.25</v>
      </c>
      <c r="C3399" s="3" t="n">
        <v>46089.5971412037</v>
      </c>
      <c r="D3399" s="4">
        <f>(C3399-B3399)*24</f>
        <v/>
      </c>
      <c r="E3399" s="5">
        <f>IF(AND(HOUR(B3399)&gt;=6,HOUR(B3399)&lt;18),"Day Shift","Night Shift")</f>
        <v/>
      </c>
      <c r="F3399" s="6">
        <f>INT(B3399)</f>
        <v/>
      </c>
      <c r="G3399" s="6">
        <f>INT(C3399)</f>
        <v/>
      </c>
    </row>
    <row r="3400">
      <c r="A3400" s="2" t="inlineStr">
        <is>
          <t>EXD73</t>
        </is>
      </c>
      <c r="B3400" s="3" t="n">
        <v>46088.72439814815</v>
      </c>
      <c r="C3400" s="3" t="n">
        <v>46088.75</v>
      </c>
      <c r="D3400" s="4">
        <f>(C3400-B3400)*24</f>
        <v/>
      </c>
      <c r="E3400" s="5">
        <f>IF(AND(HOUR(B3400)&gt;=6,HOUR(B3400)&lt;18),"Day Shift","Night Shift")</f>
        <v/>
      </c>
      <c r="F3400" s="6">
        <f>INT(B3400)</f>
        <v/>
      </c>
      <c r="G3400" s="6">
        <f>INT(C3400)</f>
        <v/>
      </c>
    </row>
    <row r="3401">
      <c r="A3401" s="7" t="inlineStr">
        <is>
          <t>EXD73</t>
        </is>
      </c>
      <c r="B3401" s="8" t="n">
        <v>46088.75</v>
      </c>
      <c r="C3401" s="8" t="n">
        <v>46089.25</v>
      </c>
      <c r="D3401" s="9">
        <f>(C3401-B3401)*24</f>
        <v/>
      </c>
      <c r="E3401" s="10">
        <f>IF(AND(HOUR(B3401)&gt;=6,HOUR(B3401)&lt;18),"Day Shift","Night Shift")</f>
        <v/>
      </c>
      <c r="F3401" s="11">
        <f>INT(B3401)</f>
        <v/>
      </c>
      <c r="G3401" s="11">
        <f>INT(C3401)</f>
        <v/>
      </c>
    </row>
    <row r="3402">
      <c r="A3402" s="2" t="inlineStr">
        <is>
          <t>EXD73</t>
        </is>
      </c>
      <c r="B3402" s="3" t="n">
        <v>46089.25</v>
      </c>
      <c r="C3402" s="3" t="n">
        <v>46089.43226851852</v>
      </c>
      <c r="D3402" s="4">
        <f>(C3402-B3402)*24</f>
        <v/>
      </c>
      <c r="E3402" s="5">
        <f>IF(AND(HOUR(B3402)&gt;=6,HOUR(B3402)&lt;18),"Day Shift","Night Shift")</f>
        <v/>
      </c>
      <c r="F3402" s="6">
        <f>INT(B3402)</f>
        <v/>
      </c>
      <c r="G3402" s="6">
        <f>INT(C3402)</f>
        <v/>
      </c>
    </row>
    <row r="3403">
      <c r="A3403" s="7" t="inlineStr">
        <is>
          <t>EXD409</t>
        </is>
      </c>
      <c r="B3403" s="8" t="n">
        <v>46088.76167824074</v>
      </c>
      <c r="C3403" s="8" t="n">
        <v>46089.02349537037</v>
      </c>
      <c r="D3403" s="9">
        <f>(C3403-B3403)*24</f>
        <v/>
      </c>
      <c r="E3403" s="10">
        <f>IF(AND(HOUR(B3403)&gt;=6,HOUR(B3403)&lt;18),"Day Shift","Night Shift")</f>
        <v/>
      </c>
      <c r="F3403" s="11">
        <f>INT(B3403)</f>
        <v/>
      </c>
      <c r="G3403" s="11">
        <f>INT(C3403)</f>
        <v/>
      </c>
    </row>
    <row r="3404">
      <c r="A3404" s="7" t="inlineStr">
        <is>
          <t>DRE12</t>
        </is>
      </c>
      <c r="B3404" s="8" t="n">
        <v>46088.77899305556</v>
      </c>
      <c r="C3404" s="8" t="n">
        <v>46089.25</v>
      </c>
      <c r="D3404" s="9">
        <f>(C3404-B3404)*24</f>
        <v/>
      </c>
      <c r="E3404" s="10">
        <f>IF(AND(HOUR(B3404)&gt;=6,HOUR(B3404)&lt;18),"Day Shift","Night Shift")</f>
        <v/>
      </c>
      <c r="F3404" s="11">
        <f>INT(B3404)</f>
        <v/>
      </c>
      <c r="G3404" s="11">
        <f>INT(C3404)</f>
        <v/>
      </c>
    </row>
    <row r="3405">
      <c r="A3405" s="2" t="inlineStr">
        <is>
          <t>DRE12</t>
        </is>
      </c>
      <c r="B3405" s="3" t="n">
        <v>46089.25</v>
      </c>
      <c r="C3405" s="3" t="n">
        <v>46089.75</v>
      </c>
      <c r="D3405" s="4">
        <f>(C3405-B3405)*24</f>
        <v/>
      </c>
      <c r="E3405" s="5">
        <f>IF(AND(HOUR(B3405)&gt;=6,HOUR(B3405)&lt;18),"Day Shift","Night Shift")</f>
        <v/>
      </c>
      <c r="F3405" s="6">
        <f>INT(B3405)</f>
        <v/>
      </c>
      <c r="G3405" s="6">
        <f>INT(C3405)</f>
        <v/>
      </c>
    </row>
    <row r="3406">
      <c r="A3406" s="7" t="inlineStr">
        <is>
          <t>DRE12</t>
        </is>
      </c>
      <c r="B3406" s="8" t="n">
        <v>46089.75</v>
      </c>
      <c r="C3406" s="8" t="n">
        <v>46090.25</v>
      </c>
      <c r="D3406" s="9">
        <f>(C3406-B3406)*24</f>
        <v/>
      </c>
      <c r="E3406" s="10">
        <f>IF(AND(HOUR(B3406)&gt;=6,HOUR(B3406)&lt;18),"Day Shift","Night Shift")</f>
        <v/>
      </c>
      <c r="F3406" s="11">
        <f>INT(B3406)</f>
        <v/>
      </c>
      <c r="G3406" s="11">
        <f>INT(C3406)</f>
        <v/>
      </c>
    </row>
    <row r="3407">
      <c r="A3407" s="2" t="inlineStr">
        <is>
          <t>DRE12</t>
        </is>
      </c>
      <c r="B3407" s="3" t="n">
        <v>46090.25</v>
      </c>
      <c r="C3407" s="3" t="n">
        <v>46090.75</v>
      </c>
      <c r="D3407" s="4">
        <f>(C3407-B3407)*24</f>
        <v/>
      </c>
      <c r="E3407" s="5">
        <f>IF(AND(HOUR(B3407)&gt;=6,HOUR(B3407)&lt;18),"Day Shift","Night Shift")</f>
        <v/>
      </c>
      <c r="F3407" s="6">
        <f>INT(B3407)</f>
        <v/>
      </c>
      <c r="G3407" s="6">
        <f>INT(C3407)</f>
        <v/>
      </c>
    </row>
    <row r="3408">
      <c r="A3408" s="7" t="inlineStr">
        <is>
          <t>DRE12</t>
        </is>
      </c>
      <c r="B3408" s="8" t="n">
        <v>46090.75</v>
      </c>
      <c r="C3408" s="8" t="n">
        <v>46091.25</v>
      </c>
      <c r="D3408" s="9">
        <f>(C3408-B3408)*24</f>
        <v/>
      </c>
      <c r="E3408" s="10">
        <f>IF(AND(HOUR(B3408)&gt;=6,HOUR(B3408)&lt;18),"Day Shift","Night Shift")</f>
        <v/>
      </c>
      <c r="F3408" s="11">
        <f>INT(B3408)</f>
        <v/>
      </c>
      <c r="G3408" s="11">
        <f>INT(C3408)</f>
        <v/>
      </c>
    </row>
    <row r="3409">
      <c r="A3409" s="2" t="inlineStr">
        <is>
          <t>DRE12</t>
        </is>
      </c>
      <c r="B3409" s="3" t="n">
        <v>46091.25</v>
      </c>
      <c r="C3409" s="3" t="n">
        <v>46091.75</v>
      </c>
      <c r="D3409" s="4">
        <f>(C3409-B3409)*24</f>
        <v/>
      </c>
      <c r="E3409" s="5">
        <f>IF(AND(HOUR(B3409)&gt;=6,HOUR(B3409)&lt;18),"Day Shift","Night Shift")</f>
        <v/>
      </c>
      <c r="F3409" s="6">
        <f>INT(B3409)</f>
        <v/>
      </c>
      <c r="G3409" s="6">
        <f>INT(C3409)</f>
        <v/>
      </c>
    </row>
    <row r="3410">
      <c r="A3410" s="7" t="inlineStr">
        <is>
          <t>DRE12</t>
        </is>
      </c>
      <c r="B3410" s="8" t="n">
        <v>46091.75</v>
      </c>
      <c r="C3410" s="8" t="n">
        <v>46092.25</v>
      </c>
      <c r="D3410" s="9">
        <f>(C3410-B3410)*24</f>
        <v/>
      </c>
      <c r="E3410" s="10">
        <f>IF(AND(HOUR(B3410)&gt;=6,HOUR(B3410)&lt;18),"Day Shift","Night Shift")</f>
        <v/>
      </c>
      <c r="F3410" s="11">
        <f>INT(B3410)</f>
        <v/>
      </c>
      <c r="G3410" s="11">
        <f>INT(C3410)</f>
        <v/>
      </c>
    </row>
    <row r="3411">
      <c r="A3411" s="2" t="inlineStr">
        <is>
          <t>DRE12</t>
        </is>
      </c>
      <c r="B3411" s="3" t="n">
        <v>46092.25</v>
      </c>
      <c r="C3411" s="3" t="n">
        <v>46092.75</v>
      </c>
      <c r="D3411" s="4">
        <f>(C3411-B3411)*24</f>
        <v/>
      </c>
      <c r="E3411" s="5">
        <f>IF(AND(HOUR(B3411)&gt;=6,HOUR(B3411)&lt;18),"Day Shift","Night Shift")</f>
        <v/>
      </c>
      <c r="F3411" s="6">
        <f>INT(B3411)</f>
        <v/>
      </c>
      <c r="G3411" s="6">
        <f>INT(C3411)</f>
        <v/>
      </c>
    </row>
    <row r="3412">
      <c r="A3412" s="7" t="inlineStr">
        <is>
          <t>DRE12</t>
        </is>
      </c>
      <c r="B3412" s="8" t="n">
        <v>46092.75</v>
      </c>
      <c r="C3412" s="8" t="n">
        <v>46093.25</v>
      </c>
      <c r="D3412" s="9">
        <f>(C3412-B3412)*24</f>
        <v/>
      </c>
      <c r="E3412" s="10">
        <f>IF(AND(HOUR(B3412)&gt;=6,HOUR(B3412)&lt;18),"Day Shift","Night Shift")</f>
        <v/>
      </c>
      <c r="F3412" s="11">
        <f>INT(B3412)</f>
        <v/>
      </c>
      <c r="G3412" s="11">
        <f>INT(C3412)</f>
        <v/>
      </c>
    </row>
    <row r="3413">
      <c r="A3413" s="2" t="inlineStr">
        <is>
          <t>DRE12</t>
        </is>
      </c>
      <c r="B3413" s="3" t="n">
        <v>46093.25</v>
      </c>
      <c r="C3413" s="3" t="n">
        <v>46093.75</v>
      </c>
      <c r="D3413" s="4">
        <f>(C3413-B3413)*24</f>
        <v/>
      </c>
      <c r="E3413" s="5">
        <f>IF(AND(HOUR(B3413)&gt;=6,HOUR(B3413)&lt;18),"Day Shift","Night Shift")</f>
        <v/>
      </c>
      <c r="F3413" s="6">
        <f>INT(B3413)</f>
        <v/>
      </c>
      <c r="G3413" s="6">
        <f>INT(C3413)</f>
        <v/>
      </c>
    </row>
    <row r="3414">
      <c r="A3414" s="7" t="inlineStr">
        <is>
          <t>DRE12</t>
        </is>
      </c>
      <c r="B3414" s="8" t="n">
        <v>46093.75</v>
      </c>
      <c r="C3414" s="8" t="n">
        <v>46094.25</v>
      </c>
      <c r="D3414" s="9">
        <f>(C3414-B3414)*24</f>
        <v/>
      </c>
      <c r="E3414" s="10">
        <f>IF(AND(HOUR(B3414)&gt;=6,HOUR(B3414)&lt;18),"Day Shift","Night Shift")</f>
        <v/>
      </c>
      <c r="F3414" s="11">
        <f>INT(B3414)</f>
        <v/>
      </c>
      <c r="G3414" s="11">
        <f>INT(C3414)</f>
        <v/>
      </c>
    </row>
    <row r="3415">
      <c r="A3415" s="2" t="inlineStr">
        <is>
          <t>DRE12</t>
        </is>
      </c>
      <c r="B3415" s="3" t="n">
        <v>46094.25</v>
      </c>
      <c r="C3415" s="3" t="n">
        <v>46094.75</v>
      </c>
      <c r="D3415" s="4">
        <f>(C3415-B3415)*24</f>
        <v/>
      </c>
      <c r="E3415" s="5">
        <f>IF(AND(HOUR(B3415)&gt;=6,HOUR(B3415)&lt;18),"Day Shift","Night Shift")</f>
        <v/>
      </c>
      <c r="F3415" s="6">
        <f>INT(B3415)</f>
        <v/>
      </c>
      <c r="G3415" s="6">
        <f>INT(C3415)</f>
        <v/>
      </c>
    </row>
    <row r="3416">
      <c r="A3416" s="7" t="inlineStr">
        <is>
          <t>DRE12</t>
        </is>
      </c>
      <c r="B3416" s="8" t="n">
        <v>46094.75</v>
      </c>
      <c r="C3416" s="8" t="n">
        <v>46095.25</v>
      </c>
      <c r="D3416" s="9">
        <f>(C3416-B3416)*24</f>
        <v/>
      </c>
      <c r="E3416" s="10">
        <f>IF(AND(HOUR(B3416)&gt;=6,HOUR(B3416)&lt;18),"Day Shift","Night Shift")</f>
        <v/>
      </c>
      <c r="F3416" s="11">
        <f>INT(B3416)</f>
        <v/>
      </c>
      <c r="G3416" s="11">
        <f>INT(C3416)</f>
        <v/>
      </c>
    </row>
    <row r="3417">
      <c r="A3417" s="2" t="inlineStr">
        <is>
          <t>DRE12</t>
        </is>
      </c>
      <c r="B3417" s="3" t="n">
        <v>46095.25</v>
      </c>
      <c r="C3417" s="3" t="n">
        <v>46095.75</v>
      </c>
      <c r="D3417" s="4">
        <f>(C3417-B3417)*24</f>
        <v/>
      </c>
      <c r="E3417" s="5">
        <f>IF(AND(HOUR(B3417)&gt;=6,HOUR(B3417)&lt;18),"Day Shift","Night Shift")</f>
        <v/>
      </c>
      <c r="F3417" s="6">
        <f>INT(B3417)</f>
        <v/>
      </c>
      <c r="G3417" s="6">
        <f>INT(C3417)</f>
        <v/>
      </c>
    </row>
    <row r="3418">
      <c r="A3418" s="7" t="inlineStr">
        <is>
          <t>DRE12</t>
        </is>
      </c>
      <c r="B3418" s="8" t="n">
        <v>46095.75</v>
      </c>
      <c r="C3418" s="8" t="n">
        <v>46095.93038194445</v>
      </c>
      <c r="D3418" s="9">
        <f>(C3418-B3418)*24</f>
        <v/>
      </c>
      <c r="E3418" s="10">
        <f>IF(AND(HOUR(B3418)&gt;=6,HOUR(B3418)&lt;18),"Day Shift","Night Shift")</f>
        <v/>
      </c>
      <c r="F3418" s="11">
        <f>INT(B3418)</f>
        <v/>
      </c>
      <c r="G3418" s="11">
        <f>INT(C3418)</f>
        <v/>
      </c>
    </row>
    <row r="3419">
      <c r="A3419" s="7" t="inlineStr">
        <is>
          <t>EXD407</t>
        </is>
      </c>
      <c r="B3419" s="8" t="n">
        <v>46088.81028935185</v>
      </c>
      <c r="C3419" s="8" t="n">
        <v>46089.25</v>
      </c>
      <c r="D3419" s="9">
        <f>(C3419-B3419)*24</f>
        <v/>
      </c>
      <c r="E3419" s="10">
        <f>IF(AND(HOUR(B3419)&gt;=6,HOUR(B3419)&lt;18),"Day Shift","Night Shift")</f>
        <v/>
      </c>
      <c r="F3419" s="11">
        <f>INT(B3419)</f>
        <v/>
      </c>
      <c r="G3419" s="11">
        <f>INT(C3419)</f>
        <v/>
      </c>
    </row>
    <row r="3420">
      <c r="A3420" s="2" t="inlineStr">
        <is>
          <t>EXD407</t>
        </is>
      </c>
      <c r="B3420" s="3" t="n">
        <v>46089.25</v>
      </c>
      <c r="C3420" s="3" t="n">
        <v>46089.75</v>
      </c>
      <c r="D3420" s="4">
        <f>(C3420-B3420)*24</f>
        <v/>
      </c>
      <c r="E3420" s="5">
        <f>IF(AND(HOUR(B3420)&gt;=6,HOUR(B3420)&lt;18),"Day Shift","Night Shift")</f>
        <v/>
      </c>
      <c r="F3420" s="6">
        <f>INT(B3420)</f>
        <v/>
      </c>
      <c r="G3420" s="6">
        <f>INT(C3420)</f>
        <v/>
      </c>
    </row>
    <row r="3421">
      <c r="A3421" s="7" t="inlineStr">
        <is>
          <t>EXD407</t>
        </is>
      </c>
      <c r="B3421" s="8" t="n">
        <v>46089.75</v>
      </c>
      <c r="C3421" s="8" t="n">
        <v>46090.25</v>
      </c>
      <c r="D3421" s="9">
        <f>(C3421-B3421)*24</f>
        <v/>
      </c>
      <c r="E3421" s="10">
        <f>IF(AND(HOUR(B3421)&gt;=6,HOUR(B3421)&lt;18),"Day Shift","Night Shift")</f>
        <v/>
      </c>
      <c r="F3421" s="11">
        <f>INT(B3421)</f>
        <v/>
      </c>
      <c r="G3421" s="11">
        <f>INT(C3421)</f>
        <v/>
      </c>
    </row>
    <row r="3422">
      <c r="A3422" s="2" t="inlineStr">
        <is>
          <t>EXD407</t>
        </is>
      </c>
      <c r="B3422" s="3" t="n">
        <v>46090.25</v>
      </c>
      <c r="C3422" s="3" t="n">
        <v>46090.44076388889</v>
      </c>
      <c r="D3422" s="4">
        <f>(C3422-B3422)*24</f>
        <v/>
      </c>
      <c r="E3422" s="5">
        <f>IF(AND(HOUR(B3422)&gt;=6,HOUR(B3422)&lt;18),"Day Shift","Night Shift")</f>
        <v/>
      </c>
      <c r="F3422" s="6">
        <f>INT(B3422)</f>
        <v/>
      </c>
      <c r="G3422" s="6">
        <f>INT(C3422)</f>
        <v/>
      </c>
    </row>
    <row r="3423">
      <c r="A3423" s="7" t="inlineStr">
        <is>
          <t>EDD2541;Sprint 1</t>
        </is>
      </c>
      <c r="B3423" s="8" t="n">
        <v>46088.83480324074</v>
      </c>
      <c r="C3423" s="8" t="n">
        <v>46089.11768518519</v>
      </c>
      <c r="D3423" s="9">
        <f>(C3423-B3423)*24</f>
        <v/>
      </c>
      <c r="E3423" s="10">
        <f>IF(AND(HOUR(B3423)&gt;=6,HOUR(B3423)&lt;18),"Day Shift","Night Shift")</f>
        <v/>
      </c>
      <c r="F3423" s="11">
        <f>INT(B3423)</f>
        <v/>
      </c>
      <c r="G3423" s="11">
        <f>INT(C3423)</f>
        <v/>
      </c>
    </row>
    <row r="3424">
      <c r="A3424" s="7" t="inlineStr">
        <is>
          <t>EDD1932</t>
        </is>
      </c>
      <c r="B3424" s="8" t="n">
        <v>46088.86940972223</v>
      </c>
      <c r="C3424" s="8" t="n">
        <v>46089.25</v>
      </c>
      <c r="D3424" s="9">
        <f>(C3424-B3424)*24</f>
        <v/>
      </c>
      <c r="E3424" s="10">
        <f>IF(AND(HOUR(B3424)&gt;=6,HOUR(B3424)&lt;18),"Day Shift","Night Shift")</f>
        <v/>
      </c>
      <c r="F3424" s="11">
        <f>INT(B3424)</f>
        <v/>
      </c>
      <c r="G3424" s="11">
        <f>INT(C3424)</f>
        <v/>
      </c>
    </row>
    <row r="3425">
      <c r="A3425" s="2" t="inlineStr">
        <is>
          <t>EDD1932</t>
        </is>
      </c>
      <c r="B3425" s="3" t="n">
        <v>46089.25</v>
      </c>
      <c r="C3425" s="3" t="n">
        <v>46089.75</v>
      </c>
      <c r="D3425" s="4">
        <f>(C3425-B3425)*24</f>
        <v/>
      </c>
      <c r="E3425" s="5">
        <f>IF(AND(HOUR(B3425)&gt;=6,HOUR(B3425)&lt;18),"Day Shift","Night Shift")</f>
        <v/>
      </c>
      <c r="F3425" s="6">
        <f>INT(B3425)</f>
        <v/>
      </c>
      <c r="G3425" s="6">
        <f>INT(C3425)</f>
        <v/>
      </c>
    </row>
    <row r="3426">
      <c r="A3426" s="7" t="inlineStr">
        <is>
          <t>EDD1932</t>
        </is>
      </c>
      <c r="B3426" s="8" t="n">
        <v>46089.75</v>
      </c>
      <c r="C3426" s="8" t="n">
        <v>46090.25</v>
      </c>
      <c r="D3426" s="9">
        <f>(C3426-B3426)*24</f>
        <v/>
      </c>
      <c r="E3426" s="10">
        <f>IF(AND(HOUR(B3426)&gt;=6,HOUR(B3426)&lt;18),"Day Shift","Night Shift")</f>
        <v/>
      </c>
      <c r="F3426" s="11">
        <f>INT(B3426)</f>
        <v/>
      </c>
      <c r="G3426" s="11">
        <f>INT(C3426)</f>
        <v/>
      </c>
    </row>
    <row r="3427">
      <c r="A3427" s="2" t="inlineStr">
        <is>
          <t>EDD1932</t>
        </is>
      </c>
      <c r="B3427" s="3" t="n">
        <v>46090.25</v>
      </c>
      <c r="C3427" s="3" t="n">
        <v>46090.309375</v>
      </c>
      <c r="D3427" s="4">
        <f>(C3427-B3427)*24</f>
        <v/>
      </c>
      <c r="E3427" s="5">
        <f>IF(AND(HOUR(B3427)&gt;=6,HOUR(B3427)&lt;18),"Day Shift","Night Shift")</f>
        <v/>
      </c>
      <c r="F3427" s="6">
        <f>INT(B3427)</f>
        <v/>
      </c>
      <c r="G3427" s="6">
        <f>INT(C3427)</f>
        <v/>
      </c>
    </row>
    <row r="3428">
      <c r="A3428" s="7" t="inlineStr">
        <is>
          <t>EXD100</t>
        </is>
      </c>
      <c r="B3428" s="8" t="n">
        <v>46088.91476851852</v>
      </c>
      <c r="C3428" s="8" t="n">
        <v>46089.25</v>
      </c>
      <c r="D3428" s="9">
        <f>(C3428-B3428)*24</f>
        <v/>
      </c>
      <c r="E3428" s="10">
        <f>IF(AND(HOUR(B3428)&gt;=6,HOUR(B3428)&lt;18),"Day Shift","Night Shift")</f>
        <v/>
      </c>
      <c r="F3428" s="11">
        <f>INT(B3428)</f>
        <v/>
      </c>
      <c r="G3428" s="11">
        <f>INT(C3428)</f>
        <v/>
      </c>
    </row>
    <row r="3429">
      <c r="A3429" s="2" t="inlineStr">
        <is>
          <t>EXD100</t>
        </is>
      </c>
      <c r="B3429" s="3" t="n">
        <v>46089.25</v>
      </c>
      <c r="C3429" s="3" t="n">
        <v>46089.47732638889</v>
      </c>
      <c r="D3429" s="4">
        <f>(C3429-B3429)*24</f>
        <v/>
      </c>
      <c r="E3429" s="5">
        <f>IF(AND(HOUR(B3429)&gt;=6,HOUR(B3429)&lt;18),"Day Shift","Night Shift")</f>
        <v/>
      </c>
      <c r="F3429" s="6">
        <f>INT(B3429)</f>
        <v/>
      </c>
      <c r="G3429" s="6">
        <f>INT(C3429)</f>
        <v/>
      </c>
    </row>
    <row r="3430">
      <c r="A3430" s="7" t="inlineStr">
        <is>
          <t>EXD101</t>
        </is>
      </c>
      <c r="B3430" s="8" t="n">
        <v>46088.92376157407</v>
      </c>
      <c r="C3430" s="8" t="n">
        <v>46089.25</v>
      </c>
      <c r="D3430" s="9">
        <f>(C3430-B3430)*24</f>
        <v/>
      </c>
      <c r="E3430" s="10">
        <f>IF(AND(HOUR(B3430)&gt;=6,HOUR(B3430)&lt;18),"Day Shift","Night Shift")</f>
        <v/>
      </c>
      <c r="F3430" s="11">
        <f>INT(B3430)</f>
        <v/>
      </c>
      <c r="G3430" s="11">
        <f>INT(C3430)</f>
        <v/>
      </c>
    </row>
    <row r="3431">
      <c r="A3431" s="2" t="inlineStr">
        <is>
          <t>EXD101</t>
        </is>
      </c>
      <c r="B3431" s="3" t="n">
        <v>46089.25</v>
      </c>
      <c r="C3431" s="3" t="n">
        <v>46089.74364583333</v>
      </c>
      <c r="D3431" s="4">
        <f>(C3431-B3431)*24</f>
        <v/>
      </c>
      <c r="E3431" s="5">
        <f>IF(AND(HOUR(B3431)&gt;=6,HOUR(B3431)&lt;18),"Day Shift","Night Shift")</f>
        <v/>
      </c>
      <c r="F3431" s="6">
        <f>INT(B3431)</f>
        <v/>
      </c>
      <c r="G3431" s="6">
        <f>INT(C3431)</f>
        <v/>
      </c>
    </row>
    <row r="3432">
      <c r="A3432" s="7" t="inlineStr">
        <is>
          <t>Stag Drill</t>
        </is>
      </c>
      <c r="B3432" s="8" t="n">
        <v>46088.96784722222</v>
      </c>
      <c r="C3432" s="8" t="n">
        <v>46089.25</v>
      </c>
      <c r="D3432" s="9">
        <f>(C3432-B3432)*24</f>
        <v/>
      </c>
      <c r="E3432" s="10">
        <f>IF(AND(HOUR(B3432)&gt;=6,HOUR(B3432)&lt;18),"Day Shift","Night Shift")</f>
        <v/>
      </c>
      <c r="F3432" s="11">
        <f>INT(B3432)</f>
        <v/>
      </c>
      <c r="G3432" s="11">
        <f>INT(C3432)</f>
        <v/>
      </c>
    </row>
    <row r="3433">
      <c r="A3433" s="2" t="inlineStr">
        <is>
          <t>Stag Drill</t>
        </is>
      </c>
      <c r="B3433" s="3" t="n">
        <v>46089.25</v>
      </c>
      <c r="C3433" s="3" t="n">
        <v>46089.56239583333</v>
      </c>
      <c r="D3433" s="4">
        <f>(C3433-B3433)*24</f>
        <v/>
      </c>
      <c r="E3433" s="5">
        <f>IF(AND(HOUR(B3433)&gt;=6,HOUR(B3433)&lt;18),"Day Shift","Night Shift")</f>
        <v/>
      </c>
      <c r="F3433" s="6">
        <f>INT(B3433)</f>
        <v/>
      </c>
      <c r="G3433" s="6">
        <f>INT(C3433)</f>
        <v/>
      </c>
    </row>
    <row r="3434">
      <c r="A3434" s="7" t="inlineStr">
        <is>
          <t>EXD409</t>
        </is>
      </c>
      <c r="B3434" s="8" t="n">
        <v>46089.02386574074</v>
      </c>
      <c r="C3434" s="8" t="n">
        <v>46089.25</v>
      </c>
      <c r="D3434" s="9">
        <f>(C3434-B3434)*24</f>
        <v/>
      </c>
      <c r="E3434" s="10">
        <f>IF(AND(HOUR(B3434)&gt;=6,HOUR(B3434)&lt;18),"Day Shift","Night Shift")</f>
        <v/>
      </c>
      <c r="F3434" s="11">
        <f>INT(B3434)</f>
        <v/>
      </c>
      <c r="G3434" s="11">
        <f>INT(C3434)</f>
        <v/>
      </c>
    </row>
    <row r="3435">
      <c r="A3435" s="2" t="inlineStr">
        <is>
          <t>EXD409</t>
        </is>
      </c>
      <c r="B3435" s="3" t="n">
        <v>46089.25</v>
      </c>
      <c r="C3435" s="3" t="n">
        <v>46089.2624537037</v>
      </c>
      <c r="D3435" s="4">
        <f>(C3435-B3435)*24</f>
        <v/>
      </c>
      <c r="E3435" s="5">
        <f>IF(AND(HOUR(B3435)&gt;=6,HOUR(B3435)&lt;18),"Day Shift","Night Shift")</f>
        <v/>
      </c>
      <c r="F3435" s="6">
        <f>INT(B3435)</f>
        <v/>
      </c>
      <c r="G3435" s="6">
        <f>INT(C3435)</f>
        <v/>
      </c>
    </row>
    <row r="3436">
      <c r="A3436" s="7" t="inlineStr">
        <is>
          <t>EDD2541;Sprint 1</t>
        </is>
      </c>
      <c r="B3436" s="8" t="n">
        <v>46089.11768518519</v>
      </c>
      <c r="C3436" s="8" t="n">
        <v>46089.25</v>
      </c>
      <c r="D3436" s="9">
        <f>(C3436-B3436)*24</f>
        <v/>
      </c>
      <c r="E3436" s="10">
        <f>IF(AND(HOUR(B3436)&gt;=6,HOUR(B3436)&lt;18),"Day Shift","Night Shift")</f>
        <v/>
      </c>
      <c r="F3436" s="11">
        <f>INT(B3436)</f>
        <v/>
      </c>
      <c r="G3436" s="11">
        <f>INT(C3436)</f>
        <v/>
      </c>
    </row>
    <row r="3437">
      <c r="A3437" s="2" t="inlineStr">
        <is>
          <t>EDD2541;Sprint 1</t>
        </is>
      </c>
      <c r="B3437" s="3" t="n">
        <v>46089.25</v>
      </c>
      <c r="C3437" s="3" t="n">
        <v>46089.36599537037</v>
      </c>
      <c r="D3437" s="4">
        <f>(C3437-B3437)*24</f>
        <v/>
      </c>
      <c r="E3437" s="5">
        <f>IF(AND(HOUR(B3437)&gt;=6,HOUR(B3437)&lt;18),"Day Shift","Night Shift")</f>
        <v/>
      </c>
      <c r="F3437" s="6">
        <f>INT(B3437)</f>
        <v/>
      </c>
      <c r="G3437" s="6">
        <f>INT(C3437)</f>
        <v/>
      </c>
    </row>
    <row r="3438">
      <c r="A3438" s="7" t="inlineStr">
        <is>
          <t>SHE36</t>
        </is>
      </c>
      <c r="B3438" s="8" t="n">
        <v>46089.16359953704</v>
      </c>
      <c r="C3438" s="8" t="n">
        <v>46089.25</v>
      </c>
      <c r="D3438" s="9">
        <f>(C3438-B3438)*24</f>
        <v/>
      </c>
      <c r="E3438" s="10">
        <f>IF(AND(HOUR(B3438)&gt;=6,HOUR(B3438)&lt;18),"Day Shift","Night Shift")</f>
        <v/>
      </c>
      <c r="F3438" s="11">
        <f>INT(B3438)</f>
        <v/>
      </c>
      <c r="G3438" s="11">
        <f>INT(C3438)</f>
        <v/>
      </c>
    </row>
    <row r="3439">
      <c r="A3439" s="2" t="inlineStr">
        <is>
          <t>SHE36</t>
        </is>
      </c>
      <c r="B3439" s="3" t="n">
        <v>46089.25</v>
      </c>
      <c r="C3439" s="3" t="n">
        <v>46089.75</v>
      </c>
      <c r="D3439" s="4">
        <f>(C3439-B3439)*24</f>
        <v/>
      </c>
      <c r="E3439" s="5">
        <f>IF(AND(HOUR(B3439)&gt;=6,HOUR(B3439)&lt;18),"Day Shift","Night Shift")</f>
        <v/>
      </c>
      <c r="F3439" s="6">
        <f>INT(B3439)</f>
        <v/>
      </c>
      <c r="G3439" s="6">
        <f>INT(C3439)</f>
        <v/>
      </c>
    </row>
    <row r="3440">
      <c r="A3440" s="7" t="inlineStr">
        <is>
          <t>SHE36</t>
        </is>
      </c>
      <c r="B3440" s="8" t="n">
        <v>46089.75</v>
      </c>
      <c r="C3440" s="8" t="n">
        <v>46090.25</v>
      </c>
      <c r="D3440" s="9">
        <f>(C3440-B3440)*24</f>
        <v/>
      </c>
      <c r="E3440" s="10">
        <f>IF(AND(HOUR(B3440)&gt;=6,HOUR(B3440)&lt;18),"Day Shift","Night Shift")</f>
        <v/>
      </c>
      <c r="F3440" s="11">
        <f>INT(B3440)</f>
        <v/>
      </c>
      <c r="G3440" s="11">
        <f>INT(C3440)</f>
        <v/>
      </c>
    </row>
    <row r="3441">
      <c r="A3441" s="2" t="inlineStr">
        <is>
          <t>SHE36</t>
        </is>
      </c>
      <c r="B3441" s="3" t="n">
        <v>46090.25</v>
      </c>
      <c r="C3441" s="3" t="n">
        <v>46090.53226851852</v>
      </c>
      <c r="D3441" s="4">
        <f>(C3441-B3441)*24</f>
        <v/>
      </c>
      <c r="E3441" s="5">
        <f>IF(AND(HOUR(B3441)&gt;=6,HOUR(B3441)&lt;18),"Day Shift","Night Shift")</f>
        <v/>
      </c>
      <c r="F3441" s="6">
        <f>INT(B3441)</f>
        <v/>
      </c>
      <c r="G3441" s="6">
        <f>INT(C3441)</f>
        <v/>
      </c>
    </row>
    <row r="3442">
      <c r="A3442" s="7" t="inlineStr">
        <is>
          <t>EXD52</t>
        </is>
      </c>
      <c r="B3442" s="8" t="n">
        <v>46089.18449074074</v>
      </c>
      <c r="C3442" s="8" t="n">
        <v>46089.25</v>
      </c>
      <c r="D3442" s="9">
        <f>(C3442-B3442)*24</f>
        <v/>
      </c>
      <c r="E3442" s="10">
        <f>IF(AND(HOUR(B3442)&gt;=6,HOUR(B3442)&lt;18),"Day Shift","Night Shift")</f>
        <v/>
      </c>
      <c r="F3442" s="11">
        <f>INT(B3442)</f>
        <v/>
      </c>
      <c r="G3442" s="11">
        <f>INT(C3442)</f>
        <v/>
      </c>
    </row>
    <row r="3443">
      <c r="A3443" s="2" t="inlineStr">
        <is>
          <t>EXD52</t>
        </is>
      </c>
      <c r="B3443" s="3" t="n">
        <v>46089.25</v>
      </c>
      <c r="C3443" s="3" t="n">
        <v>46089.45987268518</v>
      </c>
      <c r="D3443" s="4">
        <f>(C3443-B3443)*24</f>
        <v/>
      </c>
      <c r="E3443" s="5">
        <f>IF(AND(HOUR(B3443)&gt;=6,HOUR(B3443)&lt;18),"Day Shift","Night Shift")</f>
        <v/>
      </c>
      <c r="F3443" s="6">
        <f>INT(B3443)</f>
        <v/>
      </c>
      <c r="G3443" s="6">
        <f>INT(C3443)</f>
        <v/>
      </c>
    </row>
    <row r="3444">
      <c r="A3444" s="7" t="inlineStr">
        <is>
          <t>EDD175;EDD2134</t>
        </is>
      </c>
      <c r="B3444" s="8" t="n">
        <v>46089.21974537037</v>
      </c>
      <c r="C3444" s="8" t="n">
        <v>46089.25</v>
      </c>
      <c r="D3444" s="9">
        <f>(C3444-B3444)*24</f>
        <v/>
      </c>
      <c r="E3444" s="10">
        <f>IF(AND(HOUR(B3444)&gt;=6,HOUR(B3444)&lt;18),"Day Shift","Night Shift")</f>
        <v/>
      </c>
      <c r="F3444" s="11">
        <f>INT(B3444)</f>
        <v/>
      </c>
      <c r="G3444" s="11">
        <f>INT(C3444)</f>
        <v/>
      </c>
    </row>
    <row r="3445">
      <c r="A3445" s="2" t="inlineStr">
        <is>
          <t>EDD175;EDD2134</t>
        </is>
      </c>
      <c r="B3445" s="3" t="n">
        <v>46089.25</v>
      </c>
      <c r="C3445" s="3" t="n">
        <v>46089.75</v>
      </c>
      <c r="D3445" s="4">
        <f>(C3445-B3445)*24</f>
        <v/>
      </c>
      <c r="E3445" s="5">
        <f>IF(AND(HOUR(B3445)&gt;=6,HOUR(B3445)&lt;18),"Day Shift","Night Shift")</f>
        <v/>
      </c>
      <c r="F3445" s="6">
        <f>INT(B3445)</f>
        <v/>
      </c>
      <c r="G3445" s="6">
        <f>INT(C3445)</f>
        <v/>
      </c>
    </row>
    <row r="3446">
      <c r="A3446" s="7" t="inlineStr">
        <is>
          <t>EDD175;EDD2134</t>
        </is>
      </c>
      <c r="B3446" s="8" t="n">
        <v>46089.75</v>
      </c>
      <c r="C3446" s="8" t="n">
        <v>46090.05201388889</v>
      </c>
      <c r="D3446" s="9">
        <f>(C3446-B3446)*24</f>
        <v/>
      </c>
      <c r="E3446" s="10">
        <f>IF(AND(HOUR(B3446)&gt;=6,HOUR(B3446)&lt;18),"Day Shift","Night Shift")</f>
        <v/>
      </c>
      <c r="F3446" s="11">
        <f>INT(B3446)</f>
        <v/>
      </c>
      <c r="G3446" s="11">
        <f>INT(C3446)</f>
        <v/>
      </c>
    </row>
    <row r="3447">
      <c r="A3447" s="2" t="inlineStr">
        <is>
          <t>EDD812</t>
        </is>
      </c>
      <c r="B3447" s="3" t="n">
        <v>46089.27276620371</v>
      </c>
      <c r="C3447" s="3" t="n">
        <v>46089.75</v>
      </c>
      <c r="D3447" s="4">
        <f>(C3447-B3447)*24</f>
        <v/>
      </c>
      <c r="E3447" s="5">
        <f>IF(AND(HOUR(B3447)&gt;=6,HOUR(B3447)&lt;18),"Day Shift","Night Shift")</f>
        <v/>
      </c>
      <c r="F3447" s="6">
        <f>INT(B3447)</f>
        <v/>
      </c>
      <c r="G3447" s="6">
        <f>INT(C3447)</f>
        <v/>
      </c>
    </row>
    <row r="3448">
      <c r="A3448" s="7" t="inlineStr">
        <is>
          <t>EDD812</t>
        </is>
      </c>
      <c r="B3448" s="8" t="n">
        <v>46089.75</v>
      </c>
      <c r="C3448" s="8" t="n">
        <v>46090.21209490741</v>
      </c>
      <c r="D3448" s="9">
        <f>(C3448-B3448)*24</f>
        <v/>
      </c>
      <c r="E3448" s="10">
        <f>IF(AND(HOUR(B3448)&gt;=6,HOUR(B3448)&lt;18),"Day Shift","Night Shift")</f>
        <v/>
      </c>
      <c r="F3448" s="11">
        <f>INT(B3448)</f>
        <v/>
      </c>
      <c r="G3448" s="11">
        <f>INT(C3448)</f>
        <v/>
      </c>
    </row>
    <row r="3449">
      <c r="A3449" s="2" t="inlineStr">
        <is>
          <t>EDD2541;Sprint 1</t>
        </is>
      </c>
      <c r="B3449" s="3" t="n">
        <v>46089.36599537037</v>
      </c>
      <c r="C3449" s="3" t="n">
        <v>46089.57266203704</v>
      </c>
      <c r="D3449" s="4">
        <f>(C3449-B3449)*24</f>
        <v/>
      </c>
      <c r="E3449" s="5">
        <f>IF(AND(HOUR(B3449)&gt;=6,HOUR(B3449)&lt;18),"Day Shift","Night Shift")</f>
        <v/>
      </c>
      <c r="F3449" s="6">
        <f>INT(B3449)</f>
        <v/>
      </c>
      <c r="G3449" s="6">
        <f>INT(C3449)</f>
        <v/>
      </c>
    </row>
    <row r="3450">
      <c r="A3450" s="2" t="inlineStr">
        <is>
          <t>EXD408</t>
        </is>
      </c>
      <c r="B3450" s="3" t="n">
        <v>46089.37260416667</v>
      </c>
      <c r="C3450" s="3" t="n">
        <v>46089.75</v>
      </c>
      <c r="D3450" s="4">
        <f>(C3450-B3450)*24</f>
        <v/>
      </c>
      <c r="E3450" s="5">
        <f>IF(AND(HOUR(B3450)&gt;=6,HOUR(B3450)&lt;18),"Day Shift","Night Shift")</f>
        <v/>
      </c>
      <c r="F3450" s="6">
        <f>INT(B3450)</f>
        <v/>
      </c>
      <c r="G3450" s="6">
        <f>INT(C3450)</f>
        <v/>
      </c>
    </row>
    <row r="3451">
      <c r="A3451" s="7" t="inlineStr">
        <is>
          <t>EXD408</t>
        </is>
      </c>
      <c r="B3451" s="8" t="n">
        <v>46089.75</v>
      </c>
      <c r="C3451" s="8" t="n">
        <v>46090.25</v>
      </c>
      <c r="D3451" s="9">
        <f>(C3451-B3451)*24</f>
        <v/>
      </c>
      <c r="E3451" s="10">
        <f>IF(AND(HOUR(B3451)&gt;=6,HOUR(B3451)&lt;18),"Day Shift","Night Shift")</f>
        <v/>
      </c>
      <c r="F3451" s="11">
        <f>INT(B3451)</f>
        <v/>
      </c>
      <c r="G3451" s="11">
        <f>INT(C3451)</f>
        <v/>
      </c>
    </row>
    <row r="3452">
      <c r="A3452" s="2" t="inlineStr">
        <is>
          <t>EXD408</t>
        </is>
      </c>
      <c r="B3452" s="3" t="n">
        <v>46090.25</v>
      </c>
      <c r="C3452" s="3" t="n">
        <v>46090.75</v>
      </c>
      <c r="D3452" s="4">
        <f>(C3452-B3452)*24</f>
        <v/>
      </c>
      <c r="E3452" s="5">
        <f>IF(AND(HOUR(B3452)&gt;=6,HOUR(B3452)&lt;18),"Day Shift","Night Shift")</f>
        <v/>
      </c>
      <c r="F3452" s="6">
        <f>INT(B3452)</f>
        <v/>
      </c>
      <c r="G3452" s="6">
        <f>INT(C3452)</f>
        <v/>
      </c>
    </row>
    <row r="3453">
      <c r="A3453" s="7" t="inlineStr">
        <is>
          <t>EXD408</t>
        </is>
      </c>
      <c r="B3453" s="8" t="n">
        <v>46090.75</v>
      </c>
      <c r="C3453" s="8" t="n">
        <v>46090.86298611111</v>
      </c>
      <c r="D3453" s="9">
        <f>(C3453-B3453)*24</f>
        <v/>
      </c>
      <c r="E3453" s="10">
        <f>IF(AND(HOUR(B3453)&gt;=6,HOUR(B3453)&lt;18),"Day Shift","Night Shift")</f>
        <v/>
      </c>
      <c r="F3453" s="11">
        <f>INT(B3453)</f>
        <v/>
      </c>
      <c r="G3453" s="11">
        <f>INT(C3453)</f>
        <v/>
      </c>
    </row>
    <row r="3454">
      <c r="A3454" s="2" t="inlineStr">
        <is>
          <t>EXD61</t>
        </is>
      </c>
      <c r="B3454" s="3" t="n">
        <v>46089.37836805556</v>
      </c>
      <c r="C3454" s="3" t="n">
        <v>46089.75</v>
      </c>
      <c r="D3454" s="4">
        <f>(C3454-B3454)*24</f>
        <v/>
      </c>
      <c r="E3454" s="5">
        <f>IF(AND(HOUR(B3454)&gt;=6,HOUR(B3454)&lt;18),"Day Shift","Night Shift")</f>
        <v/>
      </c>
      <c r="F3454" s="6">
        <f>INT(B3454)</f>
        <v/>
      </c>
      <c r="G3454" s="6">
        <f>INT(C3454)</f>
        <v/>
      </c>
    </row>
    <row r="3455">
      <c r="A3455" s="7" t="inlineStr">
        <is>
          <t>EXD61</t>
        </is>
      </c>
      <c r="B3455" s="8" t="n">
        <v>46089.75</v>
      </c>
      <c r="C3455" s="8" t="n">
        <v>46090.25</v>
      </c>
      <c r="D3455" s="9">
        <f>(C3455-B3455)*24</f>
        <v/>
      </c>
      <c r="E3455" s="10">
        <f>IF(AND(HOUR(B3455)&gt;=6,HOUR(B3455)&lt;18),"Day Shift","Night Shift")</f>
        <v/>
      </c>
      <c r="F3455" s="11">
        <f>INT(B3455)</f>
        <v/>
      </c>
      <c r="G3455" s="11">
        <f>INT(C3455)</f>
        <v/>
      </c>
    </row>
    <row r="3456">
      <c r="A3456" s="2" t="inlineStr">
        <is>
          <t>EXD61</t>
        </is>
      </c>
      <c r="B3456" s="3" t="n">
        <v>46090.25</v>
      </c>
      <c r="C3456" s="3" t="n">
        <v>46090.74548611111</v>
      </c>
      <c r="D3456" s="4">
        <f>(C3456-B3456)*24</f>
        <v/>
      </c>
      <c r="E3456" s="5">
        <f>IF(AND(HOUR(B3456)&gt;=6,HOUR(B3456)&lt;18),"Day Shift","Night Shift")</f>
        <v/>
      </c>
      <c r="F3456" s="6">
        <f>INT(B3456)</f>
        <v/>
      </c>
      <c r="G3456" s="6">
        <f>INT(C3456)</f>
        <v/>
      </c>
    </row>
    <row r="3457">
      <c r="A3457" s="2" t="inlineStr">
        <is>
          <t>EXD73</t>
        </is>
      </c>
      <c r="B3457" s="3" t="n">
        <v>46089.43226851852</v>
      </c>
      <c r="C3457" s="3" t="n">
        <v>46089.75</v>
      </c>
      <c r="D3457" s="4">
        <f>(C3457-B3457)*24</f>
        <v/>
      </c>
      <c r="E3457" s="5">
        <f>IF(AND(HOUR(B3457)&gt;=6,HOUR(B3457)&lt;18),"Day Shift","Night Shift")</f>
        <v/>
      </c>
      <c r="F3457" s="6">
        <f>INT(B3457)</f>
        <v/>
      </c>
      <c r="G3457" s="6">
        <f>INT(C3457)</f>
        <v/>
      </c>
    </row>
    <row r="3458">
      <c r="A3458" s="7" t="inlineStr">
        <is>
          <t>EXD73</t>
        </is>
      </c>
      <c r="B3458" s="8" t="n">
        <v>46089.75</v>
      </c>
      <c r="C3458" s="8" t="n">
        <v>46089.82616898148</v>
      </c>
      <c r="D3458" s="9">
        <f>(C3458-B3458)*24</f>
        <v/>
      </c>
      <c r="E3458" s="10">
        <f>IF(AND(HOUR(B3458)&gt;=6,HOUR(B3458)&lt;18),"Day Shift","Night Shift")</f>
        <v/>
      </c>
      <c r="F3458" s="11">
        <f>INT(B3458)</f>
        <v/>
      </c>
      <c r="G3458" s="11">
        <f>INT(C3458)</f>
        <v/>
      </c>
    </row>
    <row r="3459">
      <c r="A3459" s="2" t="inlineStr">
        <is>
          <t>EXD51</t>
        </is>
      </c>
      <c r="B3459" s="3" t="n">
        <v>46089.44481481481</v>
      </c>
      <c r="C3459" s="3" t="n">
        <v>46089.75</v>
      </c>
      <c r="D3459" s="4">
        <f>(C3459-B3459)*24</f>
        <v/>
      </c>
      <c r="E3459" s="5">
        <f>IF(AND(HOUR(B3459)&gt;=6,HOUR(B3459)&lt;18),"Day Shift","Night Shift")</f>
        <v/>
      </c>
      <c r="F3459" s="6">
        <f>INT(B3459)</f>
        <v/>
      </c>
      <c r="G3459" s="6">
        <f>INT(C3459)</f>
        <v/>
      </c>
    </row>
    <row r="3460">
      <c r="A3460" s="7" t="inlineStr">
        <is>
          <t>EXD51</t>
        </is>
      </c>
      <c r="B3460" s="8" t="n">
        <v>46089.75</v>
      </c>
      <c r="C3460" s="8" t="n">
        <v>46090.25</v>
      </c>
      <c r="D3460" s="9">
        <f>(C3460-B3460)*24</f>
        <v/>
      </c>
      <c r="E3460" s="10">
        <f>IF(AND(HOUR(B3460)&gt;=6,HOUR(B3460)&lt;18),"Day Shift","Night Shift")</f>
        <v/>
      </c>
      <c r="F3460" s="11">
        <f>INT(B3460)</f>
        <v/>
      </c>
      <c r="G3460" s="11">
        <f>INT(C3460)</f>
        <v/>
      </c>
    </row>
    <row r="3461">
      <c r="A3461" s="2" t="inlineStr">
        <is>
          <t>EXD51</t>
        </is>
      </c>
      <c r="B3461" s="3" t="n">
        <v>46090.25</v>
      </c>
      <c r="C3461" s="3" t="n">
        <v>46090.26204861111</v>
      </c>
      <c r="D3461" s="4">
        <f>(C3461-B3461)*24</f>
        <v/>
      </c>
      <c r="E3461" s="5">
        <f>IF(AND(HOUR(B3461)&gt;=6,HOUR(B3461)&lt;18),"Day Shift","Night Shift")</f>
        <v/>
      </c>
      <c r="F3461" s="6">
        <f>INT(B3461)</f>
        <v/>
      </c>
      <c r="G3461" s="6">
        <f>INT(C3461)</f>
        <v/>
      </c>
    </row>
    <row r="3462">
      <c r="A3462" s="2" t="inlineStr">
        <is>
          <t>EXD55;EXD51</t>
        </is>
      </c>
      <c r="B3462" s="3" t="n">
        <v>46089.44481481481</v>
      </c>
      <c r="C3462" s="3" t="n">
        <v>46089.75</v>
      </c>
      <c r="D3462" s="4">
        <f>(C3462-B3462)*24</f>
        <v/>
      </c>
      <c r="E3462" s="5">
        <f>IF(AND(HOUR(B3462)&gt;=6,HOUR(B3462)&lt;18),"Day Shift","Night Shift")</f>
        <v/>
      </c>
      <c r="F3462" s="6">
        <f>INT(B3462)</f>
        <v/>
      </c>
      <c r="G3462" s="6">
        <f>INT(C3462)</f>
        <v/>
      </c>
    </row>
    <row r="3463">
      <c r="A3463" s="7" t="inlineStr">
        <is>
          <t>EXD55;EXD51</t>
        </is>
      </c>
      <c r="B3463" s="8" t="n">
        <v>46089.75</v>
      </c>
      <c r="C3463" s="8" t="n">
        <v>46090.25</v>
      </c>
      <c r="D3463" s="9">
        <f>(C3463-B3463)*24</f>
        <v/>
      </c>
      <c r="E3463" s="10">
        <f>IF(AND(HOUR(B3463)&gt;=6,HOUR(B3463)&lt;18),"Day Shift","Night Shift")</f>
        <v/>
      </c>
      <c r="F3463" s="11">
        <f>INT(B3463)</f>
        <v/>
      </c>
      <c r="G3463" s="11">
        <f>INT(C3463)</f>
        <v/>
      </c>
    </row>
    <row r="3464">
      <c r="A3464" s="2" t="inlineStr">
        <is>
          <t>EXD55;EXD51</t>
        </is>
      </c>
      <c r="B3464" s="3" t="n">
        <v>46090.25</v>
      </c>
      <c r="C3464" s="3" t="n">
        <v>46090.75</v>
      </c>
      <c r="D3464" s="4">
        <f>(C3464-B3464)*24</f>
        <v/>
      </c>
      <c r="E3464" s="5">
        <f>IF(AND(HOUR(B3464)&gt;=6,HOUR(B3464)&lt;18),"Day Shift","Night Shift")</f>
        <v/>
      </c>
      <c r="F3464" s="6">
        <f>INT(B3464)</f>
        <v/>
      </c>
      <c r="G3464" s="6">
        <f>INT(C3464)</f>
        <v/>
      </c>
    </row>
    <row r="3465">
      <c r="A3465" s="7" t="inlineStr">
        <is>
          <t>EXD55;EXD51</t>
        </is>
      </c>
      <c r="B3465" s="8" t="n">
        <v>46090.75</v>
      </c>
      <c r="C3465" s="8" t="n">
        <v>46091.25</v>
      </c>
      <c r="D3465" s="9">
        <f>(C3465-B3465)*24</f>
        <v/>
      </c>
      <c r="E3465" s="10">
        <f>IF(AND(HOUR(B3465)&gt;=6,HOUR(B3465)&lt;18),"Day Shift","Night Shift")</f>
        <v/>
      </c>
      <c r="F3465" s="11">
        <f>INT(B3465)</f>
        <v/>
      </c>
      <c r="G3465" s="11">
        <f>INT(C3465)</f>
        <v/>
      </c>
    </row>
    <row r="3466">
      <c r="A3466" s="2" t="inlineStr">
        <is>
          <t>EXD55;EXD51</t>
        </is>
      </c>
      <c r="B3466" s="3" t="n">
        <v>46091.25</v>
      </c>
      <c r="C3466" s="3" t="n">
        <v>46091.73339120371</v>
      </c>
      <c r="D3466" s="4">
        <f>(C3466-B3466)*24</f>
        <v/>
      </c>
      <c r="E3466" s="5">
        <f>IF(AND(HOUR(B3466)&gt;=6,HOUR(B3466)&lt;18),"Day Shift","Night Shift")</f>
        <v/>
      </c>
      <c r="F3466" s="6">
        <f>INT(B3466)</f>
        <v/>
      </c>
      <c r="G3466" s="6">
        <f>INT(C3466)</f>
        <v/>
      </c>
    </row>
    <row r="3467">
      <c r="A3467" s="2" t="inlineStr">
        <is>
          <t>DRE42</t>
        </is>
      </c>
      <c r="B3467" s="3" t="n">
        <v>46089.49693287037</v>
      </c>
      <c r="C3467" s="3" t="n">
        <v>46089.75</v>
      </c>
      <c r="D3467" s="4">
        <f>(C3467-B3467)*24</f>
        <v/>
      </c>
      <c r="E3467" s="5">
        <f>IF(AND(HOUR(B3467)&gt;=6,HOUR(B3467)&lt;18),"Day Shift","Night Shift")</f>
        <v/>
      </c>
      <c r="F3467" s="6">
        <f>INT(B3467)</f>
        <v/>
      </c>
      <c r="G3467" s="6">
        <f>INT(C3467)</f>
        <v/>
      </c>
    </row>
    <row r="3468">
      <c r="A3468" s="7" t="inlineStr">
        <is>
          <t>DRE42</t>
        </is>
      </c>
      <c r="B3468" s="8" t="n">
        <v>46089.75</v>
      </c>
      <c r="C3468" s="8" t="n">
        <v>46090.25</v>
      </c>
      <c r="D3468" s="9">
        <f>(C3468-B3468)*24</f>
        <v/>
      </c>
      <c r="E3468" s="10">
        <f>IF(AND(HOUR(B3468)&gt;=6,HOUR(B3468)&lt;18),"Day Shift","Night Shift")</f>
        <v/>
      </c>
      <c r="F3468" s="11">
        <f>INT(B3468)</f>
        <v/>
      </c>
      <c r="G3468" s="11">
        <f>INT(C3468)</f>
        <v/>
      </c>
    </row>
    <row r="3469">
      <c r="A3469" s="2" t="inlineStr">
        <is>
          <t>DRE42</t>
        </is>
      </c>
      <c r="B3469" s="3" t="n">
        <v>46090.25</v>
      </c>
      <c r="C3469" s="3" t="n">
        <v>46090.75</v>
      </c>
      <c r="D3469" s="4">
        <f>(C3469-B3469)*24</f>
        <v/>
      </c>
      <c r="E3469" s="5">
        <f>IF(AND(HOUR(B3469)&gt;=6,HOUR(B3469)&lt;18),"Day Shift","Night Shift")</f>
        <v/>
      </c>
      <c r="F3469" s="6">
        <f>INT(B3469)</f>
        <v/>
      </c>
      <c r="G3469" s="6">
        <f>INT(C3469)</f>
        <v/>
      </c>
    </row>
    <row r="3470">
      <c r="A3470" s="7" t="inlineStr">
        <is>
          <t>DRE42</t>
        </is>
      </c>
      <c r="B3470" s="8" t="n">
        <v>46090.75</v>
      </c>
      <c r="C3470" s="8" t="n">
        <v>46091.25</v>
      </c>
      <c r="D3470" s="9">
        <f>(C3470-B3470)*24</f>
        <v/>
      </c>
      <c r="E3470" s="10">
        <f>IF(AND(HOUR(B3470)&gt;=6,HOUR(B3470)&lt;18),"Day Shift","Night Shift")</f>
        <v/>
      </c>
      <c r="F3470" s="11">
        <f>INT(B3470)</f>
        <v/>
      </c>
      <c r="G3470" s="11">
        <f>INT(C3470)</f>
        <v/>
      </c>
    </row>
    <row r="3471">
      <c r="A3471" s="2" t="inlineStr">
        <is>
          <t>DRE42</t>
        </is>
      </c>
      <c r="B3471" s="3" t="n">
        <v>46091.25</v>
      </c>
      <c r="C3471" s="3" t="n">
        <v>46091.75</v>
      </c>
      <c r="D3471" s="4">
        <f>(C3471-B3471)*24</f>
        <v/>
      </c>
      <c r="E3471" s="5">
        <f>IF(AND(HOUR(B3471)&gt;=6,HOUR(B3471)&lt;18),"Day Shift","Night Shift")</f>
        <v/>
      </c>
      <c r="F3471" s="6">
        <f>INT(B3471)</f>
        <v/>
      </c>
      <c r="G3471" s="6">
        <f>INT(C3471)</f>
        <v/>
      </c>
    </row>
    <row r="3472">
      <c r="A3472" s="7" t="inlineStr">
        <is>
          <t>DRE42</t>
        </is>
      </c>
      <c r="B3472" s="8" t="n">
        <v>46091.75</v>
      </c>
      <c r="C3472" s="8" t="n">
        <v>46092.25</v>
      </c>
      <c r="D3472" s="9">
        <f>(C3472-B3472)*24</f>
        <v/>
      </c>
      <c r="E3472" s="10">
        <f>IF(AND(HOUR(B3472)&gt;=6,HOUR(B3472)&lt;18),"Day Shift","Night Shift")</f>
        <v/>
      </c>
      <c r="F3472" s="11">
        <f>INT(B3472)</f>
        <v/>
      </c>
      <c r="G3472" s="11">
        <f>INT(C3472)</f>
        <v/>
      </c>
    </row>
    <row r="3473">
      <c r="A3473" s="2" t="inlineStr">
        <is>
          <t>DRE42</t>
        </is>
      </c>
      <c r="B3473" s="3" t="n">
        <v>46092.25</v>
      </c>
      <c r="C3473" s="3" t="n">
        <v>46092.75</v>
      </c>
      <c r="D3473" s="4">
        <f>(C3473-B3473)*24</f>
        <v/>
      </c>
      <c r="E3473" s="5">
        <f>IF(AND(HOUR(B3473)&gt;=6,HOUR(B3473)&lt;18),"Day Shift","Night Shift")</f>
        <v/>
      </c>
      <c r="F3473" s="6">
        <f>INT(B3473)</f>
        <v/>
      </c>
      <c r="G3473" s="6">
        <f>INT(C3473)</f>
        <v/>
      </c>
    </row>
    <row r="3474">
      <c r="A3474" s="7" t="inlineStr">
        <is>
          <t>DRE42</t>
        </is>
      </c>
      <c r="B3474" s="8" t="n">
        <v>46092.75</v>
      </c>
      <c r="C3474" s="8" t="n">
        <v>46093.25</v>
      </c>
      <c r="D3474" s="9">
        <f>(C3474-B3474)*24</f>
        <v/>
      </c>
      <c r="E3474" s="10">
        <f>IF(AND(HOUR(B3474)&gt;=6,HOUR(B3474)&lt;18),"Day Shift","Night Shift")</f>
        <v/>
      </c>
      <c r="F3474" s="11">
        <f>INT(B3474)</f>
        <v/>
      </c>
      <c r="G3474" s="11">
        <f>INT(C3474)</f>
        <v/>
      </c>
    </row>
    <row r="3475">
      <c r="A3475" s="2" t="inlineStr">
        <is>
          <t>DRE42</t>
        </is>
      </c>
      <c r="B3475" s="3" t="n">
        <v>46093.25</v>
      </c>
      <c r="C3475" s="3" t="n">
        <v>46093.75</v>
      </c>
      <c r="D3475" s="4">
        <f>(C3475-B3475)*24</f>
        <v/>
      </c>
      <c r="E3475" s="5">
        <f>IF(AND(HOUR(B3475)&gt;=6,HOUR(B3475)&lt;18),"Day Shift","Night Shift")</f>
        <v/>
      </c>
      <c r="F3475" s="6">
        <f>INT(B3475)</f>
        <v/>
      </c>
      <c r="G3475" s="6">
        <f>INT(C3475)</f>
        <v/>
      </c>
    </row>
    <row r="3476">
      <c r="A3476" s="7" t="inlineStr">
        <is>
          <t>DRE42</t>
        </is>
      </c>
      <c r="B3476" s="8" t="n">
        <v>46093.75</v>
      </c>
      <c r="C3476" s="8" t="n">
        <v>46094.25</v>
      </c>
      <c r="D3476" s="9">
        <f>(C3476-B3476)*24</f>
        <v/>
      </c>
      <c r="E3476" s="10">
        <f>IF(AND(HOUR(B3476)&gt;=6,HOUR(B3476)&lt;18),"Day Shift","Night Shift")</f>
        <v/>
      </c>
      <c r="F3476" s="11">
        <f>INT(B3476)</f>
        <v/>
      </c>
      <c r="G3476" s="11">
        <f>INT(C3476)</f>
        <v/>
      </c>
    </row>
    <row r="3477">
      <c r="A3477" s="2" t="inlineStr">
        <is>
          <t>DRE42</t>
        </is>
      </c>
      <c r="B3477" s="3" t="n">
        <v>46094.25</v>
      </c>
      <c r="C3477" s="3" t="n">
        <v>46094.75</v>
      </c>
      <c r="D3477" s="4">
        <f>(C3477-B3477)*24</f>
        <v/>
      </c>
      <c r="E3477" s="5">
        <f>IF(AND(HOUR(B3477)&gt;=6,HOUR(B3477)&lt;18),"Day Shift","Night Shift")</f>
        <v/>
      </c>
      <c r="F3477" s="6">
        <f>INT(B3477)</f>
        <v/>
      </c>
      <c r="G3477" s="6">
        <f>INT(C3477)</f>
        <v/>
      </c>
    </row>
    <row r="3478">
      <c r="A3478" s="7" t="inlineStr">
        <is>
          <t>DRE42</t>
        </is>
      </c>
      <c r="B3478" s="8" t="n">
        <v>46094.75</v>
      </c>
      <c r="C3478" s="8" t="n">
        <v>46095.25</v>
      </c>
      <c r="D3478" s="9">
        <f>(C3478-B3478)*24</f>
        <v/>
      </c>
      <c r="E3478" s="10">
        <f>IF(AND(HOUR(B3478)&gt;=6,HOUR(B3478)&lt;18),"Day Shift","Night Shift")</f>
        <v/>
      </c>
      <c r="F3478" s="11">
        <f>INT(B3478)</f>
        <v/>
      </c>
      <c r="G3478" s="11">
        <f>INT(C3478)</f>
        <v/>
      </c>
    </row>
    <row r="3479">
      <c r="A3479" s="2" t="inlineStr">
        <is>
          <t>DRE42</t>
        </is>
      </c>
      <c r="B3479" s="3" t="n">
        <v>46095.25</v>
      </c>
      <c r="C3479" s="3" t="n">
        <v>46095.75</v>
      </c>
      <c r="D3479" s="4">
        <f>(C3479-B3479)*24</f>
        <v/>
      </c>
      <c r="E3479" s="5">
        <f>IF(AND(HOUR(B3479)&gt;=6,HOUR(B3479)&lt;18),"Day Shift","Night Shift")</f>
        <v/>
      </c>
      <c r="F3479" s="6">
        <f>INT(B3479)</f>
        <v/>
      </c>
      <c r="G3479" s="6">
        <f>INT(C3479)</f>
        <v/>
      </c>
    </row>
    <row r="3480">
      <c r="A3480" s="7" t="inlineStr">
        <is>
          <t>DRE42</t>
        </is>
      </c>
      <c r="B3480" s="8" t="n">
        <v>46095.75</v>
      </c>
      <c r="C3480" s="8" t="n">
        <v>46096.19883101852</v>
      </c>
      <c r="D3480" s="9">
        <f>(C3480-B3480)*24</f>
        <v/>
      </c>
      <c r="E3480" s="10">
        <f>IF(AND(HOUR(B3480)&gt;=6,HOUR(B3480)&lt;18),"Day Shift","Night Shift")</f>
        <v/>
      </c>
      <c r="F3480" s="11">
        <f>INT(B3480)</f>
        <v/>
      </c>
      <c r="G3480" s="11">
        <f>INT(C3480)</f>
        <v/>
      </c>
    </row>
    <row r="3481">
      <c r="A3481" s="2" t="inlineStr">
        <is>
          <t>EXD100</t>
        </is>
      </c>
      <c r="B3481" s="3" t="n">
        <v>46089.54173611111</v>
      </c>
      <c r="C3481" s="3" t="n">
        <v>46089.75</v>
      </c>
      <c r="D3481" s="4">
        <f>(C3481-B3481)*24</f>
        <v/>
      </c>
      <c r="E3481" s="5">
        <f>IF(AND(HOUR(B3481)&gt;=6,HOUR(B3481)&lt;18),"Day Shift","Night Shift")</f>
        <v/>
      </c>
      <c r="F3481" s="6">
        <f>INT(B3481)</f>
        <v/>
      </c>
      <c r="G3481" s="6">
        <f>INT(C3481)</f>
        <v/>
      </c>
    </row>
    <row r="3482">
      <c r="A3482" s="7" t="inlineStr">
        <is>
          <t>EXD100</t>
        </is>
      </c>
      <c r="B3482" s="8" t="n">
        <v>46089.75</v>
      </c>
      <c r="C3482" s="8" t="n">
        <v>46090.25</v>
      </c>
      <c r="D3482" s="9">
        <f>(C3482-B3482)*24</f>
        <v/>
      </c>
      <c r="E3482" s="10">
        <f>IF(AND(HOUR(B3482)&gt;=6,HOUR(B3482)&lt;18),"Day Shift","Night Shift")</f>
        <v/>
      </c>
      <c r="F3482" s="11">
        <f>INT(B3482)</f>
        <v/>
      </c>
      <c r="G3482" s="11">
        <f>INT(C3482)</f>
        <v/>
      </c>
    </row>
    <row r="3483">
      <c r="A3483" s="2" t="inlineStr">
        <is>
          <t>EXD100</t>
        </is>
      </c>
      <c r="B3483" s="3" t="n">
        <v>46090.25</v>
      </c>
      <c r="C3483" s="3" t="n">
        <v>46090.75</v>
      </c>
      <c r="D3483" s="4">
        <f>(C3483-B3483)*24</f>
        <v/>
      </c>
      <c r="E3483" s="5">
        <f>IF(AND(HOUR(B3483)&gt;=6,HOUR(B3483)&lt;18),"Day Shift","Night Shift")</f>
        <v/>
      </c>
      <c r="F3483" s="6">
        <f>INT(B3483)</f>
        <v/>
      </c>
      <c r="G3483" s="6">
        <f>INT(C3483)</f>
        <v/>
      </c>
    </row>
    <row r="3484">
      <c r="A3484" s="7" t="inlineStr">
        <is>
          <t>EXD100</t>
        </is>
      </c>
      <c r="B3484" s="8" t="n">
        <v>46090.75</v>
      </c>
      <c r="C3484" s="8" t="n">
        <v>46091.07848379629</v>
      </c>
      <c r="D3484" s="9">
        <f>(C3484-B3484)*24</f>
        <v/>
      </c>
      <c r="E3484" s="10">
        <f>IF(AND(HOUR(B3484)&gt;=6,HOUR(B3484)&lt;18),"Day Shift","Night Shift")</f>
        <v/>
      </c>
      <c r="F3484" s="11">
        <f>INT(B3484)</f>
        <v/>
      </c>
      <c r="G3484" s="11">
        <f>INT(C3484)</f>
        <v/>
      </c>
    </row>
    <row r="3485">
      <c r="A3485" s="2" t="inlineStr">
        <is>
          <t>EXD52</t>
        </is>
      </c>
      <c r="B3485" s="3" t="n">
        <v>46089.55548611111</v>
      </c>
      <c r="C3485" s="3" t="n">
        <v>46089.75</v>
      </c>
      <c r="D3485" s="4">
        <f>(C3485-B3485)*24</f>
        <v/>
      </c>
      <c r="E3485" s="5">
        <f>IF(AND(HOUR(B3485)&gt;=6,HOUR(B3485)&lt;18),"Day Shift","Night Shift")</f>
        <v/>
      </c>
      <c r="F3485" s="6">
        <f>INT(B3485)</f>
        <v/>
      </c>
      <c r="G3485" s="6">
        <f>INT(C3485)</f>
        <v/>
      </c>
    </row>
    <row r="3486">
      <c r="A3486" s="7" t="inlineStr">
        <is>
          <t>EXD52</t>
        </is>
      </c>
      <c r="B3486" s="8" t="n">
        <v>46089.75</v>
      </c>
      <c r="C3486" s="8" t="n">
        <v>46090.25</v>
      </c>
      <c r="D3486" s="9">
        <f>(C3486-B3486)*24</f>
        <v/>
      </c>
      <c r="E3486" s="10">
        <f>IF(AND(HOUR(B3486)&gt;=6,HOUR(B3486)&lt;18),"Day Shift","Night Shift")</f>
        <v/>
      </c>
      <c r="F3486" s="11">
        <f>INT(B3486)</f>
        <v/>
      </c>
      <c r="G3486" s="11">
        <f>INT(C3486)</f>
        <v/>
      </c>
    </row>
    <row r="3487">
      <c r="A3487" s="2" t="inlineStr">
        <is>
          <t>EXD52</t>
        </is>
      </c>
      <c r="B3487" s="3" t="n">
        <v>46090.25</v>
      </c>
      <c r="C3487" s="3" t="n">
        <v>46090.55978009259</v>
      </c>
      <c r="D3487" s="4">
        <f>(C3487-B3487)*24</f>
        <v/>
      </c>
      <c r="E3487" s="5">
        <f>IF(AND(HOUR(B3487)&gt;=6,HOUR(B3487)&lt;18),"Day Shift","Night Shift")</f>
        <v/>
      </c>
      <c r="F3487" s="6">
        <f>INT(B3487)</f>
        <v/>
      </c>
      <c r="G3487" s="6">
        <f>INT(C3487)</f>
        <v/>
      </c>
    </row>
    <row r="3488">
      <c r="A3488" s="2" t="inlineStr">
        <is>
          <t>Blast Crew DS</t>
        </is>
      </c>
      <c r="B3488" s="3" t="n">
        <v>46089.56239583333</v>
      </c>
      <c r="C3488" s="3" t="n">
        <v>46089.68054398148</v>
      </c>
      <c r="D3488" s="4">
        <f>(C3488-B3488)*24</f>
        <v/>
      </c>
      <c r="E3488" s="5">
        <f>IF(AND(HOUR(B3488)&gt;=6,HOUR(B3488)&lt;18),"Day Shift","Night Shift")</f>
        <v/>
      </c>
      <c r="F3488" s="6">
        <f>INT(B3488)</f>
        <v/>
      </c>
      <c r="G3488" s="6">
        <f>INT(C3488)</f>
        <v/>
      </c>
    </row>
    <row r="3489">
      <c r="A3489" s="2" t="inlineStr">
        <is>
          <t>Stag Drill</t>
        </is>
      </c>
      <c r="B3489" s="3" t="n">
        <v>46089.56239583333</v>
      </c>
      <c r="C3489" s="3" t="n">
        <v>46089.75</v>
      </c>
      <c r="D3489" s="4">
        <f>(C3489-B3489)*24</f>
        <v/>
      </c>
      <c r="E3489" s="5">
        <f>IF(AND(HOUR(B3489)&gt;=6,HOUR(B3489)&lt;18),"Day Shift","Night Shift")</f>
        <v/>
      </c>
      <c r="F3489" s="6">
        <f>INT(B3489)</f>
        <v/>
      </c>
      <c r="G3489" s="6">
        <f>INT(C3489)</f>
        <v/>
      </c>
    </row>
    <row r="3490">
      <c r="A3490" s="7" t="inlineStr">
        <is>
          <t>Stag Drill</t>
        </is>
      </c>
      <c r="B3490" s="8" t="n">
        <v>46089.75</v>
      </c>
      <c r="C3490" s="8" t="n">
        <v>46089.99927083333</v>
      </c>
      <c r="D3490" s="9">
        <f>(C3490-B3490)*24</f>
        <v/>
      </c>
      <c r="E3490" s="10">
        <f>IF(AND(HOUR(B3490)&gt;=6,HOUR(B3490)&lt;18),"Day Shift","Night Shift")</f>
        <v/>
      </c>
      <c r="F3490" s="11">
        <f>INT(B3490)</f>
        <v/>
      </c>
      <c r="G3490" s="11">
        <f>INT(C3490)</f>
        <v/>
      </c>
    </row>
    <row r="3491">
      <c r="A3491" s="2" t="inlineStr">
        <is>
          <t>EDD2541;Sprint 1</t>
        </is>
      </c>
      <c r="B3491" s="3" t="n">
        <v>46089.57266203704</v>
      </c>
      <c r="C3491" s="3" t="n">
        <v>46089.75</v>
      </c>
      <c r="D3491" s="4">
        <f>(C3491-B3491)*24</f>
        <v/>
      </c>
      <c r="E3491" s="5">
        <f>IF(AND(HOUR(B3491)&gt;=6,HOUR(B3491)&lt;18),"Day Shift","Night Shift")</f>
        <v/>
      </c>
      <c r="F3491" s="6">
        <f>INT(B3491)</f>
        <v/>
      </c>
      <c r="G3491" s="6">
        <f>INT(C3491)</f>
        <v/>
      </c>
    </row>
    <row r="3492">
      <c r="A3492" s="7" t="inlineStr">
        <is>
          <t>EDD2541;Sprint 1</t>
        </is>
      </c>
      <c r="B3492" s="8" t="n">
        <v>46089.75</v>
      </c>
      <c r="C3492" s="8" t="n">
        <v>46089.77940972222</v>
      </c>
      <c r="D3492" s="9">
        <f>(C3492-B3492)*24</f>
        <v/>
      </c>
      <c r="E3492" s="10">
        <f>IF(AND(HOUR(B3492)&gt;=6,HOUR(B3492)&lt;18),"Day Shift","Night Shift")</f>
        <v/>
      </c>
      <c r="F3492" s="11">
        <f>INT(B3492)</f>
        <v/>
      </c>
      <c r="G3492" s="11">
        <f>INT(C3492)</f>
        <v/>
      </c>
    </row>
    <row r="3493">
      <c r="A3493" s="2" t="inlineStr">
        <is>
          <t>EXD98</t>
        </is>
      </c>
      <c r="B3493" s="3" t="n">
        <v>46089.5971412037</v>
      </c>
      <c r="C3493" s="3" t="n">
        <v>46089.75</v>
      </c>
      <c r="D3493" s="4">
        <f>(C3493-B3493)*24</f>
        <v/>
      </c>
      <c r="E3493" s="5">
        <f>IF(AND(HOUR(B3493)&gt;=6,HOUR(B3493)&lt;18),"Day Shift","Night Shift")</f>
        <v/>
      </c>
      <c r="F3493" s="6">
        <f>INT(B3493)</f>
        <v/>
      </c>
      <c r="G3493" s="6">
        <f>INT(C3493)</f>
        <v/>
      </c>
    </row>
    <row r="3494">
      <c r="A3494" s="7" t="inlineStr">
        <is>
          <t>EXD98</t>
        </is>
      </c>
      <c r="B3494" s="8" t="n">
        <v>46089.75</v>
      </c>
      <c r="C3494" s="8" t="n">
        <v>46090.25</v>
      </c>
      <c r="D3494" s="9">
        <f>(C3494-B3494)*24</f>
        <v/>
      </c>
      <c r="E3494" s="10">
        <f>IF(AND(HOUR(B3494)&gt;=6,HOUR(B3494)&lt;18),"Day Shift","Night Shift")</f>
        <v/>
      </c>
      <c r="F3494" s="11">
        <f>INT(B3494)</f>
        <v/>
      </c>
      <c r="G3494" s="11">
        <f>INT(C3494)</f>
        <v/>
      </c>
    </row>
    <row r="3495">
      <c r="A3495" s="2" t="inlineStr">
        <is>
          <t>EXD98</t>
        </is>
      </c>
      <c r="B3495" s="3" t="n">
        <v>46090.25</v>
      </c>
      <c r="C3495" s="3" t="n">
        <v>46090.48512731482</v>
      </c>
      <c r="D3495" s="4">
        <f>(C3495-B3495)*24</f>
        <v/>
      </c>
      <c r="E3495" s="5">
        <f>IF(AND(HOUR(B3495)&gt;=6,HOUR(B3495)&lt;18),"Day Shift","Night Shift")</f>
        <v/>
      </c>
      <c r="F3495" s="6">
        <f>INT(B3495)</f>
        <v/>
      </c>
      <c r="G3495" s="6">
        <f>INT(C3495)</f>
        <v/>
      </c>
    </row>
    <row r="3496">
      <c r="A3496" s="2" t="inlineStr">
        <is>
          <t>EXD409</t>
        </is>
      </c>
      <c r="B3496" s="3" t="n">
        <v>46089.61986111111</v>
      </c>
      <c r="C3496" s="3" t="n">
        <v>46089.75</v>
      </c>
      <c r="D3496" s="4">
        <f>(C3496-B3496)*24</f>
        <v/>
      </c>
      <c r="E3496" s="5">
        <f>IF(AND(HOUR(B3496)&gt;=6,HOUR(B3496)&lt;18),"Day Shift","Night Shift")</f>
        <v/>
      </c>
      <c r="F3496" s="6">
        <f>INT(B3496)</f>
        <v/>
      </c>
      <c r="G3496" s="6">
        <f>INT(C3496)</f>
        <v/>
      </c>
    </row>
    <row r="3497">
      <c r="A3497" s="7" t="inlineStr">
        <is>
          <t>EXD409</t>
        </is>
      </c>
      <c r="B3497" s="8" t="n">
        <v>46089.75</v>
      </c>
      <c r="C3497" s="8" t="n">
        <v>46090.25</v>
      </c>
      <c r="D3497" s="9">
        <f>(C3497-B3497)*24</f>
        <v/>
      </c>
      <c r="E3497" s="10">
        <f>IF(AND(HOUR(B3497)&gt;=6,HOUR(B3497)&lt;18),"Day Shift","Night Shift")</f>
        <v/>
      </c>
      <c r="F3497" s="11">
        <f>INT(B3497)</f>
        <v/>
      </c>
      <c r="G3497" s="11">
        <f>INT(C3497)</f>
        <v/>
      </c>
    </row>
    <row r="3498">
      <c r="A3498" s="2" t="inlineStr">
        <is>
          <t>EXD409</t>
        </is>
      </c>
      <c r="B3498" s="3" t="n">
        <v>46090.25</v>
      </c>
      <c r="C3498" s="3" t="n">
        <v>46090.75</v>
      </c>
      <c r="D3498" s="4">
        <f>(C3498-B3498)*24</f>
        <v/>
      </c>
      <c r="E3498" s="5">
        <f>IF(AND(HOUR(B3498)&gt;=6,HOUR(B3498)&lt;18),"Day Shift","Night Shift")</f>
        <v/>
      </c>
      <c r="F3498" s="6">
        <f>INT(B3498)</f>
        <v/>
      </c>
      <c r="G3498" s="6">
        <f>INT(C3498)</f>
        <v/>
      </c>
    </row>
    <row r="3499">
      <c r="A3499" s="7" t="inlineStr">
        <is>
          <t>EXD409</t>
        </is>
      </c>
      <c r="B3499" s="8" t="n">
        <v>46090.75</v>
      </c>
      <c r="C3499" s="8" t="n">
        <v>46091.25</v>
      </c>
      <c r="D3499" s="9">
        <f>(C3499-B3499)*24</f>
        <v/>
      </c>
      <c r="E3499" s="10">
        <f>IF(AND(HOUR(B3499)&gt;=6,HOUR(B3499)&lt;18),"Day Shift","Night Shift")</f>
        <v/>
      </c>
      <c r="F3499" s="11">
        <f>INT(B3499)</f>
        <v/>
      </c>
      <c r="G3499" s="11">
        <f>INT(C3499)</f>
        <v/>
      </c>
    </row>
    <row r="3500">
      <c r="A3500" s="2" t="inlineStr">
        <is>
          <t>EXD409</t>
        </is>
      </c>
      <c r="B3500" s="3" t="n">
        <v>46091.25</v>
      </c>
      <c r="C3500" s="3" t="n">
        <v>46091.75</v>
      </c>
      <c r="D3500" s="4">
        <f>(C3500-B3500)*24</f>
        <v/>
      </c>
      <c r="E3500" s="5">
        <f>IF(AND(HOUR(B3500)&gt;=6,HOUR(B3500)&lt;18),"Day Shift","Night Shift")</f>
        <v/>
      </c>
      <c r="F3500" s="6">
        <f>INT(B3500)</f>
        <v/>
      </c>
      <c r="G3500" s="6">
        <f>INT(C3500)</f>
        <v/>
      </c>
    </row>
    <row r="3501">
      <c r="A3501" s="7" t="inlineStr">
        <is>
          <t>EXD409</t>
        </is>
      </c>
      <c r="B3501" s="8" t="n">
        <v>46091.75</v>
      </c>
      <c r="C3501" s="8" t="n">
        <v>46091.76701388889</v>
      </c>
      <c r="D3501" s="9">
        <f>(C3501-B3501)*24</f>
        <v/>
      </c>
      <c r="E3501" s="10">
        <f>IF(AND(HOUR(B3501)&gt;=6,HOUR(B3501)&lt;18),"Day Shift","Night Shift")</f>
        <v/>
      </c>
      <c r="F3501" s="11">
        <f>INT(B3501)</f>
        <v/>
      </c>
      <c r="G3501" s="11">
        <f>INT(C3501)</f>
        <v/>
      </c>
    </row>
    <row r="3502">
      <c r="A3502" s="2" t="inlineStr">
        <is>
          <t>Blast Crew DS</t>
        </is>
      </c>
      <c r="B3502" s="3" t="n">
        <v>46089.68054398148</v>
      </c>
      <c r="C3502" s="3" t="n">
        <v>46089.75</v>
      </c>
      <c r="D3502" s="4">
        <f>(C3502-B3502)*24</f>
        <v/>
      </c>
      <c r="E3502" s="5">
        <f>IF(AND(HOUR(B3502)&gt;=6,HOUR(B3502)&lt;18),"Day Shift","Night Shift")</f>
        <v/>
      </c>
      <c r="F3502" s="6">
        <f>INT(B3502)</f>
        <v/>
      </c>
      <c r="G3502" s="6">
        <f>INT(C3502)</f>
        <v/>
      </c>
    </row>
    <row r="3503">
      <c r="A3503" s="7" t="inlineStr">
        <is>
          <t>Blast Crew DS</t>
        </is>
      </c>
      <c r="B3503" s="8" t="n">
        <v>46089.75</v>
      </c>
      <c r="C3503" s="8" t="n">
        <v>46090.25</v>
      </c>
      <c r="D3503" s="9">
        <f>(C3503-B3503)*24</f>
        <v/>
      </c>
      <c r="E3503" s="10">
        <f>IF(AND(HOUR(B3503)&gt;=6,HOUR(B3503)&lt;18),"Day Shift","Night Shift")</f>
        <v/>
      </c>
      <c r="F3503" s="11">
        <f>INT(B3503)</f>
        <v/>
      </c>
      <c r="G3503" s="11">
        <f>INT(C3503)</f>
        <v/>
      </c>
    </row>
    <row r="3504">
      <c r="A3504" s="2" t="inlineStr">
        <is>
          <t>Blast Crew DS</t>
        </is>
      </c>
      <c r="B3504" s="3" t="n">
        <v>46090.25</v>
      </c>
      <c r="C3504" s="3" t="n">
        <v>46090.29724537037</v>
      </c>
      <c r="D3504" s="4">
        <f>(C3504-B3504)*24</f>
        <v/>
      </c>
      <c r="E3504" s="5">
        <f>IF(AND(HOUR(B3504)&gt;=6,HOUR(B3504)&lt;18),"Day Shift","Night Shift")</f>
        <v/>
      </c>
      <c r="F3504" s="6">
        <f>INT(B3504)</f>
        <v/>
      </c>
      <c r="G3504" s="6">
        <f>INT(C3504)</f>
        <v/>
      </c>
    </row>
    <row r="3505">
      <c r="A3505" s="2" t="inlineStr">
        <is>
          <t>EXD101</t>
        </is>
      </c>
      <c r="B3505" s="3" t="n">
        <v>46089.74364583333</v>
      </c>
      <c r="C3505" s="3" t="n">
        <v>46089.75</v>
      </c>
      <c r="D3505" s="4">
        <f>(C3505-B3505)*24</f>
        <v/>
      </c>
      <c r="E3505" s="5">
        <f>IF(AND(HOUR(B3505)&gt;=6,HOUR(B3505)&lt;18),"Day Shift","Night Shift")</f>
        <v/>
      </c>
      <c r="F3505" s="6">
        <f>INT(B3505)</f>
        <v/>
      </c>
      <c r="G3505" s="6">
        <f>INT(C3505)</f>
        <v/>
      </c>
    </row>
    <row r="3506">
      <c r="A3506" s="7" t="inlineStr">
        <is>
          <t>EXD101</t>
        </is>
      </c>
      <c r="B3506" s="8" t="n">
        <v>46089.75</v>
      </c>
      <c r="C3506" s="8" t="n">
        <v>46089.91907407407</v>
      </c>
      <c r="D3506" s="9">
        <f>(C3506-B3506)*24</f>
        <v/>
      </c>
      <c r="E3506" s="10">
        <f>IF(AND(HOUR(B3506)&gt;=6,HOUR(B3506)&lt;18),"Day Shift","Night Shift")</f>
        <v/>
      </c>
      <c r="F3506" s="11">
        <f>INT(B3506)</f>
        <v/>
      </c>
      <c r="G3506" s="11">
        <f>INT(C3506)</f>
        <v/>
      </c>
    </row>
    <row r="3507">
      <c r="A3507" s="7" t="inlineStr">
        <is>
          <t>EDD2541;Sprint 1</t>
        </is>
      </c>
      <c r="B3507" s="8" t="n">
        <v>46089.77940972222</v>
      </c>
      <c r="C3507" s="8" t="n">
        <v>46089.98480324074</v>
      </c>
      <c r="D3507" s="9">
        <f>(C3507-B3507)*24</f>
        <v/>
      </c>
      <c r="E3507" s="10">
        <f>IF(AND(HOUR(B3507)&gt;=6,HOUR(B3507)&lt;18),"Day Shift","Night Shift")</f>
        <v/>
      </c>
      <c r="F3507" s="11">
        <f>INT(B3507)</f>
        <v/>
      </c>
      <c r="G3507" s="11">
        <f>INT(C3507)</f>
        <v/>
      </c>
    </row>
    <row r="3508">
      <c r="A3508" s="7" t="inlineStr">
        <is>
          <t>EXD73</t>
        </is>
      </c>
      <c r="B3508" s="8" t="n">
        <v>46089.88506944444</v>
      </c>
      <c r="C3508" s="8" t="n">
        <v>46090.25</v>
      </c>
      <c r="D3508" s="9">
        <f>(C3508-B3508)*24</f>
        <v/>
      </c>
      <c r="E3508" s="10">
        <f>IF(AND(HOUR(B3508)&gt;=6,HOUR(B3508)&lt;18),"Day Shift","Night Shift")</f>
        <v/>
      </c>
      <c r="F3508" s="11">
        <f>INT(B3508)</f>
        <v/>
      </c>
      <c r="G3508" s="11">
        <f>INT(C3508)</f>
        <v/>
      </c>
    </row>
    <row r="3509">
      <c r="A3509" s="2" t="inlineStr">
        <is>
          <t>EXD73</t>
        </is>
      </c>
      <c r="B3509" s="3" t="n">
        <v>46090.25</v>
      </c>
      <c r="C3509" s="3" t="n">
        <v>46090.75</v>
      </c>
      <c r="D3509" s="4">
        <f>(C3509-B3509)*24</f>
        <v/>
      </c>
      <c r="E3509" s="5">
        <f>IF(AND(HOUR(B3509)&gt;=6,HOUR(B3509)&lt;18),"Day Shift","Night Shift")</f>
        <v/>
      </c>
      <c r="F3509" s="6">
        <f>INT(B3509)</f>
        <v/>
      </c>
      <c r="G3509" s="6">
        <f>INT(C3509)</f>
        <v/>
      </c>
    </row>
    <row r="3510">
      <c r="A3510" s="7" t="inlineStr">
        <is>
          <t>EXD73</t>
        </is>
      </c>
      <c r="B3510" s="8" t="n">
        <v>46090.75</v>
      </c>
      <c r="C3510" s="8" t="n">
        <v>46091.02413194445</v>
      </c>
      <c r="D3510" s="9">
        <f>(C3510-B3510)*24</f>
        <v/>
      </c>
      <c r="E3510" s="10">
        <f>IF(AND(HOUR(B3510)&gt;=6,HOUR(B3510)&lt;18),"Day Shift","Night Shift")</f>
        <v/>
      </c>
      <c r="F3510" s="11">
        <f>INT(B3510)</f>
        <v/>
      </c>
      <c r="G3510" s="11">
        <f>INT(C3510)</f>
        <v/>
      </c>
    </row>
    <row r="3511">
      <c r="A3511" s="7" t="inlineStr">
        <is>
          <t>EXD56</t>
        </is>
      </c>
      <c r="B3511" s="8" t="n">
        <v>46089.90399305556</v>
      </c>
      <c r="C3511" s="8" t="n">
        <v>46090.25</v>
      </c>
      <c r="D3511" s="9">
        <f>(C3511-B3511)*24</f>
        <v/>
      </c>
      <c r="E3511" s="10">
        <f>IF(AND(HOUR(B3511)&gt;=6,HOUR(B3511)&lt;18),"Day Shift","Night Shift")</f>
        <v/>
      </c>
      <c r="F3511" s="11">
        <f>INT(B3511)</f>
        <v/>
      </c>
      <c r="G3511" s="11">
        <f>INT(C3511)</f>
        <v/>
      </c>
    </row>
    <row r="3512">
      <c r="A3512" s="2" t="inlineStr">
        <is>
          <t>EXD56</t>
        </is>
      </c>
      <c r="B3512" s="3" t="n">
        <v>46090.25</v>
      </c>
      <c r="C3512" s="3" t="n">
        <v>46090.75</v>
      </c>
      <c r="D3512" s="4">
        <f>(C3512-B3512)*24</f>
        <v/>
      </c>
      <c r="E3512" s="5">
        <f>IF(AND(HOUR(B3512)&gt;=6,HOUR(B3512)&lt;18),"Day Shift","Night Shift")</f>
        <v/>
      </c>
      <c r="F3512" s="6">
        <f>INT(B3512)</f>
        <v/>
      </c>
      <c r="G3512" s="6">
        <f>INT(C3512)</f>
        <v/>
      </c>
    </row>
    <row r="3513">
      <c r="A3513" s="7" t="inlineStr">
        <is>
          <t>EXD56</t>
        </is>
      </c>
      <c r="B3513" s="8" t="n">
        <v>46090.75</v>
      </c>
      <c r="C3513" s="8" t="n">
        <v>46091.25</v>
      </c>
      <c r="D3513" s="9">
        <f>(C3513-B3513)*24</f>
        <v/>
      </c>
      <c r="E3513" s="10">
        <f>IF(AND(HOUR(B3513)&gt;=6,HOUR(B3513)&lt;18),"Day Shift","Night Shift")</f>
        <v/>
      </c>
      <c r="F3513" s="11">
        <f>INT(B3513)</f>
        <v/>
      </c>
      <c r="G3513" s="11">
        <f>INT(C3513)</f>
        <v/>
      </c>
    </row>
    <row r="3514">
      <c r="A3514" s="2" t="inlineStr">
        <is>
          <t>EXD56</t>
        </is>
      </c>
      <c r="B3514" s="3" t="n">
        <v>46091.25</v>
      </c>
      <c r="C3514" s="3" t="n">
        <v>46091.75</v>
      </c>
      <c r="D3514" s="4">
        <f>(C3514-B3514)*24</f>
        <v/>
      </c>
      <c r="E3514" s="5">
        <f>IF(AND(HOUR(B3514)&gt;=6,HOUR(B3514)&lt;18),"Day Shift","Night Shift")</f>
        <v/>
      </c>
      <c r="F3514" s="6">
        <f>INT(B3514)</f>
        <v/>
      </c>
      <c r="G3514" s="6">
        <f>INT(C3514)</f>
        <v/>
      </c>
    </row>
    <row r="3515">
      <c r="A3515" s="7" t="inlineStr">
        <is>
          <t>EXD56</t>
        </is>
      </c>
      <c r="B3515" s="8" t="n">
        <v>46091.75</v>
      </c>
      <c r="C3515" s="8" t="n">
        <v>46092.25</v>
      </c>
      <c r="D3515" s="9">
        <f>(C3515-B3515)*24</f>
        <v/>
      </c>
      <c r="E3515" s="10">
        <f>IF(AND(HOUR(B3515)&gt;=6,HOUR(B3515)&lt;18),"Day Shift","Night Shift")</f>
        <v/>
      </c>
      <c r="F3515" s="11">
        <f>INT(B3515)</f>
        <v/>
      </c>
      <c r="G3515" s="11">
        <f>INT(C3515)</f>
        <v/>
      </c>
    </row>
    <row r="3516">
      <c r="A3516" s="2" t="inlineStr">
        <is>
          <t>EXD56</t>
        </is>
      </c>
      <c r="B3516" s="3" t="n">
        <v>46092.25</v>
      </c>
      <c r="C3516" s="3" t="n">
        <v>46092.75</v>
      </c>
      <c r="D3516" s="4">
        <f>(C3516-B3516)*24</f>
        <v/>
      </c>
      <c r="E3516" s="5">
        <f>IF(AND(HOUR(B3516)&gt;=6,HOUR(B3516)&lt;18),"Day Shift","Night Shift")</f>
        <v/>
      </c>
      <c r="F3516" s="6">
        <f>INT(B3516)</f>
        <v/>
      </c>
      <c r="G3516" s="6">
        <f>INT(C3516)</f>
        <v/>
      </c>
    </row>
    <row r="3517">
      <c r="A3517" s="7" t="inlineStr">
        <is>
          <t>EXD56</t>
        </is>
      </c>
      <c r="B3517" s="8" t="n">
        <v>46092.75</v>
      </c>
      <c r="C3517" s="8" t="n">
        <v>46093.25</v>
      </c>
      <c r="D3517" s="9">
        <f>(C3517-B3517)*24</f>
        <v/>
      </c>
      <c r="E3517" s="10">
        <f>IF(AND(HOUR(B3517)&gt;=6,HOUR(B3517)&lt;18),"Day Shift","Night Shift")</f>
        <v/>
      </c>
      <c r="F3517" s="11">
        <f>INT(B3517)</f>
        <v/>
      </c>
      <c r="G3517" s="11">
        <f>INT(C3517)</f>
        <v/>
      </c>
    </row>
    <row r="3518">
      <c r="A3518" s="2" t="inlineStr">
        <is>
          <t>EXD56</t>
        </is>
      </c>
      <c r="B3518" s="3" t="n">
        <v>46093.25</v>
      </c>
      <c r="C3518" s="3" t="n">
        <v>46093.75</v>
      </c>
      <c r="D3518" s="4">
        <f>(C3518-B3518)*24</f>
        <v/>
      </c>
      <c r="E3518" s="5">
        <f>IF(AND(HOUR(B3518)&gt;=6,HOUR(B3518)&lt;18),"Day Shift","Night Shift")</f>
        <v/>
      </c>
      <c r="F3518" s="6">
        <f>INT(B3518)</f>
        <v/>
      </c>
      <c r="G3518" s="6">
        <f>INT(C3518)</f>
        <v/>
      </c>
    </row>
    <row r="3519">
      <c r="A3519" s="7" t="inlineStr">
        <is>
          <t>EXD56</t>
        </is>
      </c>
      <c r="B3519" s="8" t="n">
        <v>46093.75</v>
      </c>
      <c r="C3519" s="8" t="n">
        <v>46094.25</v>
      </c>
      <c r="D3519" s="9">
        <f>(C3519-B3519)*24</f>
        <v/>
      </c>
      <c r="E3519" s="10">
        <f>IF(AND(HOUR(B3519)&gt;=6,HOUR(B3519)&lt;18),"Day Shift","Night Shift")</f>
        <v/>
      </c>
      <c r="F3519" s="11">
        <f>INT(B3519)</f>
        <v/>
      </c>
      <c r="G3519" s="11">
        <f>INT(C3519)</f>
        <v/>
      </c>
    </row>
    <row r="3520">
      <c r="A3520" s="2" t="inlineStr">
        <is>
          <t>EXD56</t>
        </is>
      </c>
      <c r="B3520" s="3" t="n">
        <v>46094.25</v>
      </c>
      <c r="C3520" s="3" t="n">
        <v>46094.75</v>
      </c>
      <c r="D3520" s="4">
        <f>(C3520-B3520)*24</f>
        <v/>
      </c>
      <c r="E3520" s="5">
        <f>IF(AND(HOUR(B3520)&gt;=6,HOUR(B3520)&lt;18),"Day Shift","Night Shift")</f>
        <v/>
      </c>
      <c r="F3520" s="6">
        <f>INT(B3520)</f>
        <v/>
      </c>
      <c r="G3520" s="6">
        <f>INT(C3520)</f>
        <v/>
      </c>
    </row>
    <row r="3521">
      <c r="A3521" s="7" t="inlineStr">
        <is>
          <t>EXD56</t>
        </is>
      </c>
      <c r="B3521" s="8" t="n">
        <v>46094.75</v>
      </c>
      <c r="C3521" s="8" t="n">
        <v>46095.0734375</v>
      </c>
      <c r="D3521" s="9">
        <f>(C3521-B3521)*24</f>
        <v/>
      </c>
      <c r="E3521" s="10">
        <f>IF(AND(HOUR(B3521)&gt;=6,HOUR(B3521)&lt;18),"Day Shift","Night Shift")</f>
        <v/>
      </c>
      <c r="F3521" s="11">
        <f>INT(B3521)</f>
        <v/>
      </c>
      <c r="G3521" s="11">
        <f>INT(C3521)</f>
        <v/>
      </c>
    </row>
    <row r="3522">
      <c r="A3522" s="7" t="inlineStr">
        <is>
          <t>EXD101</t>
        </is>
      </c>
      <c r="B3522" s="8" t="n">
        <v>46089.91907407407</v>
      </c>
      <c r="C3522" s="8" t="n">
        <v>46090.25</v>
      </c>
      <c r="D3522" s="9">
        <f>(C3522-B3522)*24</f>
        <v/>
      </c>
      <c r="E3522" s="10">
        <f>IF(AND(HOUR(B3522)&gt;=6,HOUR(B3522)&lt;18),"Day Shift","Night Shift")</f>
        <v/>
      </c>
      <c r="F3522" s="11">
        <f>INT(B3522)</f>
        <v/>
      </c>
      <c r="G3522" s="11">
        <f>INT(C3522)</f>
        <v/>
      </c>
    </row>
    <row r="3523">
      <c r="A3523" s="2" t="inlineStr">
        <is>
          <t>EXD101</t>
        </is>
      </c>
      <c r="B3523" s="3" t="n">
        <v>46090.25</v>
      </c>
      <c r="C3523" s="3" t="n">
        <v>46090.75</v>
      </c>
      <c r="D3523" s="4">
        <f>(C3523-B3523)*24</f>
        <v/>
      </c>
      <c r="E3523" s="5">
        <f>IF(AND(HOUR(B3523)&gt;=6,HOUR(B3523)&lt;18),"Day Shift","Night Shift")</f>
        <v/>
      </c>
      <c r="F3523" s="6">
        <f>INT(B3523)</f>
        <v/>
      </c>
      <c r="G3523" s="6">
        <f>INT(C3523)</f>
        <v/>
      </c>
    </row>
    <row r="3524">
      <c r="A3524" s="7" t="inlineStr">
        <is>
          <t>EXD101</t>
        </is>
      </c>
      <c r="B3524" s="8" t="n">
        <v>46090.75</v>
      </c>
      <c r="C3524" s="8" t="n">
        <v>46090.92283564815</v>
      </c>
      <c r="D3524" s="9">
        <f>(C3524-B3524)*24</f>
        <v/>
      </c>
      <c r="E3524" s="10">
        <f>IF(AND(HOUR(B3524)&gt;=6,HOUR(B3524)&lt;18),"Day Shift","Night Shift")</f>
        <v/>
      </c>
      <c r="F3524" s="11">
        <f>INT(B3524)</f>
        <v/>
      </c>
      <c r="G3524" s="11">
        <f>INT(C3524)</f>
        <v/>
      </c>
    </row>
    <row r="3525">
      <c r="A3525" s="7" t="inlineStr">
        <is>
          <t>EDD2541;Sprint 1</t>
        </is>
      </c>
      <c r="B3525" s="8" t="n">
        <v>46089.98480324074</v>
      </c>
      <c r="C3525" s="8" t="n">
        <v>46090.0834375</v>
      </c>
      <c r="D3525" s="9">
        <f>(C3525-B3525)*24</f>
        <v/>
      </c>
      <c r="E3525" s="10">
        <f>IF(AND(HOUR(B3525)&gt;=6,HOUR(B3525)&lt;18),"Day Shift","Night Shift")</f>
        <v/>
      </c>
      <c r="F3525" s="11">
        <f>INT(B3525)</f>
        <v/>
      </c>
      <c r="G3525" s="11">
        <f>INT(C3525)</f>
        <v/>
      </c>
    </row>
    <row r="3526">
      <c r="A3526" s="7" t="inlineStr">
        <is>
          <t>Stag Drill</t>
        </is>
      </c>
      <c r="B3526" s="8" t="n">
        <v>46089.99927083333</v>
      </c>
      <c r="C3526" s="8" t="n">
        <v>46090.25</v>
      </c>
      <c r="D3526" s="9">
        <f>(C3526-B3526)*24</f>
        <v/>
      </c>
      <c r="E3526" s="10">
        <f>IF(AND(HOUR(B3526)&gt;=6,HOUR(B3526)&lt;18),"Day Shift","Night Shift")</f>
        <v/>
      </c>
      <c r="F3526" s="11">
        <f>INT(B3526)</f>
        <v/>
      </c>
      <c r="G3526" s="11">
        <f>INT(C3526)</f>
        <v/>
      </c>
    </row>
    <row r="3527">
      <c r="A3527" s="2" t="inlineStr">
        <is>
          <t>Stag Drill</t>
        </is>
      </c>
      <c r="B3527" s="3" t="n">
        <v>46090.25</v>
      </c>
      <c r="C3527" s="3" t="n">
        <v>46090.29778935185</v>
      </c>
      <c r="D3527" s="4">
        <f>(C3527-B3527)*24</f>
        <v/>
      </c>
      <c r="E3527" s="5">
        <f>IF(AND(HOUR(B3527)&gt;=6,HOUR(B3527)&lt;18),"Day Shift","Night Shift")</f>
        <v/>
      </c>
      <c r="F3527" s="6">
        <f>INT(B3527)</f>
        <v/>
      </c>
      <c r="G3527" s="6">
        <f>INT(C3527)</f>
        <v/>
      </c>
    </row>
    <row r="3528">
      <c r="A3528" s="7" t="inlineStr">
        <is>
          <t>EDD175;EDD2134</t>
        </is>
      </c>
      <c r="B3528" s="8" t="n">
        <v>46090.05201388889</v>
      </c>
      <c r="C3528" s="8" t="n">
        <v>46090.25</v>
      </c>
      <c r="D3528" s="9">
        <f>(C3528-B3528)*24</f>
        <v/>
      </c>
      <c r="E3528" s="10">
        <f>IF(AND(HOUR(B3528)&gt;=6,HOUR(B3528)&lt;18),"Day Shift","Night Shift")</f>
        <v/>
      </c>
      <c r="F3528" s="11">
        <f>INT(B3528)</f>
        <v/>
      </c>
      <c r="G3528" s="11">
        <f>INT(C3528)</f>
        <v/>
      </c>
    </row>
    <row r="3529">
      <c r="A3529" s="2" t="inlineStr">
        <is>
          <t>EDD175;EDD2134</t>
        </is>
      </c>
      <c r="B3529" s="3" t="n">
        <v>46090.25</v>
      </c>
      <c r="C3529" s="3" t="n">
        <v>46090.66909722222</v>
      </c>
      <c r="D3529" s="4">
        <f>(C3529-B3529)*24</f>
        <v/>
      </c>
      <c r="E3529" s="5">
        <f>IF(AND(HOUR(B3529)&gt;=6,HOUR(B3529)&lt;18),"Day Shift","Night Shift")</f>
        <v/>
      </c>
      <c r="F3529" s="6">
        <f>INT(B3529)</f>
        <v/>
      </c>
      <c r="G3529" s="6">
        <f>INT(C3529)</f>
        <v/>
      </c>
    </row>
    <row r="3530">
      <c r="A3530" s="7" t="inlineStr">
        <is>
          <t>Blast Crew</t>
        </is>
      </c>
      <c r="B3530" s="8" t="n">
        <v>46090.08685185185</v>
      </c>
      <c r="C3530" s="8" t="n">
        <v>46090.25</v>
      </c>
      <c r="D3530" s="9">
        <f>(C3530-B3530)*24</f>
        <v/>
      </c>
      <c r="E3530" s="10">
        <f>IF(AND(HOUR(B3530)&gt;=6,HOUR(B3530)&lt;18),"Day Shift","Night Shift")</f>
        <v/>
      </c>
      <c r="F3530" s="11">
        <f>INT(B3530)</f>
        <v/>
      </c>
      <c r="G3530" s="11">
        <f>INT(C3530)</f>
        <v/>
      </c>
    </row>
    <row r="3531">
      <c r="A3531" s="2" t="inlineStr">
        <is>
          <t>Blast Crew</t>
        </is>
      </c>
      <c r="B3531" s="3" t="n">
        <v>46090.25</v>
      </c>
      <c r="C3531" s="3" t="n">
        <v>46090.25549768518</v>
      </c>
      <c r="D3531" s="4">
        <f>(C3531-B3531)*24</f>
        <v/>
      </c>
      <c r="E3531" s="5">
        <f>IF(AND(HOUR(B3531)&gt;=6,HOUR(B3531)&lt;18),"Day Shift","Night Shift")</f>
        <v/>
      </c>
      <c r="F3531" s="6">
        <f>INT(B3531)</f>
        <v/>
      </c>
      <c r="G3531" s="6">
        <f>INT(C3531)</f>
        <v/>
      </c>
    </row>
    <row r="3532">
      <c r="A3532" s="7" t="inlineStr">
        <is>
          <t>EDD2541;Sprint 1</t>
        </is>
      </c>
      <c r="B3532" s="8" t="n">
        <v>46090.11244212963</v>
      </c>
      <c r="C3532" s="8" t="n">
        <v>46090.25</v>
      </c>
      <c r="D3532" s="9">
        <f>(C3532-B3532)*24</f>
        <v/>
      </c>
      <c r="E3532" s="10">
        <f>IF(AND(HOUR(B3532)&gt;=6,HOUR(B3532)&lt;18),"Day Shift","Night Shift")</f>
        <v/>
      </c>
      <c r="F3532" s="11">
        <f>INT(B3532)</f>
        <v/>
      </c>
      <c r="G3532" s="11">
        <f>INT(C3532)</f>
        <v/>
      </c>
    </row>
    <row r="3533">
      <c r="A3533" s="2" t="inlineStr">
        <is>
          <t>EDD2541;Sprint 1</t>
        </is>
      </c>
      <c r="B3533" s="3" t="n">
        <v>46090.25</v>
      </c>
      <c r="C3533" s="3" t="n">
        <v>46090.27675925926</v>
      </c>
      <c r="D3533" s="4">
        <f>(C3533-B3533)*24</f>
        <v/>
      </c>
      <c r="E3533" s="5">
        <f>IF(AND(HOUR(B3533)&gt;=6,HOUR(B3533)&lt;18),"Day Shift","Night Shift")</f>
        <v/>
      </c>
      <c r="F3533" s="6">
        <f>INT(B3533)</f>
        <v/>
      </c>
      <c r="G3533" s="6">
        <f>INT(C3533)</f>
        <v/>
      </c>
    </row>
    <row r="3534">
      <c r="A3534" s="7" t="inlineStr">
        <is>
          <t>DRE08</t>
        </is>
      </c>
      <c r="B3534" s="8" t="n">
        <v>46090.12556712963</v>
      </c>
      <c r="C3534" s="8" t="n">
        <v>46090.25</v>
      </c>
      <c r="D3534" s="9">
        <f>(C3534-B3534)*24</f>
        <v/>
      </c>
      <c r="E3534" s="10">
        <f>IF(AND(HOUR(B3534)&gt;=6,HOUR(B3534)&lt;18),"Day Shift","Night Shift")</f>
        <v/>
      </c>
      <c r="F3534" s="11">
        <f>INT(B3534)</f>
        <v/>
      </c>
      <c r="G3534" s="11">
        <f>INT(C3534)</f>
        <v/>
      </c>
    </row>
    <row r="3535">
      <c r="A3535" s="2" t="inlineStr">
        <is>
          <t>DRE08</t>
        </is>
      </c>
      <c r="B3535" s="3" t="n">
        <v>46090.25</v>
      </c>
      <c r="C3535" s="3" t="n">
        <v>46090.75</v>
      </c>
      <c r="D3535" s="4">
        <f>(C3535-B3535)*24</f>
        <v/>
      </c>
      <c r="E3535" s="5">
        <f>IF(AND(HOUR(B3535)&gt;=6,HOUR(B3535)&lt;18),"Day Shift","Night Shift")</f>
        <v/>
      </c>
      <c r="F3535" s="6">
        <f>INT(B3535)</f>
        <v/>
      </c>
      <c r="G3535" s="6">
        <f>INT(C3535)</f>
        <v/>
      </c>
    </row>
    <row r="3536">
      <c r="A3536" s="7" t="inlineStr">
        <is>
          <t>DRE08</t>
        </is>
      </c>
      <c r="B3536" s="8" t="n">
        <v>46090.75</v>
      </c>
      <c r="C3536" s="8" t="n">
        <v>46091.25</v>
      </c>
      <c r="D3536" s="9">
        <f>(C3536-B3536)*24</f>
        <v/>
      </c>
      <c r="E3536" s="10">
        <f>IF(AND(HOUR(B3536)&gt;=6,HOUR(B3536)&lt;18),"Day Shift","Night Shift")</f>
        <v/>
      </c>
      <c r="F3536" s="11">
        <f>INT(B3536)</f>
        <v/>
      </c>
      <c r="G3536" s="11">
        <f>INT(C3536)</f>
        <v/>
      </c>
    </row>
    <row r="3537">
      <c r="A3537" s="2" t="inlineStr">
        <is>
          <t>DRE08</t>
        </is>
      </c>
      <c r="B3537" s="3" t="n">
        <v>46091.25</v>
      </c>
      <c r="C3537" s="3" t="n">
        <v>46091.75</v>
      </c>
      <c r="D3537" s="4">
        <f>(C3537-B3537)*24</f>
        <v/>
      </c>
      <c r="E3537" s="5">
        <f>IF(AND(HOUR(B3537)&gt;=6,HOUR(B3537)&lt;18),"Day Shift","Night Shift")</f>
        <v/>
      </c>
      <c r="F3537" s="6">
        <f>INT(B3537)</f>
        <v/>
      </c>
      <c r="G3537" s="6">
        <f>INT(C3537)</f>
        <v/>
      </c>
    </row>
    <row r="3538">
      <c r="A3538" s="7" t="inlineStr">
        <is>
          <t>DRE08</t>
        </is>
      </c>
      <c r="B3538" s="8" t="n">
        <v>46091.75</v>
      </c>
      <c r="C3538" s="8" t="n">
        <v>46092.25</v>
      </c>
      <c r="D3538" s="9">
        <f>(C3538-B3538)*24</f>
        <v/>
      </c>
      <c r="E3538" s="10">
        <f>IF(AND(HOUR(B3538)&gt;=6,HOUR(B3538)&lt;18),"Day Shift","Night Shift")</f>
        <v/>
      </c>
      <c r="F3538" s="11">
        <f>INT(B3538)</f>
        <v/>
      </c>
      <c r="G3538" s="11">
        <f>INT(C3538)</f>
        <v/>
      </c>
    </row>
    <row r="3539">
      <c r="A3539" s="2" t="inlineStr">
        <is>
          <t>DRE08</t>
        </is>
      </c>
      <c r="B3539" s="3" t="n">
        <v>46092.25</v>
      </c>
      <c r="C3539" s="3" t="n">
        <v>46092.75</v>
      </c>
      <c r="D3539" s="4">
        <f>(C3539-B3539)*24</f>
        <v/>
      </c>
      <c r="E3539" s="5">
        <f>IF(AND(HOUR(B3539)&gt;=6,HOUR(B3539)&lt;18),"Day Shift","Night Shift")</f>
        <v/>
      </c>
      <c r="F3539" s="6">
        <f>INT(B3539)</f>
        <v/>
      </c>
      <c r="G3539" s="6">
        <f>INT(C3539)</f>
        <v/>
      </c>
    </row>
    <row r="3540">
      <c r="A3540" s="7" t="inlineStr">
        <is>
          <t>DRE08</t>
        </is>
      </c>
      <c r="B3540" s="8" t="n">
        <v>46092.75</v>
      </c>
      <c r="C3540" s="8" t="n">
        <v>46093.25</v>
      </c>
      <c r="D3540" s="9">
        <f>(C3540-B3540)*24</f>
        <v/>
      </c>
      <c r="E3540" s="10">
        <f>IF(AND(HOUR(B3540)&gt;=6,HOUR(B3540)&lt;18),"Day Shift","Night Shift")</f>
        <v/>
      </c>
      <c r="F3540" s="11">
        <f>INT(B3540)</f>
        <v/>
      </c>
      <c r="G3540" s="11">
        <f>INT(C3540)</f>
        <v/>
      </c>
    </row>
    <row r="3541">
      <c r="A3541" s="2" t="inlineStr">
        <is>
          <t>DRE08</t>
        </is>
      </c>
      <c r="B3541" s="3" t="n">
        <v>46093.25</v>
      </c>
      <c r="C3541" s="3" t="n">
        <v>46093.26445601852</v>
      </c>
      <c r="D3541" s="4">
        <f>(C3541-B3541)*24</f>
        <v/>
      </c>
      <c r="E3541" s="5">
        <f>IF(AND(HOUR(B3541)&gt;=6,HOUR(B3541)&lt;18),"Day Shift","Night Shift")</f>
        <v/>
      </c>
      <c r="F3541" s="6">
        <f>INT(B3541)</f>
        <v/>
      </c>
      <c r="G3541" s="6">
        <f>INT(C3541)</f>
        <v/>
      </c>
    </row>
    <row r="3542">
      <c r="A3542" s="7" t="inlineStr">
        <is>
          <t>EXD60</t>
        </is>
      </c>
      <c r="B3542" s="8" t="n">
        <v>46090.18844907408</v>
      </c>
      <c r="C3542" s="8" t="n">
        <v>46090.25</v>
      </c>
      <c r="D3542" s="9">
        <f>(C3542-B3542)*24</f>
        <v/>
      </c>
      <c r="E3542" s="10">
        <f>IF(AND(HOUR(B3542)&gt;=6,HOUR(B3542)&lt;18),"Day Shift","Night Shift")</f>
        <v/>
      </c>
      <c r="F3542" s="11">
        <f>INT(B3542)</f>
        <v/>
      </c>
      <c r="G3542" s="11">
        <f>INT(C3542)</f>
        <v/>
      </c>
    </row>
    <row r="3543">
      <c r="A3543" s="2" t="inlineStr">
        <is>
          <t>EXD60</t>
        </is>
      </c>
      <c r="B3543" s="3" t="n">
        <v>46090.25</v>
      </c>
      <c r="C3543" s="3" t="n">
        <v>46090.75</v>
      </c>
      <c r="D3543" s="4">
        <f>(C3543-B3543)*24</f>
        <v/>
      </c>
      <c r="E3543" s="5">
        <f>IF(AND(HOUR(B3543)&gt;=6,HOUR(B3543)&lt;18),"Day Shift","Night Shift")</f>
        <v/>
      </c>
      <c r="F3543" s="6">
        <f>INT(B3543)</f>
        <v/>
      </c>
      <c r="G3543" s="6">
        <f>INT(C3543)</f>
        <v/>
      </c>
    </row>
    <row r="3544">
      <c r="A3544" s="7" t="inlineStr">
        <is>
          <t>EXD60</t>
        </is>
      </c>
      <c r="B3544" s="8" t="n">
        <v>46090.75</v>
      </c>
      <c r="C3544" s="8" t="n">
        <v>46091.25</v>
      </c>
      <c r="D3544" s="9">
        <f>(C3544-B3544)*24</f>
        <v/>
      </c>
      <c r="E3544" s="10">
        <f>IF(AND(HOUR(B3544)&gt;=6,HOUR(B3544)&lt;18),"Day Shift","Night Shift")</f>
        <v/>
      </c>
      <c r="F3544" s="11">
        <f>INT(B3544)</f>
        <v/>
      </c>
      <c r="G3544" s="11">
        <f>INT(C3544)</f>
        <v/>
      </c>
    </row>
    <row r="3545">
      <c r="A3545" s="2" t="inlineStr">
        <is>
          <t>EXD60</t>
        </is>
      </c>
      <c r="B3545" s="3" t="n">
        <v>46091.25</v>
      </c>
      <c r="C3545" s="3" t="n">
        <v>46091.75</v>
      </c>
      <c r="D3545" s="4">
        <f>(C3545-B3545)*24</f>
        <v/>
      </c>
      <c r="E3545" s="5">
        <f>IF(AND(HOUR(B3545)&gt;=6,HOUR(B3545)&lt;18),"Day Shift","Night Shift")</f>
        <v/>
      </c>
      <c r="F3545" s="6">
        <f>INT(B3545)</f>
        <v/>
      </c>
      <c r="G3545" s="6">
        <f>INT(C3545)</f>
        <v/>
      </c>
    </row>
    <row r="3546">
      <c r="A3546" s="7" t="inlineStr">
        <is>
          <t>EXD60</t>
        </is>
      </c>
      <c r="B3546" s="8" t="n">
        <v>46091.75</v>
      </c>
      <c r="C3546" s="8" t="n">
        <v>46092.25</v>
      </c>
      <c r="D3546" s="9">
        <f>(C3546-B3546)*24</f>
        <v/>
      </c>
      <c r="E3546" s="10">
        <f>IF(AND(HOUR(B3546)&gt;=6,HOUR(B3546)&lt;18),"Day Shift","Night Shift")</f>
        <v/>
      </c>
      <c r="F3546" s="11">
        <f>INT(B3546)</f>
        <v/>
      </c>
      <c r="G3546" s="11">
        <f>INT(C3546)</f>
        <v/>
      </c>
    </row>
    <row r="3547">
      <c r="A3547" s="2" t="inlineStr">
        <is>
          <t>EXD60</t>
        </is>
      </c>
      <c r="B3547" s="3" t="n">
        <v>46092.25</v>
      </c>
      <c r="C3547" s="3" t="n">
        <v>46092.75</v>
      </c>
      <c r="D3547" s="4">
        <f>(C3547-B3547)*24</f>
        <v/>
      </c>
      <c r="E3547" s="5">
        <f>IF(AND(HOUR(B3547)&gt;=6,HOUR(B3547)&lt;18),"Day Shift","Night Shift")</f>
        <v/>
      </c>
      <c r="F3547" s="6">
        <f>INT(B3547)</f>
        <v/>
      </c>
      <c r="G3547" s="6">
        <f>INT(C3547)</f>
        <v/>
      </c>
    </row>
    <row r="3548">
      <c r="A3548" s="7" t="inlineStr">
        <is>
          <t>EXD60</t>
        </is>
      </c>
      <c r="B3548" s="8" t="n">
        <v>46092.75</v>
      </c>
      <c r="C3548" s="8" t="n">
        <v>46092.85822916667</v>
      </c>
      <c r="D3548" s="9">
        <f>(C3548-B3548)*24</f>
        <v/>
      </c>
      <c r="E3548" s="10">
        <f>IF(AND(HOUR(B3548)&gt;=6,HOUR(B3548)&lt;18),"Day Shift","Night Shift")</f>
        <v/>
      </c>
      <c r="F3548" s="11">
        <f>INT(B3548)</f>
        <v/>
      </c>
      <c r="G3548" s="11">
        <f>INT(C3548)</f>
        <v/>
      </c>
    </row>
    <row r="3549">
      <c r="A3549" s="7" t="inlineStr">
        <is>
          <t>EDD812;EDD175;EDD2134</t>
        </is>
      </c>
      <c r="B3549" s="8" t="n">
        <v>46090.21209490741</v>
      </c>
      <c r="C3549" s="8" t="n">
        <v>46090.25</v>
      </c>
      <c r="D3549" s="9">
        <f>(C3549-B3549)*24</f>
        <v/>
      </c>
      <c r="E3549" s="10">
        <f>IF(AND(HOUR(B3549)&gt;=6,HOUR(B3549)&lt;18),"Day Shift","Night Shift")</f>
        <v/>
      </c>
      <c r="F3549" s="11">
        <f>INT(B3549)</f>
        <v/>
      </c>
      <c r="G3549" s="11">
        <f>INT(C3549)</f>
        <v/>
      </c>
    </row>
    <row r="3550">
      <c r="A3550" s="2" t="inlineStr">
        <is>
          <t>EDD812;EDD175;EDD2134</t>
        </is>
      </c>
      <c r="B3550" s="3" t="n">
        <v>46090.25</v>
      </c>
      <c r="C3550" s="3" t="n">
        <v>46090.75</v>
      </c>
      <c r="D3550" s="4">
        <f>(C3550-B3550)*24</f>
        <v/>
      </c>
      <c r="E3550" s="5">
        <f>IF(AND(HOUR(B3550)&gt;=6,HOUR(B3550)&lt;18),"Day Shift","Night Shift")</f>
        <v/>
      </c>
      <c r="F3550" s="6">
        <f>INT(B3550)</f>
        <v/>
      </c>
      <c r="G3550" s="6">
        <f>INT(C3550)</f>
        <v/>
      </c>
    </row>
    <row r="3551">
      <c r="A3551" s="7" t="inlineStr">
        <is>
          <t>EDD812;EDD175;EDD2134</t>
        </is>
      </c>
      <c r="B3551" s="8" t="n">
        <v>46090.75</v>
      </c>
      <c r="C3551" s="8" t="n">
        <v>46091.25</v>
      </c>
      <c r="D3551" s="9">
        <f>(C3551-B3551)*24</f>
        <v/>
      </c>
      <c r="E3551" s="10">
        <f>IF(AND(HOUR(B3551)&gt;=6,HOUR(B3551)&lt;18),"Day Shift","Night Shift")</f>
        <v/>
      </c>
      <c r="F3551" s="11">
        <f>INT(B3551)</f>
        <v/>
      </c>
      <c r="G3551" s="11">
        <f>INT(C3551)</f>
        <v/>
      </c>
    </row>
    <row r="3552">
      <c r="A3552" s="2" t="inlineStr">
        <is>
          <t>EDD812;EDD175;EDD2134</t>
        </is>
      </c>
      <c r="B3552" s="3" t="n">
        <v>46091.25</v>
      </c>
      <c r="C3552" s="3" t="n">
        <v>46091.30878472222</v>
      </c>
      <c r="D3552" s="4">
        <f>(C3552-B3552)*24</f>
        <v/>
      </c>
      <c r="E3552" s="5">
        <f>IF(AND(HOUR(B3552)&gt;=6,HOUR(B3552)&lt;18),"Day Shift","Night Shift")</f>
        <v/>
      </c>
      <c r="F3552" s="6">
        <f>INT(B3552)</f>
        <v/>
      </c>
      <c r="G3552" s="6">
        <f>INT(C3552)</f>
        <v/>
      </c>
    </row>
    <row r="3553">
      <c r="A3553" s="2" t="inlineStr">
        <is>
          <t>Blast Crew</t>
        </is>
      </c>
      <c r="B3553" s="3" t="n">
        <v>46090.25549768518</v>
      </c>
      <c r="C3553" s="3" t="n">
        <v>46090.45539351852</v>
      </c>
      <c r="D3553" s="4">
        <f>(C3553-B3553)*24</f>
        <v/>
      </c>
      <c r="E3553" s="5">
        <f>IF(AND(HOUR(B3553)&gt;=6,HOUR(B3553)&lt;18),"Day Shift","Night Shift")</f>
        <v/>
      </c>
      <c r="F3553" s="6">
        <f>INT(B3553)</f>
        <v/>
      </c>
      <c r="G3553" s="6">
        <f>INT(C3553)</f>
        <v/>
      </c>
    </row>
    <row r="3554">
      <c r="A3554" s="2" t="inlineStr">
        <is>
          <t>EXD51</t>
        </is>
      </c>
      <c r="B3554" s="3" t="n">
        <v>46090.26204861111</v>
      </c>
      <c r="C3554" s="3" t="n">
        <v>46090.75</v>
      </c>
      <c r="D3554" s="4">
        <f>(C3554-B3554)*24</f>
        <v/>
      </c>
      <c r="E3554" s="5">
        <f>IF(AND(HOUR(B3554)&gt;=6,HOUR(B3554)&lt;18),"Day Shift","Night Shift")</f>
        <v/>
      </c>
      <c r="F3554" s="6">
        <f>INT(B3554)</f>
        <v/>
      </c>
      <c r="G3554" s="6">
        <f>INT(C3554)</f>
        <v/>
      </c>
    </row>
    <row r="3555">
      <c r="A3555" s="7" t="inlineStr">
        <is>
          <t>EXD51</t>
        </is>
      </c>
      <c r="B3555" s="8" t="n">
        <v>46090.75</v>
      </c>
      <c r="C3555" s="8" t="n">
        <v>46091.25</v>
      </c>
      <c r="D3555" s="9">
        <f>(C3555-B3555)*24</f>
        <v/>
      </c>
      <c r="E3555" s="10">
        <f>IF(AND(HOUR(B3555)&gt;=6,HOUR(B3555)&lt;18),"Day Shift","Night Shift")</f>
        <v/>
      </c>
      <c r="F3555" s="11">
        <f>INT(B3555)</f>
        <v/>
      </c>
      <c r="G3555" s="11">
        <f>INT(C3555)</f>
        <v/>
      </c>
    </row>
    <row r="3556">
      <c r="A3556" s="2" t="inlineStr">
        <is>
          <t>EXD51</t>
        </is>
      </c>
      <c r="B3556" s="3" t="n">
        <v>46091.25</v>
      </c>
      <c r="C3556" s="3" t="n">
        <v>46091.48746527778</v>
      </c>
      <c r="D3556" s="4">
        <f>(C3556-B3556)*24</f>
        <v/>
      </c>
      <c r="E3556" s="5">
        <f>IF(AND(HOUR(B3556)&gt;=6,HOUR(B3556)&lt;18),"Day Shift","Night Shift")</f>
        <v/>
      </c>
      <c r="F3556" s="6">
        <f>INT(B3556)</f>
        <v/>
      </c>
      <c r="G3556" s="6">
        <f>INT(C3556)</f>
        <v/>
      </c>
    </row>
    <row r="3557">
      <c r="A3557" s="2" t="inlineStr">
        <is>
          <t>EDD2541;Sprint 1</t>
        </is>
      </c>
      <c r="B3557" s="3" t="n">
        <v>46090.27675925926</v>
      </c>
      <c r="C3557" s="3" t="n">
        <v>46090.55504629629</v>
      </c>
      <c r="D3557" s="4">
        <f>(C3557-B3557)*24</f>
        <v/>
      </c>
      <c r="E3557" s="5">
        <f>IF(AND(HOUR(B3557)&gt;=6,HOUR(B3557)&lt;18),"Day Shift","Night Shift")</f>
        <v/>
      </c>
      <c r="F3557" s="6">
        <f>INT(B3557)</f>
        <v/>
      </c>
      <c r="G3557" s="6">
        <f>INT(C3557)</f>
        <v/>
      </c>
    </row>
    <row r="3558">
      <c r="A3558" s="2" t="inlineStr">
        <is>
          <t>Blast Crew DS</t>
        </is>
      </c>
      <c r="B3558" s="3" t="n">
        <v>46090.29724537037</v>
      </c>
      <c r="C3558" s="3" t="n">
        <v>46090.42635416667</v>
      </c>
      <c r="D3558" s="4">
        <f>(C3558-B3558)*24</f>
        <v/>
      </c>
      <c r="E3558" s="5">
        <f>IF(AND(HOUR(B3558)&gt;=6,HOUR(B3558)&lt;18),"Day Shift","Night Shift")</f>
        <v/>
      </c>
      <c r="F3558" s="6">
        <f>INT(B3558)</f>
        <v/>
      </c>
      <c r="G3558" s="6">
        <f>INT(C3558)</f>
        <v/>
      </c>
    </row>
    <row r="3559">
      <c r="A3559" s="2" t="inlineStr">
        <is>
          <t>Stag Drill</t>
        </is>
      </c>
      <c r="B3559" s="3" t="n">
        <v>46090.29778935185</v>
      </c>
      <c r="C3559" s="3" t="n">
        <v>46090.75</v>
      </c>
      <c r="D3559" s="4">
        <f>(C3559-B3559)*24</f>
        <v/>
      </c>
      <c r="E3559" s="5">
        <f>IF(AND(HOUR(B3559)&gt;=6,HOUR(B3559)&lt;18),"Day Shift","Night Shift")</f>
        <v/>
      </c>
      <c r="F3559" s="6">
        <f>INT(B3559)</f>
        <v/>
      </c>
      <c r="G3559" s="6">
        <f>INT(C3559)</f>
        <v/>
      </c>
    </row>
    <row r="3560">
      <c r="A3560" s="7" t="inlineStr">
        <is>
          <t>Stag Drill</t>
        </is>
      </c>
      <c r="B3560" s="8" t="n">
        <v>46090.75</v>
      </c>
      <c r="C3560" s="8" t="n">
        <v>46090.75731481481</v>
      </c>
      <c r="D3560" s="9">
        <f>(C3560-B3560)*24</f>
        <v/>
      </c>
      <c r="E3560" s="10">
        <f>IF(AND(HOUR(B3560)&gt;=6,HOUR(B3560)&lt;18),"Day Shift","Night Shift")</f>
        <v/>
      </c>
      <c r="F3560" s="11">
        <f>INT(B3560)</f>
        <v/>
      </c>
      <c r="G3560" s="11">
        <f>INT(C3560)</f>
        <v/>
      </c>
    </row>
    <row r="3561">
      <c r="A3561" s="2" t="inlineStr">
        <is>
          <t>EDD1932</t>
        </is>
      </c>
      <c r="B3561" s="3" t="n">
        <v>46090.309375</v>
      </c>
      <c r="C3561" s="3" t="n">
        <v>46090.75</v>
      </c>
      <c r="D3561" s="4">
        <f>(C3561-B3561)*24</f>
        <v/>
      </c>
      <c r="E3561" s="5">
        <f>IF(AND(HOUR(B3561)&gt;=6,HOUR(B3561)&lt;18),"Day Shift","Night Shift")</f>
        <v/>
      </c>
      <c r="F3561" s="6">
        <f>INT(B3561)</f>
        <v/>
      </c>
      <c r="G3561" s="6">
        <f>INT(C3561)</f>
        <v/>
      </c>
    </row>
    <row r="3562">
      <c r="A3562" s="7" t="inlineStr">
        <is>
          <t>EDD1932</t>
        </is>
      </c>
      <c r="B3562" s="8" t="n">
        <v>46090.75</v>
      </c>
      <c r="C3562" s="8" t="n">
        <v>46091.25</v>
      </c>
      <c r="D3562" s="9">
        <f>(C3562-B3562)*24</f>
        <v/>
      </c>
      <c r="E3562" s="10">
        <f>IF(AND(HOUR(B3562)&gt;=6,HOUR(B3562)&lt;18),"Day Shift","Night Shift")</f>
        <v/>
      </c>
      <c r="F3562" s="11">
        <f>INT(B3562)</f>
        <v/>
      </c>
      <c r="G3562" s="11">
        <f>INT(C3562)</f>
        <v/>
      </c>
    </row>
    <row r="3563">
      <c r="A3563" s="2" t="inlineStr">
        <is>
          <t>EDD1932</t>
        </is>
      </c>
      <c r="B3563" s="3" t="n">
        <v>46091.25</v>
      </c>
      <c r="C3563" s="3" t="n">
        <v>46091.36233796296</v>
      </c>
      <c r="D3563" s="4">
        <f>(C3563-B3563)*24</f>
        <v/>
      </c>
      <c r="E3563" s="5">
        <f>IF(AND(HOUR(B3563)&gt;=6,HOUR(B3563)&lt;18),"Day Shift","Night Shift")</f>
        <v/>
      </c>
      <c r="F3563" s="6">
        <f>INT(B3563)</f>
        <v/>
      </c>
      <c r="G3563" s="6">
        <f>INT(C3563)</f>
        <v/>
      </c>
    </row>
    <row r="3564">
      <c r="A3564" s="2" t="inlineStr">
        <is>
          <t>Blast Crew DS</t>
        </is>
      </c>
      <c r="B3564" s="3" t="n">
        <v>46090.42635416667</v>
      </c>
      <c r="C3564" s="3" t="n">
        <v>46090.52453703704</v>
      </c>
      <c r="D3564" s="4">
        <f>(C3564-B3564)*24</f>
        <v/>
      </c>
      <c r="E3564" s="5">
        <f>IF(AND(HOUR(B3564)&gt;=6,HOUR(B3564)&lt;18),"Day Shift","Night Shift")</f>
        <v/>
      </c>
      <c r="F3564" s="6">
        <f>INT(B3564)</f>
        <v/>
      </c>
      <c r="G3564" s="6">
        <f>INT(C3564)</f>
        <v/>
      </c>
    </row>
    <row r="3565">
      <c r="A3565" s="2" t="inlineStr">
        <is>
          <t>EXD407</t>
        </is>
      </c>
      <c r="B3565" s="3" t="n">
        <v>46090.44076388889</v>
      </c>
      <c r="C3565" s="3" t="n">
        <v>46090.75</v>
      </c>
      <c r="D3565" s="4">
        <f>(C3565-B3565)*24</f>
        <v/>
      </c>
      <c r="E3565" s="5">
        <f>IF(AND(HOUR(B3565)&gt;=6,HOUR(B3565)&lt;18),"Day Shift","Night Shift")</f>
        <v/>
      </c>
      <c r="F3565" s="6">
        <f>INT(B3565)</f>
        <v/>
      </c>
      <c r="G3565" s="6">
        <f>INT(C3565)</f>
        <v/>
      </c>
    </row>
    <row r="3566">
      <c r="A3566" s="7" t="inlineStr">
        <is>
          <t>EXD407</t>
        </is>
      </c>
      <c r="B3566" s="8" t="n">
        <v>46090.75</v>
      </c>
      <c r="C3566" s="8" t="n">
        <v>46091.25</v>
      </c>
      <c r="D3566" s="9">
        <f>(C3566-B3566)*24</f>
        <v/>
      </c>
      <c r="E3566" s="10">
        <f>IF(AND(HOUR(B3566)&gt;=6,HOUR(B3566)&lt;18),"Day Shift","Night Shift")</f>
        <v/>
      </c>
      <c r="F3566" s="11">
        <f>INT(B3566)</f>
        <v/>
      </c>
      <c r="G3566" s="11">
        <f>INT(C3566)</f>
        <v/>
      </c>
    </row>
    <row r="3567">
      <c r="A3567" s="2" t="inlineStr">
        <is>
          <t>EXD407</t>
        </is>
      </c>
      <c r="B3567" s="3" t="n">
        <v>46091.25</v>
      </c>
      <c r="C3567" s="3" t="n">
        <v>46091.32010416667</v>
      </c>
      <c r="D3567" s="4">
        <f>(C3567-B3567)*24</f>
        <v/>
      </c>
      <c r="E3567" s="5">
        <f>IF(AND(HOUR(B3567)&gt;=6,HOUR(B3567)&lt;18),"Day Shift","Night Shift")</f>
        <v/>
      </c>
      <c r="F3567" s="6">
        <f>INT(B3567)</f>
        <v/>
      </c>
      <c r="G3567" s="6">
        <f>INT(C3567)</f>
        <v/>
      </c>
    </row>
    <row r="3568">
      <c r="A3568" s="2" t="inlineStr">
        <is>
          <t>Blast Crew</t>
        </is>
      </c>
      <c r="B3568" s="3" t="n">
        <v>46090.45539351852</v>
      </c>
      <c r="C3568" s="3" t="n">
        <v>46090.64893518519</v>
      </c>
      <c r="D3568" s="4">
        <f>(C3568-B3568)*24</f>
        <v/>
      </c>
      <c r="E3568" s="5">
        <f>IF(AND(HOUR(B3568)&gt;=6,HOUR(B3568)&lt;18),"Day Shift","Night Shift")</f>
        <v/>
      </c>
      <c r="F3568" s="6">
        <f>INT(B3568)</f>
        <v/>
      </c>
      <c r="G3568" s="6">
        <f>INT(C3568)</f>
        <v/>
      </c>
    </row>
    <row r="3569">
      <c r="A3569" s="2" t="inlineStr">
        <is>
          <t>EXD98</t>
        </is>
      </c>
      <c r="B3569" s="3" t="n">
        <v>46090.51228009259</v>
      </c>
      <c r="C3569" s="3" t="n">
        <v>46090.75</v>
      </c>
      <c r="D3569" s="4">
        <f>(C3569-B3569)*24</f>
        <v/>
      </c>
      <c r="E3569" s="5">
        <f>IF(AND(HOUR(B3569)&gt;=6,HOUR(B3569)&lt;18),"Day Shift","Night Shift")</f>
        <v/>
      </c>
      <c r="F3569" s="6">
        <f>INT(B3569)</f>
        <v/>
      </c>
      <c r="G3569" s="6">
        <f>INT(C3569)</f>
        <v/>
      </c>
    </row>
    <row r="3570">
      <c r="A3570" s="7" t="inlineStr">
        <is>
          <t>EXD98</t>
        </is>
      </c>
      <c r="B3570" s="8" t="n">
        <v>46090.75</v>
      </c>
      <c r="C3570" s="8" t="n">
        <v>46091.24061342593</v>
      </c>
      <c r="D3570" s="9">
        <f>(C3570-B3570)*24</f>
        <v/>
      </c>
      <c r="E3570" s="10">
        <f>IF(AND(HOUR(B3570)&gt;=6,HOUR(B3570)&lt;18),"Day Shift","Night Shift")</f>
        <v/>
      </c>
      <c r="F3570" s="11">
        <f>INT(B3570)</f>
        <v/>
      </c>
      <c r="G3570" s="11">
        <f>INT(C3570)</f>
        <v/>
      </c>
    </row>
    <row r="3571">
      <c r="A3571" s="2" t="inlineStr">
        <is>
          <t>Blast Crew DS</t>
        </is>
      </c>
      <c r="B3571" s="3" t="n">
        <v>46090.52453703704</v>
      </c>
      <c r="C3571" s="3" t="n">
        <v>46090.62747685185</v>
      </c>
      <c r="D3571" s="4">
        <f>(C3571-B3571)*24</f>
        <v/>
      </c>
      <c r="E3571" s="5">
        <f>IF(AND(HOUR(B3571)&gt;=6,HOUR(B3571)&lt;18),"Day Shift","Night Shift")</f>
        <v/>
      </c>
      <c r="F3571" s="6">
        <f>INT(B3571)</f>
        <v/>
      </c>
      <c r="G3571" s="6">
        <f>INT(C3571)</f>
        <v/>
      </c>
    </row>
    <row r="3572">
      <c r="A3572" s="2" t="inlineStr">
        <is>
          <t>SHE36</t>
        </is>
      </c>
      <c r="B3572" s="3" t="n">
        <v>46090.53226851852</v>
      </c>
      <c r="C3572" s="3" t="n">
        <v>46090.75</v>
      </c>
      <c r="D3572" s="4">
        <f>(C3572-B3572)*24</f>
        <v/>
      </c>
      <c r="E3572" s="5">
        <f>IF(AND(HOUR(B3572)&gt;=6,HOUR(B3572)&lt;18),"Day Shift","Night Shift")</f>
        <v/>
      </c>
      <c r="F3572" s="6">
        <f>INT(B3572)</f>
        <v/>
      </c>
      <c r="G3572" s="6">
        <f>INT(C3572)</f>
        <v/>
      </c>
    </row>
    <row r="3573">
      <c r="A3573" s="7" t="inlineStr">
        <is>
          <t>SHE36</t>
        </is>
      </c>
      <c r="B3573" s="8" t="n">
        <v>46090.75</v>
      </c>
      <c r="C3573" s="8" t="n">
        <v>46091.25</v>
      </c>
      <c r="D3573" s="9">
        <f>(C3573-B3573)*24</f>
        <v/>
      </c>
      <c r="E3573" s="10">
        <f>IF(AND(HOUR(B3573)&gt;=6,HOUR(B3573)&lt;18),"Day Shift","Night Shift")</f>
        <v/>
      </c>
      <c r="F3573" s="11">
        <f>INT(B3573)</f>
        <v/>
      </c>
      <c r="G3573" s="11">
        <f>INT(C3573)</f>
        <v/>
      </c>
    </row>
    <row r="3574">
      <c r="A3574" s="2" t="inlineStr">
        <is>
          <t>SHE36</t>
        </is>
      </c>
      <c r="B3574" s="3" t="n">
        <v>46091.25</v>
      </c>
      <c r="C3574" s="3" t="n">
        <v>46091.52087962963</v>
      </c>
      <c r="D3574" s="4">
        <f>(C3574-B3574)*24</f>
        <v/>
      </c>
      <c r="E3574" s="5">
        <f>IF(AND(HOUR(B3574)&gt;=6,HOUR(B3574)&lt;18),"Day Shift","Night Shift")</f>
        <v/>
      </c>
      <c r="F3574" s="6">
        <f>INT(B3574)</f>
        <v/>
      </c>
      <c r="G3574" s="6">
        <f>INT(C3574)</f>
        <v/>
      </c>
    </row>
    <row r="3575">
      <c r="A3575" s="2" t="inlineStr">
        <is>
          <t>EDD2541;Sprint 1</t>
        </is>
      </c>
      <c r="B3575" s="3" t="n">
        <v>46090.55504629629</v>
      </c>
      <c r="C3575" s="3" t="n">
        <v>46090.75</v>
      </c>
      <c r="D3575" s="4">
        <f>(C3575-B3575)*24</f>
        <v/>
      </c>
      <c r="E3575" s="5">
        <f>IF(AND(HOUR(B3575)&gt;=6,HOUR(B3575)&lt;18),"Day Shift","Night Shift")</f>
        <v/>
      </c>
      <c r="F3575" s="6">
        <f>INT(B3575)</f>
        <v/>
      </c>
      <c r="G3575" s="6">
        <f>INT(C3575)</f>
        <v/>
      </c>
    </row>
    <row r="3576">
      <c r="A3576" s="7" t="inlineStr">
        <is>
          <t>EDD2541;Sprint 1</t>
        </is>
      </c>
      <c r="B3576" s="8" t="n">
        <v>46090.75</v>
      </c>
      <c r="C3576" s="8" t="n">
        <v>46090.85260416667</v>
      </c>
      <c r="D3576" s="9">
        <f>(C3576-B3576)*24</f>
        <v/>
      </c>
      <c r="E3576" s="10">
        <f>IF(AND(HOUR(B3576)&gt;=6,HOUR(B3576)&lt;18),"Day Shift","Night Shift")</f>
        <v/>
      </c>
      <c r="F3576" s="11">
        <f>INT(B3576)</f>
        <v/>
      </c>
      <c r="G3576" s="11">
        <f>INT(C3576)</f>
        <v/>
      </c>
    </row>
    <row r="3577">
      <c r="A3577" s="2" t="inlineStr">
        <is>
          <t>EXD52</t>
        </is>
      </c>
      <c r="B3577" s="3" t="n">
        <v>46090.55978009259</v>
      </c>
      <c r="C3577" s="3" t="n">
        <v>46090.75</v>
      </c>
      <c r="D3577" s="4">
        <f>(C3577-B3577)*24</f>
        <v/>
      </c>
      <c r="E3577" s="5">
        <f>IF(AND(HOUR(B3577)&gt;=6,HOUR(B3577)&lt;18),"Day Shift","Night Shift")</f>
        <v/>
      </c>
      <c r="F3577" s="6">
        <f>INT(B3577)</f>
        <v/>
      </c>
      <c r="G3577" s="6">
        <f>INT(C3577)</f>
        <v/>
      </c>
    </row>
    <row r="3578">
      <c r="A3578" s="7" t="inlineStr">
        <is>
          <t>EXD52</t>
        </is>
      </c>
      <c r="B3578" s="8" t="n">
        <v>46090.75</v>
      </c>
      <c r="C3578" s="8" t="n">
        <v>46091.25</v>
      </c>
      <c r="D3578" s="9">
        <f>(C3578-B3578)*24</f>
        <v/>
      </c>
      <c r="E3578" s="10">
        <f>IF(AND(HOUR(B3578)&gt;=6,HOUR(B3578)&lt;18),"Day Shift","Night Shift")</f>
        <v/>
      </c>
      <c r="F3578" s="11">
        <f>INT(B3578)</f>
        <v/>
      </c>
      <c r="G3578" s="11">
        <f>INT(C3578)</f>
        <v/>
      </c>
    </row>
    <row r="3579">
      <c r="A3579" s="2" t="inlineStr">
        <is>
          <t>EXD52</t>
        </is>
      </c>
      <c r="B3579" s="3" t="n">
        <v>46091.25</v>
      </c>
      <c r="C3579" s="3" t="n">
        <v>46091.52234953704</v>
      </c>
      <c r="D3579" s="4">
        <f>(C3579-B3579)*24</f>
        <v/>
      </c>
      <c r="E3579" s="5">
        <f>IF(AND(HOUR(B3579)&gt;=6,HOUR(B3579)&lt;18),"Day Shift","Night Shift")</f>
        <v/>
      </c>
      <c r="F3579" s="6">
        <f>INT(B3579)</f>
        <v/>
      </c>
      <c r="G3579" s="6">
        <f>INT(C3579)</f>
        <v/>
      </c>
    </row>
    <row r="3580">
      <c r="A3580" s="2" t="inlineStr">
        <is>
          <t>LDW262</t>
        </is>
      </c>
      <c r="B3580" s="3" t="n">
        <v>46090.62747685185</v>
      </c>
      <c r="C3580" s="3" t="n">
        <v>46090.75</v>
      </c>
      <c r="D3580" s="4">
        <f>(C3580-B3580)*24</f>
        <v/>
      </c>
      <c r="E3580" s="5">
        <f>IF(AND(HOUR(B3580)&gt;=6,HOUR(B3580)&lt;18),"Day Shift","Night Shift")</f>
        <v/>
      </c>
      <c r="F3580" s="6">
        <f>INT(B3580)</f>
        <v/>
      </c>
      <c r="G3580" s="6">
        <f>INT(C3580)</f>
        <v/>
      </c>
    </row>
    <row r="3581">
      <c r="A3581" s="7" t="inlineStr">
        <is>
          <t>LDW262</t>
        </is>
      </c>
      <c r="B3581" s="8" t="n">
        <v>46090.75</v>
      </c>
      <c r="C3581" s="8" t="n">
        <v>46090.97802083333</v>
      </c>
      <c r="D3581" s="9">
        <f>(C3581-B3581)*24</f>
        <v/>
      </c>
      <c r="E3581" s="10">
        <f>IF(AND(HOUR(B3581)&gt;=6,HOUR(B3581)&lt;18),"Day Shift","Night Shift")</f>
        <v/>
      </c>
      <c r="F3581" s="11">
        <f>INT(B3581)</f>
        <v/>
      </c>
      <c r="G3581" s="11">
        <f>INT(C3581)</f>
        <v/>
      </c>
    </row>
    <row r="3582">
      <c r="A3582" s="2" t="inlineStr">
        <is>
          <t>EDD175;EDD2134</t>
        </is>
      </c>
      <c r="B3582" s="3" t="n">
        <v>46090.66909722222</v>
      </c>
      <c r="C3582" s="3" t="n">
        <v>46090.75</v>
      </c>
      <c r="D3582" s="4">
        <f>(C3582-B3582)*24</f>
        <v/>
      </c>
      <c r="E3582" s="5">
        <f>IF(AND(HOUR(B3582)&gt;=6,HOUR(B3582)&lt;18),"Day Shift","Night Shift")</f>
        <v/>
      </c>
      <c r="F3582" s="6">
        <f>INT(B3582)</f>
        <v/>
      </c>
      <c r="G3582" s="6">
        <f>INT(C3582)</f>
        <v/>
      </c>
    </row>
    <row r="3583">
      <c r="A3583" s="7" t="inlineStr">
        <is>
          <t>EDD175;EDD2134</t>
        </is>
      </c>
      <c r="B3583" s="8" t="n">
        <v>46090.75</v>
      </c>
      <c r="C3583" s="8" t="n">
        <v>46091.01434027778</v>
      </c>
      <c r="D3583" s="9">
        <f>(C3583-B3583)*24</f>
        <v/>
      </c>
      <c r="E3583" s="10">
        <f>IF(AND(HOUR(B3583)&gt;=6,HOUR(B3583)&lt;18),"Day Shift","Night Shift")</f>
        <v/>
      </c>
      <c r="F3583" s="11">
        <f>INT(B3583)</f>
        <v/>
      </c>
      <c r="G3583" s="11">
        <f>INT(C3583)</f>
        <v/>
      </c>
    </row>
    <row r="3584">
      <c r="A3584" s="2" t="inlineStr">
        <is>
          <t>EXD61</t>
        </is>
      </c>
      <c r="B3584" s="3" t="n">
        <v>46090.74548611111</v>
      </c>
      <c r="C3584" s="3" t="n">
        <v>46090.75</v>
      </c>
      <c r="D3584" s="4">
        <f>(C3584-B3584)*24</f>
        <v/>
      </c>
      <c r="E3584" s="5">
        <f>IF(AND(HOUR(B3584)&gt;=6,HOUR(B3584)&lt;18),"Day Shift","Night Shift")</f>
        <v/>
      </c>
      <c r="F3584" s="6">
        <f>INT(B3584)</f>
        <v/>
      </c>
      <c r="G3584" s="6">
        <f>INT(C3584)</f>
        <v/>
      </c>
    </row>
    <row r="3585">
      <c r="A3585" s="7" t="inlineStr">
        <is>
          <t>EXD61</t>
        </is>
      </c>
      <c r="B3585" s="8" t="n">
        <v>46090.75</v>
      </c>
      <c r="C3585" s="8" t="n">
        <v>46091.25</v>
      </c>
      <c r="D3585" s="9">
        <f>(C3585-B3585)*24</f>
        <v/>
      </c>
      <c r="E3585" s="10">
        <f>IF(AND(HOUR(B3585)&gt;=6,HOUR(B3585)&lt;18),"Day Shift","Night Shift")</f>
        <v/>
      </c>
      <c r="F3585" s="11">
        <f>INT(B3585)</f>
        <v/>
      </c>
      <c r="G3585" s="11">
        <f>INT(C3585)</f>
        <v/>
      </c>
    </row>
    <row r="3586">
      <c r="A3586" s="2" t="inlineStr">
        <is>
          <t>EXD61</t>
        </is>
      </c>
      <c r="B3586" s="3" t="n">
        <v>46091.25</v>
      </c>
      <c r="C3586" s="3" t="n">
        <v>46091.75</v>
      </c>
      <c r="D3586" s="4">
        <f>(C3586-B3586)*24</f>
        <v/>
      </c>
      <c r="E3586" s="5">
        <f>IF(AND(HOUR(B3586)&gt;=6,HOUR(B3586)&lt;18),"Day Shift","Night Shift")</f>
        <v/>
      </c>
      <c r="F3586" s="6">
        <f>INT(B3586)</f>
        <v/>
      </c>
      <c r="G3586" s="6">
        <f>INT(C3586)</f>
        <v/>
      </c>
    </row>
    <row r="3587">
      <c r="A3587" s="7" t="inlineStr">
        <is>
          <t>EXD61</t>
        </is>
      </c>
      <c r="B3587" s="8" t="n">
        <v>46091.75</v>
      </c>
      <c r="C3587" s="8" t="n">
        <v>46092.25</v>
      </c>
      <c r="D3587" s="9">
        <f>(C3587-B3587)*24</f>
        <v/>
      </c>
      <c r="E3587" s="10">
        <f>IF(AND(HOUR(B3587)&gt;=6,HOUR(B3587)&lt;18),"Day Shift","Night Shift")</f>
        <v/>
      </c>
      <c r="F3587" s="11">
        <f>INT(B3587)</f>
        <v/>
      </c>
      <c r="G3587" s="11">
        <f>INT(C3587)</f>
        <v/>
      </c>
    </row>
    <row r="3588">
      <c r="A3588" s="2" t="inlineStr">
        <is>
          <t>EXD61</t>
        </is>
      </c>
      <c r="B3588" s="3" t="n">
        <v>46092.25</v>
      </c>
      <c r="C3588" s="3" t="n">
        <v>46092.75</v>
      </c>
      <c r="D3588" s="4">
        <f>(C3588-B3588)*24</f>
        <v/>
      </c>
      <c r="E3588" s="5">
        <f>IF(AND(HOUR(B3588)&gt;=6,HOUR(B3588)&lt;18),"Day Shift","Night Shift")</f>
        <v/>
      </c>
      <c r="F3588" s="6">
        <f>INT(B3588)</f>
        <v/>
      </c>
      <c r="G3588" s="6">
        <f>INT(C3588)</f>
        <v/>
      </c>
    </row>
    <row r="3589">
      <c r="A3589" s="7" t="inlineStr">
        <is>
          <t>EXD61</t>
        </is>
      </c>
      <c r="B3589" s="8" t="n">
        <v>46092.75</v>
      </c>
      <c r="C3589" s="8" t="n">
        <v>46093.25</v>
      </c>
      <c r="D3589" s="9">
        <f>(C3589-B3589)*24</f>
        <v/>
      </c>
      <c r="E3589" s="10">
        <f>IF(AND(HOUR(B3589)&gt;=6,HOUR(B3589)&lt;18),"Day Shift","Night Shift")</f>
        <v/>
      </c>
      <c r="F3589" s="11">
        <f>INT(B3589)</f>
        <v/>
      </c>
      <c r="G3589" s="11">
        <f>INT(C3589)</f>
        <v/>
      </c>
    </row>
    <row r="3590">
      <c r="A3590" s="2" t="inlineStr">
        <is>
          <t>EXD61</t>
        </is>
      </c>
      <c r="B3590" s="3" t="n">
        <v>46093.25</v>
      </c>
      <c r="C3590" s="3" t="n">
        <v>46093.75</v>
      </c>
      <c r="D3590" s="4">
        <f>(C3590-B3590)*24</f>
        <v/>
      </c>
      <c r="E3590" s="5">
        <f>IF(AND(HOUR(B3590)&gt;=6,HOUR(B3590)&lt;18),"Day Shift","Night Shift")</f>
        <v/>
      </c>
      <c r="F3590" s="6">
        <f>INT(B3590)</f>
        <v/>
      </c>
      <c r="G3590" s="6">
        <f>INT(C3590)</f>
        <v/>
      </c>
    </row>
    <row r="3591">
      <c r="A3591" s="7" t="inlineStr">
        <is>
          <t>EXD61</t>
        </is>
      </c>
      <c r="B3591" s="8" t="n">
        <v>46093.75</v>
      </c>
      <c r="C3591" s="8" t="n">
        <v>46093.88770833334</v>
      </c>
      <c r="D3591" s="9">
        <f>(C3591-B3591)*24</f>
        <v/>
      </c>
      <c r="E3591" s="10">
        <f>IF(AND(HOUR(B3591)&gt;=6,HOUR(B3591)&lt;18),"Day Shift","Night Shift")</f>
        <v/>
      </c>
      <c r="F3591" s="11">
        <f>INT(B3591)</f>
        <v/>
      </c>
      <c r="G3591" s="11">
        <f>INT(C3591)</f>
        <v/>
      </c>
    </row>
    <row r="3592">
      <c r="A3592" s="7" t="inlineStr">
        <is>
          <t>EDD2541;Sprint 1</t>
        </is>
      </c>
      <c r="B3592" s="8" t="n">
        <v>46090.85260416667</v>
      </c>
      <c r="C3592" s="8" t="n">
        <v>46091.13032407407</v>
      </c>
      <c r="D3592" s="9">
        <f>(C3592-B3592)*24</f>
        <v/>
      </c>
      <c r="E3592" s="10">
        <f>IF(AND(HOUR(B3592)&gt;=6,HOUR(B3592)&lt;18),"Day Shift","Night Shift")</f>
        <v/>
      </c>
      <c r="F3592" s="11">
        <f>INT(B3592)</f>
        <v/>
      </c>
      <c r="G3592" s="11">
        <f>INT(C3592)</f>
        <v/>
      </c>
    </row>
    <row r="3593">
      <c r="A3593" s="7" t="inlineStr">
        <is>
          <t>EXD408</t>
        </is>
      </c>
      <c r="B3593" s="8" t="n">
        <v>46090.86298611111</v>
      </c>
      <c r="C3593" s="8" t="n">
        <v>46091.25</v>
      </c>
      <c r="D3593" s="9">
        <f>(C3593-B3593)*24</f>
        <v/>
      </c>
      <c r="E3593" s="10">
        <f>IF(AND(HOUR(B3593)&gt;=6,HOUR(B3593)&lt;18),"Day Shift","Night Shift")</f>
        <v/>
      </c>
      <c r="F3593" s="11">
        <f>INT(B3593)</f>
        <v/>
      </c>
      <c r="G3593" s="11">
        <f>INT(C3593)</f>
        <v/>
      </c>
    </row>
    <row r="3594">
      <c r="A3594" s="2" t="inlineStr">
        <is>
          <t>EXD408</t>
        </is>
      </c>
      <c r="B3594" s="3" t="n">
        <v>46091.25</v>
      </c>
      <c r="C3594" s="3" t="n">
        <v>46091.75</v>
      </c>
      <c r="D3594" s="4">
        <f>(C3594-B3594)*24</f>
        <v/>
      </c>
      <c r="E3594" s="5">
        <f>IF(AND(HOUR(B3594)&gt;=6,HOUR(B3594)&lt;18),"Day Shift","Night Shift")</f>
        <v/>
      </c>
      <c r="F3594" s="6">
        <f>INT(B3594)</f>
        <v/>
      </c>
      <c r="G3594" s="6">
        <f>INT(C3594)</f>
        <v/>
      </c>
    </row>
    <row r="3595">
      <c r="A3595" s="7" t="inlineStr">
        <is>
          <t>EXD408</t>
        </is>
      </c>
      <c r="B3595" s="8" t="n">
        <v>46091.75</v>
      </c>
      <c r="C3595" s="8" t="n">
        <v>46092.25</v>
      </c>
      <c r="D3595" s="9">
        <f>(C3595-B3595)*24</f>
        <v/>
      </c>
      <c r="E3595" s="10">
        <f>IF(AND(HOUR(B3595)&gt;=6,HOUR(B3595)&lt;18),"Day Shift","Night Shift")</f>
        <v/>
      </c>
      <c r="F3595" s="11">
        <f>INT(B3595)</f>
        <v/>
      </c>
      <c r="G3595" s="11">
        <f>INT(C3595)</f>
        <v/>
      </c>
    </row>
    <row r="3596">
      <c r="A3596" s="2" t="inlineStr">
        <is>
          <t>EXD408</t>
        </is>
      </c>
      <c r="B3596" s="3" t="n">
        <v>46092.25</v>
      </c>
      <c r="C3596" s="3" t="n">
        <v>46092.75</v>
      </c>
      <c r="D3596" s="4">
        <f>(C3596-B3596)*24</f>
        <v/>
      </c>
      <c r="E3596" s="5">
        <f>IF(AND(HOUR(B3596)&gt;=6,HOUR(B3596)&lt;18),"Day Shift","Night Shift")</f>
        <v/>
      </c>
      <c r="F3596" s="6">
        <f>INT(B3596)</f>
        <v/>
      </c>
      <c r="G3596" s="6">
        <f>INT(C3596)</f>
        <v/>
      </c>
    </row>
    <row r="3597">
      <c r="A3597" s="7" t="inlineStr">
        <is>
          <t>EXD408</t>
        </is>
      </c>
      <c r="B3597" s="8" t="n">
        <v>46092.75</v>
      </c>
      <c r="C3597" s="8" t="n">
        <v>46093.25</v>
      </c>
      <c r="D3597" s="9">
        <f>(C3597-B3597)*24</f>
        <v/>
      </c>
      <c r="E3597" s="10">
        <f>IF(AND(HOUR(B3597)&gt;=6,HOUR(B3597)&lt;18),"Day Shift","Night Shift")</f>
        <v/>
      </c>
      <c r="F3597" s="11">
        <f>INT(B3597)</f>
        <v/>
      </c>
      <c r="G3597" s="11">
        <f>INT(C3597)</f>
        <v/>
      </c>
    </row>
    <row r="3598">
      <c r="A3598" s="2" t="inlineStr">
        <is>
          <t>EXD408</t>
        </is>
      </c>
      <c r="B3598" s="3" t="n">
        <v>46093.25</v>
      </c>
      <c r="C3598" s="3" t="n">
        <v>46093.47707175926</v>
      </c>
      <c r="D3598" s="4">
        <f>(C3598-B3598)*24</f>
        <v/>
      </c>
      <c r="E3598" s="5">
        <f>IF(AND(HOUR(B3598)&gt;=6,HOUR(B3598)&lt;18),"Day Shift","Night Shift")</f>
        <v/>
      </c>
      <c r="F3598" s="6">
        <f>INT(B3598)</f>
        <v/>
      </c>
      <c r="G3598" s="6">
        <f>INT(C3598)</f>
        <v/>
      </c>
    </row>
    <row r="3599">
      <c r="A3599" s="7" t="inlineStr">
        <is>
          <t>Stag Drill</t>
        </is>
      </c>
      <c r="B3599" s="8" t="n">
        <v>46090.87462962963</v>
      </c>
      <c r="C3599" s="8" t="n">
        <v>46091.25</v>
      </c>
      <c r="D3599" s="9">
        <f>(C3599-B3599)*24</f>
        <v/>
      </c>
      <c r="E3599" s="10">
        <f>IF(AND(HOUR(B3599)&gt;=6,HOUR(B3599)&lt;18),"Day Shift","Night Shift")</f>
        <v/>
      </c>
      <c r="F3599" s="11">
        <f>INT(B3599)</f>
        <v/>
      </c>
      <c r="G3599" s="11">
        <f>INT(C3599)</f>
        <v/>
      </c>
    </row>
    <row r="3600">
      <c r="A3600" s="2" t="inlineStr">
        <is>
          <t>Stag Drill</t>
        </is>
      </c>
      <c r="B3600" s="3" t="n">
        <v>46091.25</v>
      </c>
      <c r="C3600" s="3" t="n">
        <v>46091.32969907407</v>
      </c>
      <c r="D3600" s="4">
        <f>(C3600-B3600)*24</f>
        <v/>
      </c>
      <c r="E3600" s="5">
        <f>IF(AND(HOUR(B3600)&gt;=6,HOUR(B3600)&lt;18),"Day Shift","Night Shift")</f>
        <v/>
      </c>
      <c r="F3600" s="6">
        <f>INT(B3600)</f>
        <v/>
      </c>
      <c r="G3600" s="6">
        <f>INT(C3600)</f>
        <v/>
      </c>
    </row>
    <row r="3601">
      <c r="A3601" s="7" t="inlineStr">
        <is>
          <t>EXD101</t>
        </is>
      </c>
      <c r="B3601" s="8" t="n">
        <v>46090.92314814815</v>
      </c>
      <c r="C3601" s="8" t="n">
        <v>46091.25</v>
      </c>
      <c r="D3601" s="9">
        <f>(C3601-B3601)*24</f>
        <v/>
      </c>
      <c r="E3601" s="10">
        <f>IF(AND(HOUR(B3601)&gt;=6,HOUR(B3601)&lt;18),"Day Shift","Night Shift")</f>
        <v/>
      </c>
      <c r="F3601" s="11">
        <f>INT(B3601)</f>
        <v/>
      </c>
      <c r="G3601" s="11">
        <f>INT(C3601)</f>
        <v/>
      </c>
    </row>
    <row r="3602">
      <c r="A3602" s="2" t="inlineStr">
        <is>
          <t>EXD101</t>
        </is>
      </c>
      <c r="B3602" s="3" t="n">
        <v>46091.25</v>
      </c>
      <c r="C3602" s="3" t="n">
        <v>46091.75</v>
      </c>
      <c r="D3602" s="4">
        <f>(C3602-B3602)*24</f>
        <v/>
      </c>
      <c r="E3602" s="5">
        <f>IF(AND(HOUR(B3602)&gt;=6,HOUR(B3602)&lt;18),"Day Shift","Night Shift")</f>
        <v/>
      </c>
      <c r="F3602" s="6">
        <f>INT(B3602)</f>
        <v/>
      </c>
      <c r="G3602" s="6">
        <f>INT(C3602)</f>
        <v/>
      </c>
    </row>
    <row r="3603">
      <c r="A3603" s="7" t="inlineStr">
        <is>
          <t>EXD101</t>
        </is>
      </c>
      <c r="B3603" s="8" t="n">
        <v>46091.75</v>
      </c>
      <c r="C3603" s="8" t="n">
        <v>46091.84001157407</v>
      </c>
      <c r="D3603" s="9">
        <f>(C3603-B3603)*24</f>
        <v/>
      </c>
      <c r="E3603" s="10">
        <f>IF(AND(HOUR(B3603)&gt;=6,HOUR(B3603)&lt;18),"Day Shift","Night Shift")</f>
        <v/>
      </c>
      <c r="F3603" s="11">
        <f>INT(B3603)</f>
        <v/>
      </c>
      <c r="G3603" s="11">
        <f>INT(C3603)</f>
        <v/>
      </c>
    </row>
    <row r="3604">
      <c r="A3604" s="7" t="inlineStr">
        <is>
          <t>LDW262</t>
        </is>
      </c>
      <c r="B3604" s="8" t="n">
        <v>46090.97802083333</v>
      </c>
      <c r="C3604" s="8" t="n">
        <v>46091.25</v>
      </c>
      <c r="D3604" s="9">
        <f>(C3604-B3604)*24</f>
        <v/>
      </c>
      <c r="E3604" s="10">
        <f>IF(AND(HOUR(B3604)&gt;=6,HOUR(B3604)&lt;18),"Day Shift","Night Shift")</f>
        <v/>
      </c>
      <c r="F3604" s="11">
        <f>INT(B3604)</f>
        <v/>
      </c>
      <c r="G3604" s="11">
        <f>INT(C3604)</f>
        <v/>
      </c>
    </row>
    <row r="3605">
      <c r="A3605" s="2" t="inlineStr">
        <is>
          <t>LDW262</t>
        </is>
      </c>
      <c r="B3605" s="3" t="n">
        <v>46091.25</v>
      </c>
      <c r="C3605" s="3" t="n">
        <v>46091.75</v>
      </c>
      <c r="D3605" s="4">
        <f>(C3605-B3605)*24</f>
        <v/>
      </c>
      <c r="E3605" s="5">
        <f>IF(AND(HOUR(B3605)&gt;=6,HOUR(B3605)&lt;18),"Day Shift","Night Shift")</f>
        <v/>
      </c>
      <c r="F3605" s="6">
        <f>INT(B3605)</f>
        <v/>
      </c>
      <c r="G3605" s="6">
        <f>INT(C3605)</f>
        <v/>
      </c>
    </row>
    <row r="3606">
      <c r="A3606" s="7" t="inlineStr">
        <is>
          <t>LDW262</t>
        </is>
      </c>
      <c r="B3606" s="8" t="n">
        <v>46091.75</v>
      </c>
      <c r="C3606" s="8" t="n">
        <v>46092.25</v>
      </c>
      <c r="D3606" s="9">
        <f>(C3606-B3606)*24</f>
        <v/>
      </c>
      <c r="E3606" s="10">
        <f>IF(AND(HOUR(B3606)&gt;=6,HOUR(B3606)&lt;18),"Day Shift","Night Shift")</f>
        <v/>
      </c>
      <c r="F3606" s="11">
        <f>INT(B3606)</f>
        <v/>
      </c>
      <c r="G3606" s="11">
        <f>INT(C3606)</f>
        <v/>
      </c>
    </row>
    <row r="3607">
      <c r="A3607" s="2" t="inlineStr">
        <is>
          <t>LDW262</t>
        </is>
      </c>
      <c r="B3607" s="3" t="n">
        <v>46092.25</v>
      </c>
      <c r="C3607" s="3" t="n">
        <v>46092.75</v>
      </c>
      <c r="D3607" s="4">
        <f>(C3607-B3607)*24</f>
        <v/>
      </c>
      <c r="E3607" s="5">
        <f>IF(AND(HOUR(B3607)&gt;=6,HOUR(B3607)&lt;18),"Day Shift","Night Shift")</f>
        <v/>
      </c>
      <c r="F3607" s="6">
        <f>INT(B3607)</f>
        <v/>
      </c>
      <c r="G3607" s="6">
        <f>INT(C3607)</f>
        <v/>
      </c>
    </row>
    <row r="3608">
      <c r="A3608" s="7" t="inlineStr">
        <is>
          <t>LDW262</t>
        </is>
      </c>
      <c r="B3608" s="8" t="n">
        <v>46092.75</v>
      </c>
      <c r="C3608" s="8" t="n">
        <v>46093.25</v>
      </c>
      <c r="D3608" s="9">
        <f>(C3608-B3608)*24</f>
        <v/>
      </c>
      <c r="E3608" s="10">
        <f>IF(AND(HOUR(B3608)&gt;=6,HOUR(B3608)&lt;18),"Day Shift","Night Shift")</f>
        <v/>
      </c>
      <c r="F3608" s="11">
        <f>INT(B3608)</f>
        <v/>
      </c>
      <c r="G3608" s="11">
        <f>INT(C3608)</f>
        <v/>
      </c>
    </row>
    <row r="3609">
      <c r="A3609" s="2" t="inlineStr">
        <is>
          <t>LDW262</t>
        </is>
      </c>
      <c r="B3609" s="3" t="n">
        <v>46093.25</v>
      </c>
      <c r="C3609" s="3" t="n">
        <v>46093.75</v>
      </c>
      <c r="D3609" s="4">
        <f>(C3609-B3609)*24</f>
        <v/>
      </c>
      <c r="E3609" s="5">
        <f>IF(AND(HOUR(B3609)&gt;=6,HOUR(B3609)&lt;18),"Day Shift","Night Shift")</f>
        <v/>
      </c>
      <c r="F3609" s="6">
        <f>INT(B3609)</f>
        <v/>
      </c>
      <c r="G3609" s="6">
        <f>INT(C3609)</f>
        <v/>
      </c>
    </row>
    <row r="3610">
      <c r="A3610" s="7" t="inlineStr">
        <is>
          <t>LDW262</t>
        </is>
      </c>
      <c r="B3610" s="8" t="n">
        <v>46093.75</v>
      </c>
      <c r="C3610" s="8" t="n">
        <v>46094.19252314815</v>
      </c>
      <c r="D3610" s="9">
        <f>(C3610-B3610)*24</f>
        <v/>
      </c>
      <c r="E3610" s="10">
        <f>IF(AND(HOUR(B3610)&gt;=6,HOUR(B3610)&lt;18),"Day Shift","Night Shift")</f>
        <v/>
      </c>
      <c r="F3610" s="11">
        <f>INT(B3610)</f>
        <v/>
      </c>
      <c r="G3610" s="11">
        <f>INT(C3610)</f>
        <v/>
      </c>
    </row>
    <row r="3611">
      <c r="A3611" s="7" t="inlineStr">
        <is>
          <t>EDD175;EDD2134</t>
        </is>
      </c>
      <c r="B3611" s="8" t="n">
        <v>46091.01434027778</v>
      </c>
      <c r="C3611" s="8" t="n">
        <v>46091.24445601852</v>
      </c>
      <c r="D3611" s="9">
        <f>(C3611-B3611)*24</f>
        <v/>
      </c>
      <c r="E3611" s="10">
        <f>IF(AND(HOUR(B3611)&gt;=6,HOUR(B3611)&lt;18),"Day Shift","Night Shift")</f>
        <v/>
      </c>
      <c r="F3611" s="11">
        <f>INT(B3611)</f>
        <v/>
      </c>
      <c r="G3611" s="11">
        <f>INT(C3611)</f>
        <v/>
      </c>
    </row>
    <row r="3612">
      <c r="A3612" s="7" t="inlineStr">
        <is>
          <t>EXD73</t>
        </is>
      </c>
      <c r="B3612" s="8" t="n">
        <v>46091.02413194445</v>
      </c>
      <c r="C3612" s="8" t="n">
        <v>46091.25</v>
      </c>
      <c r="D3612" s="9">
        <f>(C3612-B3612)*24</f>
        <v/>
      </c>
      <c r="E3612" s="10">
        <f>IF(AND(HOUR(B3612)&gt;=6,HOUR(B3612)&lt;18),"Day Shift","Night Shift")</f>
        <v/>
      </c>
      <c r="F3612" s="11">
        <f>INT(B3612)</f>
        <v/>
      </c>
      <c r="G3612" s="11">
        <f>INT(C3612)</f>
        <v/>
      </c>
    </row>
    <row r="3613">
      <c r="A3613" s="2" t="inlineStr">
        <is>
          <t>EXD73</t>
        </is>
      </c>
      <c r="B3613" s="3" t="n">
        <v>46091.25</v>
      </c>
      <c r="C3613" s="3" t="n">
        <v>46091.75</v>
      </c>
      <c r="D3613" s="4">
        <f>(C3613-B3613)*24</f>
        <v/>
      </c>
      <c r="E3613" s="5">
        <f>IF(AND(HOUR(B3613)&gt;=6,HOUR(B3613)&lt;18),"Day Shift","Night Shift")</f>
        <v/>
      </c>
      <c r="F3613" s="6">
        <f>INT(B3613)</f>
        <v/>
      </c>
      <c r="G3613" s="6">
        <f>INT(C3613)</f>
        <v/>
      </c>
    </row>
    <row r="3614">
      <c r="A3614" s="7" t="inlineStr">
        <is>
          <t>EXD73</t>
        </is>
      </c>
      <c r="B3614" s="8" t="n">
        <v>46091.75</v>
      </c>
      <c r="C3614" s="8" t="n">
        <v>46092.23206018518</v>
      </c>
      <c r="D3614" s="9">
        <f>(C3614-B3614)*24</f>
        <v/>
      </c>
      <c r="E3614" s="10">
        <f>IF(AND(HOUR(B3614)&gt;=6,HOUR(B3614)&lt;18),"Day Shift","Night Shift")</f>
        <v/>
      </c>
      <c r="F3614" s="11">
        <f>INT(B3614)</f>
        <v/>
      </c>
      <c r="G3614" s="11">
        <f>INT(C3614)</f>
        <v/>
      </c>
    </row>
    <row r="3615">
      <c r="A3615" s="7" t="inlineStr">
        <is>
          <t>EXD100</t>
        </is>
      </c>
      <c r="B3615" s="8" t="n">
        <v>46091.07848379629</v>
      </c>
      <c r="C3615" s="8" t="n">
        <v>46091.25</v>
      </c>
      <c r="D3615" s="9">
        <f>(C3615-B3615)*24</f>
        <v/>
      </c>
      <c r="E3615" s="10">
        <f>IF(AND(HOUR(B3615)&gt;=6,HOUR(B3615)&lt;18),"Day Shift","Night Shift")</f>
        <v/>
      </c>
      <c r="F3615" s="11">
        <f>INT(B3615)</f>
        <v/>
      </c>
      <c r="G3615" s="11">
        <f>INT(C3615)</f>
        <v/>
      </c>
    </row>
    <row r="3616">
      <c r="A3616" s="2" t="inlineStr">
        <is>
          <t>EXD100</t>
        </is>
      </c>
      <c r="B3616" s="3" t="n">
        <v>46091.25</v>
      </c>
      <c r="C3616" s="3" t="n">
        <v>46091.75</v>
      </c>
      <c r="D3616" s="4">
        <f>(C3616-B3616)*24</f>
        <v/>
      </c>
      <c r="E3616" s="5">
        <f>IF(AND(HOUR(B3616)&gt;=6,HOUR(B3616)&lt;18),"Day Shift","Night Shift")</f>
        <v/>
      </c>
      <c r="F3616" s="6">
        <f>INT(B3616)</f>
        <v/>
      </c>
      <c r="G3616" s="6">
        <f>INT(C3616)</f>
        <v/>
      </c>
    </row>
    <row r="3617">
      <c r="A3617" s="7" t="inlineStr">
        <is>
          <t>EXD100</t>
        </is>
      </c>
      <c r="B3617" s="8" t="n">
        <v>46091.75</v>
      </c>
      <c r="C3617" s="8" t="n">
        <v>46092.07006944445</v>
      </c>
      <c r="D3617" s="9">
        <f>(C3617-B3617)*24</f>
        <v/>
      </c>
      <c r="E3617" s="10">
        <f>IF(AND(HOUR(B3617)&gt;=6,HOUR(B3617)&lt;18),"Day Shift","Night Shift")</f>
        <v/>
      </c>
      <c r="F3617" s="11">
        <f>INT(B3617)</f>
        <v/>
      </c>
      <c r="G3617" s="11">
        <f>INT(C3617)</f>
        <v/>
      </c>
    </row>
    <row r="3618">
      <c r="A3618" s="7" t="inlineStr">
        <is>
          <t>EDD2541;Sprint 1</t>
        </is>
      </c>
      <c r="B3618" s="8" t="n">
        <v>46091.13032407407</v>
      </c>
      <c r="C3618" s="8" t="n">
        <v>46091.25</v>
      </c>
      <c r="D3618" s="9">
        <f>(C3618-B3618)*24</f>
        <v/>
      </c>
      <c r="E3618" s="10">
        <f>IF(AND(HOUR(B3618)&gt;=6,HOUR(B3618)&lt;18),"Day Shift","Night Shift")</f>
        <v/>
      </c>
      <c r="F3618" s="11">
        <f>INT(B3618)</f>
        <v/>
      </c>
      <c r="G3618" s="11">
        <f>INT(C3618)</f>
        <v/>
      </c>
    </row>
    <row r="3619">
      <c r="A3619" s="2" t="inlineStr">
        <is>
          <t>EDD2541;Sprint 1</t>
        </is>
      </c>
      <c r="B3619" s="3" t="n">
        <v>46091.25</v>
      </c>
      <c r="C3619" s="3" t="n">
        <v>46091.40479166667</v>
      </c>
      <c r="D3619" s="4">
        <f>(C3619-B3619)*24</f>
        <v/>
      </c>
      <c r="E3619" s="5">
        <f>IF(AND(HOUR(B3619)&gt;=6,HOUR(B3619)&lt;18),"Day Shift","Night Shift")</f>
        <v/>
      </c>
      <c r="F3619" s="6">
        <f>INT(B3619)</f>
        <v/>
      </c>
      <c r="G3619" s="6">
        <f>INT(C3619)</f>
        <v/>
      </c>
    </row>
    <row r="3620">
      <c r="A3620" s="7" t="inlineStr">
        <is>
          <t>Blast Crew</t>
        </is>
      </c>
      <c r="B3620" s="8" t="n">
        <v>46091.14905092592</v>
      </c>
      <c r="C3620" s="8" t="n">
        <v>46091.25</v>
      </c>
      <c r="D3620" s="9">
        <f>(C3620-B3620)*24</f>
        <v/>
      </c>
      <c r="E3620" s="10">
        <f>IF(AND(HOUR(B3620)&gt;=6,HOUR(B3620)&lt;18),"Day Shift","Night Shift")</f>
        <v/>
      </c>
      <c r="F3620" s="11">
        <f>INT(B3620)</f>
        <v/>
      </c>
      <c r="G3620" s="11">
        <f>INT(C3620)</f>
        <v/>
      </c>
    </row>
    <row r="3621">
      <c r="A3621" s="2" t="inlineStr">
        <is>
          <t>Blast Crew</t>
        </is>
      </c>
      <c r="B3621" s="3" t="n">
        <v>46091.25</v>
      </c>
      <c r="C3621" s="3" t="n">
        <v>46091.36380787037</v>
      </c>
      <c r="D3621" s="4">
        <f>(C3621-B3621)*24</f>
        <v/>
      </c>
      <c r="E3621" s="5">
        <f>IF(AND(HOUR(B3621)&gt;=6,HOUR(B3621)&lt;18),"Day Shift","Night Shift")</f>
        <v/>
      </c>
      <c r="F3621" s="6">
        <f>INT(B3621)</f>
        <v/>
      </c>
      <c r="G3621" s="6">
        <f>INT(C3621)</f>
        <v/>
      </c>
    </row>
    <row r="3622">
      <c r="A3622" s="7" t="inlineStr">
        <is>
          <t>EXD98</t>
        </is>
      </c>
      <c r="B3622" s="8" t="n">
        <v>46091.24061342593</v>
      </c>
      <c r="C3622" s="8" t="n">
        <v>46091.25</v>
      </c>
      <c r="D3622" s="9">
        <f>(C3622-B3622)*24</f>
        <v/>
      </c>
      <c r="E3622" s="10">
        <f>IF(AND(HOUR(B3622)&gt;=6,HOUR(B3622)&lt;18),"Day Shift","Night Shift")</f>
        <v/>
      </c>
      <c r="F3622" s="11">
        <f>INT(B3622)</f>
        <v/>
      </c>
      <c r="G3622" s="11">
        <f>INT(C3622)</f>
        <v/>
      </c>
    </row>
    <row r="3623">
      <c r="A3623" s="2" t="inlineStr">
        <is>
          <t>EXD98</t>
        </is>
      </c>
      <c r="B3623" s="3" t="n">
        <v>46091.25</v>
      </c>
      <c r="C3623" s="3" t="n">
        <v>46091.75</v>
      </c>
      <c r="D3623" s="4">
        <f>(C3623-B3623)*24</f>
        <v/>
      </c>
      <c r="E3623" s="5">
        <f>IF(AND(HOUR(B3623)&gt;=6,HOUR(B3623)&lt;18),"Day Shift","Night Shift")</f>
        <v/>
      </c>
      <c r="F3623" s="6">
        <f>INT(B3623)</f>
        <v/>
      </c>
      <c r="G3623" s="6">
        <f>INT(C3623)</f>
        <v/>
      </c>
    </row>
    <row r="3624">
      <c r="A3624" s="7" t="inlineStr">
        <is>
          <t>EXD98</t>
        </is>
      </c>
      <c r="B3624" s="8" t="n">
        <v>46091.75</v>
      </c>
      <c r="C3624" s="8" t="n">
        <v>46092.19278935185</v>
      </c>
      <c r="D3624" s="9">
        <f>(C3624-B3624)*24</f>
        <v/>
      </c>
      <c r="E3624" s="10">
        <f>IF(AND(HOUR(B3624)&gt;=6,HOUR(B3624)&lt;18),"Day Shift","Night Shift")</f>
        <v/>
      </c>
      <c r="F3624" s="11">
        <f>INT(B3624)</f>
        <v/>
      </c>
      <c r="G3624" s="11">
        <f>INT(C3624)</f>
        <v/>
      </c>
    </row>
    <row r="3625">
      <c r="A3625" s="2" t="inlineStr">
        <is>
          <t>EDD175;EDD2134</t>
        </is>
      </c>
      <c r="B3625" s="3" t="n">
        <v>46091.30878472222</v>
      </c>
      <c r="C3625" s="3" t="n">
        <v>46091.75</v>
      </c>
      <c r="D3625" s="4">
        <f>(C3625-B3625)*24</f>
        <v/>
      </c>
      <c r="E3625" s="5">
        <f>IF(AND(HOUR(B3625)&gt;=6,HOUR(B3625)&lt;18),"Day Shift","Night Shift")</f>
        <v/>
      </c>
      <c r="F3625" s="6">
        <f>INT(B3625)</f>
        <v/>
      </c>
      <c r="G3625" s="6">
        <f>INT(C3625)</f>
        <v/>
      </c>
    </row>
    <row r="3626">
      <c r="A3626" s="7" t="inlineStr">
        <is>
          <t>EDD175;EDD2134</t>
        </is>
      </c>
      <c r="B3626" s="8" t="n">
        <v>46091.75</v>
      </c>
      <c r="C3626" s="8" t="n">
        <v>46091.77138888889</v>
      </c>
      <c r="D3626" s="9">
        <f>(C3626-B3626)*24</f>
        <v/>
      </c>
      <c r="E3626" s="10">
        <f>IF(AND(HOUR(B3626)&gt;=6,HOUR(B3626)&lt;18),"Day Shift","Night Shift")</f>
        <v/>
      </c>
      <c r="F3626" s="11">
        <f>INT(B3626)</f>
        <v/>
      </c>
      <c r="G3626" s="11">
        <f>INT(C3626)</f>
        <v/>
      </c>
    </row>
    <row r="3627">
      <c r="A3627" s="2" t="inlineStr">
        <is>
          <t>EDD812;EDD175;EDD2134</t>
        </is>
      </c>
      <c r="B3627" s="3" t="n">
        <v>46091.30878472222</v>
      </c>
      <c r="C3627" s="3" t="n">
        <v>46091.75</v>
      </c>
      <c r="D3627" s="4">
        <f>(C3627-B3627)*24</f>
        <v/>
      </c>
      <c r="E3627" s="5">
        <f>IF(AND(HOUR(B3627)&gt;=6,HOUR(B3627)&lt;18),"Day Shift","Night Shift")</f>
        <v/>
      </c>
      <c r="F3627" s="6">
        <f>INT(B3627)</f>
        <v/>
      </c>
      <c r="G3627" s="6">
        <f>INT(C3627)</f>
        <v/>
      </c>
    </row>
    <row r="3628">
      <c r="A3628" s="7" t="inlineStr">
        <is>
          <t>EDD812;EDD175;EDD2134</t>
        </is>
      </c>
      <c r="B3628" s="8" t="n">
        <v>46091.75</v>
      </c>
      <c r="C3628" s="8" t="n">
        <v>46092.0678587963</v>
      </c>
      <c r="D3628" s="9">
        <f>(C3628-B3628)*24</f>
        <v/>
      </c>
      <c r="E3628" s="10">
        <f>IF(AND(HOUR(B3628)&gt;=6,HOUR(B3628)&lt;18),"Day Shift","Night Shift")</f>
        <v/>
      </c>
      <c r="F3628" s="11">
        <f>INT(B3628)</f>
        <v/>
      </c>
      <c r="G3628" s="11">
        <f>INT(C3628)</f>
        <v/>
      </c>
    </row>
    <row r="3629">
      <c r="A3629" s="2" t="inlineStr">
        <is>
          <t>EXD407</t>
        </is>
      </c>
      <c r="B3629" s="3" t="n">
        <v>46091.32010416667</v>
      </c>
      <c r="C3629" s="3" t="n">
        <v>46091.57251157407</v>
      </c>
      <c r="D3629" s="4">
        <f>(C3629-B3629)*24</f>
        <v/>
      </c>
      <c r="E3629" s="5">
        <f>IF(AND(HOUR(B3629)&gt;=6,HOUR(B3629)&lt;18),"Day Shift","Night Shift")</f>
        <v/>
      </c>
      <c r="F3629" s="6">
        <f>INT(B3629)</f>
        <v/>
      </c>
      <c r="G3629" s="6">
        <f>INT(C3629)</f>
        <v/>
      </c>
    </row>
    <row r="3630">
      <c r="A3630" s="2" t="inlineStr">
        <is>
          <t>EDD1932</t>
        </is>
      </c>
      <c r="B3630" s="3" t="n">
        <v>46091.36233796296</v>
      </c>
      <c r="C3630" s="3" t="n">
        <v>46091.75</v>
      </c>
      <c r="D3630" s="4">
        <f>(C3630-B3630)*24</f>
        <v/>
      </c>
      <c r="E3630" s="5">
        <f>IF(AND(HOUR(B3630)&gt;=6,HOUR(B3630)&lt;18),"Day Shift","Night Shift")</f>
        <v/>
      </c>
      <c r="F3630" s="6">
        <f>INT(B3630)</f>
        <v/>
      </c>
      <c r="G3630" s="6">
        <f>INT(C3630)</f>
        <v/>
      </c>
    </row>
    <row r="3631">
      <c r="A3631" s="7" t="inlineStr">
        <is>
          <t>EDD1932</t>
        </is>
      </c>
      <c r="B3631" s="8" t="n">
        <v>46091.75</v>
      </c>
      <c r="C3631" s="8" t="n">
        <v>46092.24505787037</v>
      </c>
      <c r="D3631" s="9">
        <f>(C3631-B3631)*24</f>
        <v/>
      </c>
      <c r="E3631" s="10">
        <f>IF(AND(HOUR(B3631)&gt;=6,HOUR(B3631)&lt;18),"Day Shift","Night Shift")</f>
        <v/>
      </c>
      <c r="F3631" s="11">
        <f>INT(B3631)</f>
        <v/>
      </c>
      <c r="G3631" s="11">
        <f>INT(C3631)</f>
        <v/>
      </c>
    </row>
    <row r="3632">
      <c r="A3632" s="2" t="inlineStr">
        <is>
          <t>Blast Crew</t>
        </is>
      </c>
      <c r="B3632" s="3" t="n">
        <v>46091.36380787037</v>
      </c>
      <c r="C3632" s="3" t="n">
        <v>46091.56813657407</v>
      </c>
      <c r="D3632" s="4">
        <f>(C3632-B3632)*24</f>
        <v/>
      </c>
      <c r="E3632" s="5">
        <f>IF(AND(HOUR(B3632)&gt;=6,HOUR(B3632)&lt;18),"Day Shift","Night Shift")</f>
        <v/>
      </c>
      <c r="F3632" s="6">
        <f>INT(B3632)</f>
        <v/>
      </c>
      <c r="G3632" s="6">
        <f>INT(C3632)</f>
        <v/>
      </c>
    </row>
    <row r="3633">
      <c r="A3633" s="2" t="inlineStr">
        <is>
          <t>EDD2541;Sprint 1</t>
        </is>
      </c>
      <c r="B3633" s="3" t="n">
        <v>46091.40479166667</v>
      </c>
      <c r="C3633" s="3" t="n">
        <v>46091.69646990741</v>
      </c>
      <c r="D3633" s="4">
        <f>(C3633-B3633)*24</f>
        <v/>
      </c>
      <c r="E3633" s="5">
        <f>IF(AND(HOUR(B3633)&gt;=6,HOUR(B3633)&lt;18),"Day Shift","Night Shift")</f>
        <v/>
      </c>
      <c r="F3633" s="6">
        <f>INT(B3633)</f>
        <v/>
      </c>
      <c r="G3633" s="6">
        <f>INT(C3633)</f>
        <v/>
      </c>
    </row>
    <row r="3634">
      <c r="A3634" s="2" t="inlineStr">
        <is>
          <t>Stag Drill</t>
        </is>
      </c>
      <c r="B3634" s="3" t="n">
        <v>46091.44201388889</v>
      </c>
      <c r="C3634" s="3" t="n">
        <v>46091.75</v>
      </c>
      <c r="D3634" s="4">
        <f>(C3634-B3634)*24</f>
        <v/>
      </c>
      <c r="E3634" s="5">
        <f>IF(AND(HOUR(B3634)&gt;=6,HOUR(B3634)&lt;18),"Day Shift","Night Shift")</f>
        <v/>
      </c>
      <c r="F3634" s="6">
        <f>INT(B3634)</f>
        <v/>
      </c>
      <c r="G3634" s="6">
        <f>INT(C3634)</f>
        <v/>
      </c>
    </row>
    <row r="3635">
      <c r="A3635" s="7" t="inlineStr">
        <is>
          <t>Stag Drill</t>
        </is>
      </c>
      <c r="B3635" s="8" t="n">
        <v>46091.75</v>
      </c>
      <c r="C3635" s="8" t="n">
        <v>46091.91016203703</v>
      </c>
      <c r="D3635" s="9">
        <f>(C3635-B3635)*24</f>
        <v/>
      </c>
      <c r="E3635" s="10">
        <f>IF(AND(HOUR(B3635)&gt;=6,HOUR(B3635)&lt;18),"Day Shift","Night Shift")</f>
        <v/>
      </c>
      <c r="F3635" s="11">
        <f>INT(B3635)</f>
        <v/>
      </c>
      <c r="G3635" s="11">
        <f>INT(C3635)</f>
        <v/>
      </c>
    </row>
    <row r="3636">
      <c r="A3636" s="2" t="inlineStr">
        <is>
          <t>SHE36</t>
        </is>
      </c>
      <c r="B3636" s="3" t="n">
        <v>46091.52087962963</v>
      </c>
      <c r="C3636" s="3" t="n">
        <v>46091.75</v>
      </c>
      <c r="D3636" s="4">
        <f>(C3636-B3636)*24</f>
        <v/>
      </c>
      <c r="E3636" s="5">
        <f>IF(AND(HOUR(B3636)&gt;=6,HOUR(B3636)&lt;18),"Day Shift","Night Shift")</f>
        <v/>
      </c>
      <c r="F3636" s="6">
        <f>INT(B3636)</f>
        <v/>
      </c>
      <c r="G3636" s="6">
        <f>INT(C3636)</f>
        <v/>
      </c>
    </row>
    <row r="3637">
      <c r="A3637" s="7" t="inlineStr">
        <is>
          <t>SHE36</t>
        </is>
      </c>
      <c r="B3637" s="8" t="n">
        <v>46091.75</v>
      </c>
      <c r="C3637" s="8" t="n">
        <v>46092.25</v>
      </c>
      <c r="D3637" s="9">
        <f>(C3637-B3637)*24</f>
        <v/>
      </c>
      <c r="E3637" s="10">
        <f>IF(AND(HOUR(B3637)&gt;=6,HOUR(B3637)&lt;18),"Day Shift","Night Shift")</f>
        <v/>
      </c>
      <c r="F3637" s="11">
        <f>INT(B3637)</f>
        <v/>
      </c>
      <c r="G3637" s="11">
        <f>INT(C3637)</f>
        <v/>
      </c>
    </row>
    <row r="3638">
      <c r="A3638" s="2" t="inlineStr">
        <is>
          <t>SHE36</t>
        </is>
      </c>
      <c r="B3638" s="3" t="n">
        <v>46092.25</v>
      </c>
      <c r="C3638" s="3" t="n">
        <v>46092.51438657408</v>
      </c>
      <c r="D3638" s="4">
        <f>(C3638-B3638)*24</f>
        <v/>
      </c>
      <c r="E3638" s="5">
        <f>IF(AND(HOUR(B3638)&gt;=6,HOUR(B3638)&lt;18),"Day Shift","Night Shift")</f>
        <v/>
      </c>
      <c r="F3638" s="6">
        <f>INT(B3638)</f>
        <v/>
      </c>
      <c r="G3638" s="6">
        <f>INT(C3638)</f>
        <v/>
      </c>
    </row>
    <row r="3639">
      <c r="A3639" s="2" t="inlineStr">
        <is>
          <t>EXD52</t>
        </is>
      </c>
      <c r="B3639" s="3" t="n">
        <v>46091.52234953704</v>
      </c>
      <c r="C3639" s="3" t="n">
        <v>46091.75</v>
      </c>
      <c r="D3639" s="4">
        <f>(C3639-B3639)*24</f>
        <v/>
      </c>
      <c r="E3639" s="5">
        <f>IF(AND(HOUR(B3639)&gt;=6,HOUR(B3639)&lt;18),"Day Shift","Night Shift")</f>
        <v/>
      </c>
      <c r="F3639" s="6">
        <f>INT(B3639)</f>
        <v/>
      </c>
      <c r="G3639" s="6">
        <f>INT(C3639)</f>
        <v/>
      </c>
    </row>
    <row r="3640">
      <c r="A3640" s="7" t="inlineStr">
        <is>
          <t>EXD52</t>
        </is>
      </c>
      <c r="B3640" s="8" t="n">
        <v>46091.75</v>
      </c>
      <c r="C3640" s="8" t="n">
        <v>46091.92872685185</v>
      </c>
      <c r="D3640" s="9">
        <f>(C3640-B3640)*24</f>
        <v/>
      </c>
      <c r="E3640" s="10">
        <f>IF(AND(HOUR(B3640)&gt;=6,HOUR(B3640)&lt;18),"Day Shift","Night Shift")</f>
        <v/>
      </c>
      <c r="F3640" s="11">
        <f>INT(B3640)</f>
        <v/>
      </c>
      <c r="G3640" s="11">
        <f>INT(C3640)</f>
        <v/>
      </c>
    </row>
    <row r="3641">
      <c r="A3641" s="2" t="inlineStr">
        <is>
          <t>EXD407</t>
        </is>
      </c>
      <c r="B3641" s="3" t="n">
        <v>46091.57251157407</v>
      </c>
      <c r="C3641" s="3" t="n">
        <v>46091.75</v>
      </c>
      <c r="D3641" s="4">
        <f>(C3641-B3641)*24</f>
        <v/>
      </c>
      <c r="E3641" s="5">
        <f>IF(AND(HOUR(B3641)&gt;=6,HOUR(B3641)&lt;18),"Day Shift","Night Shift")</f>
        <v/>
      </c>
      <c r="F3641" s="6">
        <f>INT(B3641)</f>
        <v/>
      </c>
      <c r="G3641" s="6">
        <f>INT(C3641)</f>
        <v/>
      </c>
    </row>
    <row r="3642">
      <c r="A3642" s="7" t="inlineStr">
        <is>
          <t>EXD407</t>
        </is>
      </c>
      <c r="B3642" s="8" t="n">
        <v>46091.75</v>
      </c>
      <c r="C3642" s="8" t="n">
        <v>46092.25</v>
      </c>
      <c r="D3642" s="9">
        <f>(C3642-B3642)*24</f>
        <v/>
      </c>
      <c r="E3642" s="10">
        <f>IF(AND(HOUR(B3642)&gt;=6,HOUR(B3642)&lt;18),"Day Shift","Night Shift")</f>
        <v/>
      </c>
      <c r="F3642" s="11">
        <f>INT(B3642)</f>
        <v/>
      </c>
      <c r="G3642" s="11">
        <f>INT(C3642)</f>
        <v/>
      </c>
    </row>
    <row r="3643">
      <c r="A3643" s="2" t="inlineStr">
        <is>
          <t>EXD407</t>
        </is>
      </c>
      <c r="B3643" s="3" t="n">
        <v>46092.25</v>
      </c>
      <c r="C3643" s="3" t="n">
        <v>46092.25905092592</v>
      </c>
      <c r="D3643" s="4">
        <f>(C3643-B3643)*24</f>
        <v/>
      </c>
      <c r="E3643" s="5">
        <f>IF(AND(HOUR(B3643)&gt;=6,HOUR(B3643)&lt;18),"Day Shift","Night Shift")</f>
        <v/>
      </c>
      <c r="F3643" s="6">
        <f>INT(B3643)</f>
        <v/>
      </c>
      <c r="G3643" s="6">
        <f>INT(C3643)</f>
        <v/>
      </c>
    </row>
    <row r="3644">
      <c r="A3644" s="2" t="inlineStr">
        <is>
          <t>EDD2541;Sprint 1</t>
        </is>
      </c>
      <c r="B3644" s="3" t="n">
        <v>46091.69646990741</v>
      </c>
      <c r="C3644" s="3" t="n">
        <v>46091.75</v>
      </c>
      <c r="D3644" s="4">
        <f>(C3644-B3644)*24</f>
        <v/>
      </c>
      <c r="E3644" s="5">
        <f>IF(AND(HOUR(B3644)&gt;=6,HOUR(B3644)&lt;18),"Day Shift","Night Shift")</f>
        <v/>
      </c>
      <c r="F3644" s="6">
        <f>INT(B3644)</f>
        <v/>
      </c>
      <c r="G3644" s="6">
        <f>INT(C3644)</f>
        <v/>
      </c>
    </row>
    <row r="3645">
      <c r="A3645" s="7" t="inlineStr">
        <is>
          <t>EDD2541;Sprint 1</t>
        </is>
      </c>
      <c r="B3645" s="8" t="n">
        <v>46091.75</v>
      </c>
      <c r="C3645" s="8" t="n">
        <v>46091.9334375</v>
      </c>
      <c r="D3645" s="9">
        <f>(C3645-B3645)*24</f>
        <v/>
      </c>
      <c r="E3645" s="10">
        <f>IF(AND(HOUR(B3645)&gt;=6,HOUR(B3645)&lt;18),"Day Shift","Night Shift")</f>
        <v/>
      </c>
      <c r="F3645" s="11">
        <f>INT(B3645)</f>
        <v/>
      </c>
      <c r="G3645" s="11">
        <f>INT(C3645)</f>
        <v/>
      </c>
    </row>
    <row r="3646">
      <c r="A3646" s="2" t="inlineStr">
        <is>
          <t>EXD55;EXD51</t>
        </is>
      </c>
      <c r="B3646" s="3" t="n">
        <v>46091.73339120371</v>
      </c>
      <c r="C3646" s="3" t="n">
        <v>46091.75</v>
      </c>
      <c r="D3646" s="4">
        <f>(C3646-B3646)*24</f>
        <v/>
      </c>
      <c r="E3646" s="5">
        <f>IF(AND(HOUR(B3646)&gt;=6,HOUR(B3646)&lt;18),"Day Shift","Night Shift")</f>
        <v/>
      </c>
      <c r="F3646" s="6">
        <f>INT(B3646)</f>
        <v/>
      </c>
      <c r="G3646" s="6">
        <f>INT(C3646)</f>
        <v/>
      </c>
    </row>
    <row r="3647">
      <c r="A3647" s="7" t="inlineStr">
        <is>
          <t>EXD55;EXD51</t>
        </is>
      </c>
      <c r="B3647" s="8" t="n">
        <v>46091.75</v>
      </c>
      <c r="C3647" s="8" t="n">
        <v>46091.9633912037</v>
      </c>
      <c r="D3647" s="9">
        <f>(C3647-B3647)*24</f>
        <v/>
      </c>
      <c r="E3647" s="10">
        <f>IF(AND(HOUR(B3647)&gt;=6,HOUR(B3647)&lt;18),"Day Shift","Night Shift")</f>
        <v/>
      </c>
      <c r="F3647" s="11">
        <f>INT(B3647)</f>
        <v/>
      </c>
      <c r="G3647" s="11">
        <f>INT(C3647)</f>
        <v/>
      </c>
    </row>
    <row r="3648">
      <c r="A3648" s="7" t="inlineStr">
        <is>
          <t>EXD409</t>
        </is>
      </c>
      <c r="B3648" s="8" t="n">
        <v>46091.76701388889</v>
      </c>
      <c r="C3648" s="8" t="n">
        <v>46092.25</v>
      </c>
      <c r="D3648" s="9">
        <f>(C3648-B3648)*24</f>
        <v/>
      </c>
      <c r="E3648" s="10">
        <f>IF(AND(HOUR(B3648)&gt;=6,HOUR(B3648)&lt;18),"Day Shift","Night Shift")</f>
        <v/>
      </c>
      <c r="F3648" s="11">
        <f>INT(B3648)</f>
        <v/>
      </c>
      <c r="G3648" s="11">
        <f>INT(C3648)</f>
        <v/>
      </c>
    </row>
    <row r="3649">
      <c r="A3649" s="2" t="inlineStr">
        <is>
          <t>EXD409</t>
        </is>
      </c>
      <c r="B3649" s="3" t="n">
        <v>46092.25</v>
      </c>
      <c r="C3649" s="3" t="n">
        <v>46092.75</v>
      </c>
      <c r="D3649" s="4">
        <f>(C3649-B3649)*24</f>
        <v/>
      </c>
      <c r="E3649" s="5">
        <f>IF(AND(HOUR(B3649)&gt;=6,HOUR(B3649)&lt;18),"Day Shift","Night Shift")</f>
        <v/>
      </c>
      <c r="F3649" s="6">
        <f>INT(B3649)</f>
        <v/>
      </c>
      <c r="G3649" s="6">
        <f>INT(C3649)</f>
        <v/>
      </c>
    </row>
    <row r="3650">
      <c r="A3650" s="7" t="inlineStr">
        <is>
          <t>EXD409</t>
        </is>
      </c>
      <c r="B3650" s="8" t="n">
        <v>46092.75</v>
      </c>
      <c r="C3650" s="8" t="n">
        <v>46093.25</v>
      </c>
      <c r="D3650" s="9">
        <f>(C3650-B3650)*24</f>
        <v/>
      </c>
      <c r="E3650" s="10">
        <f>IF(AND(HOUR(B3650)&gt;=6,HOUR(B3650)&lt;18),"Day Shift","Night Shift")</f>
        <v/>
      </c>
      <c r="F3650" s="11">
        <f>INT(B3650)</f>
        <v/>
      </c>
      <c r="G3650" s="11">
        <f>INT(C3650)</f>
        <v/>
      </c>
    </row>
    <row r="3651">
      <c r="A3651" s="2" t="inlineStr">
        <is>
          <t>EXD409</t>
        </is>
      </c>
      <c r="B3651" s="3" t="n">
        <v>46093.25</v>
      </c>
      <c r="C3651" s="3" t="n">
        <v>46093.5090625</v>
      </c>
      <c r="D3651" s="4">
        <f>(C3651-B3651)*24</f>
        <v/>
      </c>
      <c r="E3651" s="5">
        <f>IF(AND(HOUR(B3651)&gt;=6,HOUR(B3651)&lt;18),"Day Shift","Night Shift")</f>
        <v/>
      </c>
      <c r="F3651" s="6">
        <f>INT(B3651)</f>
        <v/>
      </c>
      <c r="G3651" s="6">
        <f>INT(C3651)</f>
        <v/>
      </c>
    </row>
    <row r="3652">
      <c r="A3652" s="7" t="inlineStr">
        <is>
          <t>EDD175;EDD2134</t>
        </is>
      </c>
      <c r="B3652" s="8" t="n">
        <v>46091.77138888889</v>
      </c>
      <c r="C3652" s="8" t="n">
        <v>46092.04603009259</v>
      </c>
      <c r="D3652" s="9">
        <f>(C3652-B3652)*24</f>
        <v/>
      </c>
      <c r="E3652" s="10">
        <f>IF(AND(HOUR(B3652)&gt;=6,HOUR(B3652)&lt;18),"Day Shift","Night Shift")</f>
        <v/>
      </c>
      <c r="F3652" s="11">
        <f>INT(B3652)</f>
        <v/>
      </c>
      <c r="G3652" s="11">
        <f>INT(C3652)</f>
        <v/>
      </c>
    </row>
    <row r="3653">
      <c r="A3653" s="7" t="inlineStr">
        <is>
          <t>EXD101</t>
        </is>
      </c>
      <c r="B3653" s="8" t="n">
        <v>46091.84032407407</v>
      </c>
      <c r="C3653" s="8" t="n">
        <v>46092.25</v>
      </c>
      <c r="D3653" s="9">
        <f>(C3653-B3653)*24</f>
        <v/>
      </c>
      <c r="E3653" s="10">
        <f>IF(AND(HOUR(B3653)&gt;=6,HOUR(B3653)&lt;18),"Day Shift","Night Shift")</f>
        <v/>
      </c>
      <c r="F3653" s="11">
        <f>INT(B3653)</f>
        <v/>
      </c>
      <c r="G3653" s="11">
        <f>INT(C3653)</f>
        <v/>
      </c>
    </row>
    <row r="3654">
      <c r="A3654" s="2" t="inlineStr">
        <is>
          <t>EXD101</t>
        </is>
      </c>
      <c r="B3654" s="3" t="n">
        <v>46092.25</v>
      </c>
      <c r="C3654" s="3" t="n">
        <v>46092.70543981482</v>
      </c>
      <c r="D3654" s="4">
        <f>(C3654-B3654)*24</f>
        <v/>
      </c>
      <c r="E3654" s="5">
        <f>IF(AND(HOUR(B3654)&gt;=6,HOUR(B3654)&lt;18),"Day Shift","Night Shift")</f>
        <v/>
      </c>
      <c r="F3654" s="6">
        <f>INT(B3654)</f>
        <v/>
      </c>
      <c r="G3654" s="6">
        <f>INT(C3654)</f>
        <v/>
      </c>
    </row>
    <row r="3655">
      <c r="A3655" s="7" t="inlineStr">
        <is>
          <t>EXD52</t>
        </is>
      </c>
      <c r="B3655" s="8" t="n">
        <v>46091.92872685185</v>
      </c>
      <c r="C3655" s="8" t="n">
        <v>46092.25</v>
      </c>
      <c r="D3655" s="9">
        <f>(C3655-B3655)*24</f>
        <v/>
      </c>
      <c r="E3655" s="10">
        <f>IF(AND(HOUR(B3655)&gt;=6,HOUR(B3655)&lt;18),"Day Shift","Night Shift")</f>
        <v/>
      </c>
      <c r="F3655" s="11">
        <f>INT(B3655)</f>
        <v/>
      </c>
      <c r="G3655" s="11">
        <f>INT(C3655)</f>
        <v/>
      </c>
    </row>
    <row r="3656">
      <c r="A3656" s="2" t="inlineStr">
        <is>
          <t>EXD52</t>
        </is>
      </c>
      <c r="B3656" s="3" t="n">
        <v>46092.25</v>
      </c>
      <c r="C3656" s="3" t="n">
        <v>46092.75</v>
      </c>
      <c r="D3656" s="4">
        <f>(C3656-B3656)*24</f>
        <v/>
      </c>
      <c r="E3656" s="5">
        <f>IF(AND(HOUR(B3656)&gt;=6,HOUR(B3656)&lt;18),"Day Shift","Night Shift")</f>
        <v/>
      </c>
      <c r="F3656" s="6">
        <f>INT(B3656)</f>
        <v/>
      </c>
      <c r="G3656" s="6">
        <f>INT(C3656)</f>
        <v/>
      </c>
    </row>
    <row r="3657">
      <c r="A3657" s="7" t="inlineStr">
        <is>
          <t>EXD52</t>
        </is>
      </c>
      <c r="B3657" s="8" t="n">
        <v>46092.75</v>
      </c>
      <c r="C3657" s="8" t="n">
        <v>46093.25</v>
      </c>
      <c r="D3657" s="9">
        <f>(C3657-B3657)*24</f>
        <v/>
      </c>
      <c r="E3657" s="10">
        <f>IF(AND(HOUR(B3657)&gt;=6,HOUR(B3657)&lt;18),"Day Shift","Night Shift")</f>
        <v/>
      </c>
      <c r="F3657" s="11">
        <f>INT(B3657)</f>
        <v/>
      </c>
      <c r="G3657" s="11">
        <f>INT(C3657)</f>
        <v/>
      </c>
    </row>
    <row r="3658">
      <c r="A3658" s="2" t="inlineStr">
        <is>
          <t>EXD52</t>
        </is>
      </c>
      <c r="B3658" s="3" t="n">
        <v>46093.25</v>
      </c>
      <c r="C3658" s="3" t="n">
        <v>46093.75</v>
      </c>
      <c r="D3658" s="4">
        <f>(C3658-B3658)*24</f>
        <v/>
      </c>
      <c r="E3658" s="5">
        <f>IF(AND(HOUR(B3658)&gt;=6,HOUR(B3658)&lt;18),"Day Shift","Night Shift")</f>
        <v/>
      </c>
      <c r="F3658" s="6">
        <f>INT(B3658)</f>
        <v/>
      </c>
      <c r="G3658" s="6">
        <f>INT(C3658)</f>
        <v/>
      </c>
    </row>
    <row r="3659">
      <c r="A3659" s="7" t="inlineStr">
        <is>
          <t>EXD52</t>
        </is>
      </c>
      <c r="B3659" s="8" t="n">
        <v>46093.75</v>
      </c>
      <c r="C3659" s="8" t="n">
        <v>46093.78487268519</v>
      </c>
      <c r="D3659" s="9">
        <f>(C3659-B3659)*24</f>
        <v/>
      </c>
      <c r="E3659" s="10">
        <f>IF(AND(HOUR(B3659)&gt;=6,HOUR(B3659)&lt;18),"Day Shift","Night Shift")</f>
        <v/>
      </c>
      <c r="F3659" s="11">
        <f>INT(B3659)</f>
        <v/>
      </c>
      <c r="G3659" s="11">
        <f>INT(C3659)</f>
        <v/>
      </c>
    </row>
    <row r="3660">
      <c r="A3660" s="7" t="inlineStr">
        <is>
          <t>EDD2541;Sprint 1</t>
        </is>
      </c>
      <c r="B3660" s="8" t="n">
        <v>46091.9334375</v>
      </c>
      <c r="C3660" s="8" t="n">
        <v>46092.13040509259</v>
      </c>
      <c r="D3660" s="9">
        <f>(C3660-B3660)*24</f>
        <v/>
      </c>
      <c r="E3660" s="10">
        <f>IF(AND(HOUR(B3660)&gt;=6,HOUR(B3660)&lt;18),"Day Shift","Night Shift")</f>
        <v/>
      </c>
      <c r="F3660" s="11">
        <f>INT(B3660)</f>
        <v/>
      </c>
      <c r="G3660" s="11">
        <f>INT(C3660)</f>
        <v/>
      </c>
    </row>
    <row r="3661">
      <c r="A3661" s="7" t="inlineStr">
        <is>
          <t>Stag Drill</t>
        </is>
      </c>
      <c r="B3661" s="8" t="n">
        <v>46092.02631944444</v>
      </c>
      <c r="C3661" s="8" t="n">
        <v>46092.25</v>
      </c>
      <c r="D3661" s="9">
        <f>(C3661-B3661)*24</f>
        <v/>
      </c>
      <c r="E3661" s="10">
        <f>IF(AND(HOUR(B3661)&gt;=6,HOUR(B3661)&lt;18),"Day Shift","Night Shift")</f>
        <v/>
      </c>
      <c r="F3661" s="11">
        <f>INT(B3661)</f>
        <v/>
      </c>
      <c r="G3661" s="11">
        <f>INT(C3661)</f>
        <v/>
      </c>
    </row>
    <row r="3662">
      <c r="A3662" s="2" t="inlineStr">
        <is>
          <t>Stag Drill</t>
        </is>
      </c>
      <c r="B3662" s="3" t="n">
        <v>46092.25</v>
      </c>
      <c r="C3662" s="3" t="n">
        <v>46092.47540509259</v>
      </c>
      <c r="D3662" s="4">
        <f>(C3662-B3662)*24</f>
        <v/>
      </c>
      <c r="E3662" s="5">
        <f>IF(AND(HOUR(B3662)&gt;=6,HOUR(B3662)&lt;18),"Day Shift","Night Shift")</f>
        <v/>
      </c>
      <c r="F3662" s="6">
        <f>INT(B3662)</f>
        <v/>
      </c>
      <c r="G3662" s="6">
        <f>INT(C3662)</f>
        <v/>
      </c>
    </row>
    <row r="3663">
      <c r="A3663" s="7" t="inlineStr">
        <is>
          <t>EDD175;EDD2134;EDD812;Sprint 1</t>
        </is>
      </c>
      <c r="B3663" s="8" t="n">
        <v>46092.0678587963</v>
      </c>
      <c r="C3663" s="8" t="n">
        <v>46092.25</v>
      </c>
      <c r="D3663" s="9">
        <f>(C3663-B3663)*24</f>
        <v/>
      </c>
      <c r="E3663" s="10">
        <f>IF(AND(HOUR(B3663)&gt;=6,HOUR(B3663)&lt;18),"Day Shift","Night Shift")</f>
        <v/>
      </c>
      <c r="F3663" s="11">
        <f>INT(B3663)</f>
        <v/>
      </c>
      <c r="G3663" s="11">
        <f>INT(C3663)</f>
        <v/>
      </c>
    </row>
    <row r="3664">
      <c r="A3664" s="2" t="inlineStr">
        <is>
          <t>EDD175;EDD2134;EDD812;Sprint 1</t>
        </is>
      </c>
      <c r="B3664" s="3" t="n">
        <v>46092.25</v>
      </c>
      <c r="C3664" s="3" t="n">
        <v>46092.328125</v>
      </c>
      <c r="D3664" s="4">
        <f>(C3664-B3664)*24</f>
        <v/>
      </c>
      <c r="E3664" s="5">
        <f>IF(AND(HOUR(B3664)&gt;=6,HOUR(B3664)&lt;18),"Day Shift","Night Shift")</f>
        <v/>
      </c>
      <c r="F3664" s="6">
        <f>INT(B3664)</f>
        <v/>
      </c>
      <c r="G3664" s="6">
        <f>INT(C3664)</f>
        <v/>
      </c>
    </row>
    <row r="3665">
      <c r="A3665" s="7" t="inlineStr">
        <is>
          <t>EXD100</t>
        </is>
      </c>
      <c r="B3665" s="8" t="n">
        <v>46092.07006944445</v>
      </c>
      <c r="C3665" s="8" t="n">
        <v>46092.25</v>
      </c>
      <c r="D3665" s="9">
        <f>(C3665-B3665)*24</f>
        <v/>
      </c>
      <c r="E3665" s="10">
        <f>IF(AND(HOUR(B3665)&gt;=6,HOUR(B3665)&lt;18),"Day Shift","Night Shift")</f>
        <v/>
      </c>
      <c r="F3665" s="11">
        <f>INT(B3665)</f>
        <v/>
      </c>
      <c r="G3665" s="11">
        <f>INT(C3665)</f>
        <v/>
      </c>
    </row>
    <row r="3666">
      <c r="A3666" s="2" t="inlineStr">
        <is>
          <t>EXD100</t>
        </is>
      </c>
      <c r="B3666" s="3" t="n">
        <v>46092.25</v>
      </c>
      <c r="C3666" s="3" t="n">
        <v>46092.71060185185</v>
      </c>
      <c r="D3666" s="4">
        <f>(C3666-B3666)*24</f>
        <v/>
      </c>
      <c r="E3666" s="5">
        <f>IF(AND(HOUR(B3666)&gt;=6,HOUR(B3666)&lt;18),"Day Shift","Night Shift")</f>
        <v/>
      </c>
      <c r="F3666" s="6">
        <f>INT(B3666)</f>
        <v/>
      </c>
      <c r="G3666" s="6">
        <f>INT(C3666)</f>
        <v/>
      </c>
    </row>
    <row r="3667">
      <c r="A3667" s="7" t="inlineStr">
        <is>
          <t>EXD51</t>
        </is>
      </c>
      <c r="B3667" s="8" t="n">
        <v>46092.11791666667</v>
      </c>
      <c r="C3667" s="8" t="n">
        <v>46092.25</v>
      </c>
      <c r="D3667" s="9">
        <f>(C3667-B3667)*24</f>
        <v/>
      </c>
      <c r="E3667" s="10">
        <f>IF(AND(HOUR(B3667)&gt;=6,HOUR(B3667)&lt;18),"Day Shift","Night Shift")</f>
        <v/>
      </c>
      <c r="F3667" s="11">
        <f>INT(B3667)</f>
        <v/>
      </c>
      <c r="G3667" s="11">
        <f>INT(C3667)</f>
        <v/>
      </c>
    </row>
    <row r="3668">
      <c r="A3668" s="2" t="inlineStr">
        <is>
          <t>EXD51</t>
        </is>
      </c>
      <c r="B3668" s="3" t="n">
        <v>46092.25</v>
      </c>
      <c r="C3668" s="3" t="n">
        <v>46092.61817129629</v>
      </c>
      <c r="D3668" s="4">
        <f>(C3668-B3668)*24</f>
        <v/>
      </c>
      <c r="E3668" s="5">
        <f>IF(AND(HOUR(B3668)&gt;=6,HOUR(B3668)&lt;18),"Day Shift","Night Shift")</f>
        <v/>
      </c>
      <c r="F3668" s="6">
        <f>INT(B3668)</f>
        <v/>
      </c>
      <c r="G3668" s="6">
        <f>INT(C3668)</f>
        <v/>
      </c>
    </row>
    <row r="3669">
      <c r="A3669" s="7" t="inlineStr">
        <is>
          <t>EDD2541;Sprint 1</t>
        </is>
      </c>
      <c r="B3669" s="8" t="n">
        <v>46092.13040509259</v>
      </c>
      <c r="C3669" s="8" t="n">
        <v>46092.21637731481</v>
      </c>
      <c r="D3669" s="9">
        <f>(C3669-B3669)*24</f>
        <v/>
      </c>
      <c r="E3669" s="10">
        <f>IF(AND(HOUR(B3669)&gt;=6,HOUR(B3669)&lt;18),"Day Shift","Night Shift")</f>
        <v/>
      </c>
      <c r="F3669" s="11">
        <f>INT(B3669)</f>
        <v/>
      </c>
      <c r="G3669" s="11">
        <f>INT(C3669)</f>
        <v/>
      </c>
    </row>
    <row r="3670">
      <c r="A3670" s="7" t="inlineStr">
        <is>
          <t>EXD98</t>
        </is>
      </c>
      <c r="B3670" s="8" t="n">
        <v>46092.19278935185</v>
      </c>
      <c r="C3670" s="8" t="n">
        <v>46092.25</v>
      </c>
      <c r="D3670" s="9">
        <f>(C3670-B3670)*24</f>
        <v/>
      </c>
      <c r="E3670" s="10">
        <f>IF(AND(HOUR(B3670)&gt;=6,HOUR(B3670)&lt;18),"Day Shift","Night Shift")</f>
        <v/>
      </c>
      <c r="F3670" s="11">
        <f>INT(B3670)</f>
        <v/>
      </c>
      <c r="G3670" s="11">
        <f>INT(C3670)</f>
        <v/>
      </c>
    </row>
    <row r="3671">
      <c r="A3671" s="2" t="inlineStr">
        <is>
          <t>EXD98</t>
        </is>
      </c>
      <c r="B3671" s="3" t="n">
        <v>46092.25</v>
      </c>
      <c r="C3671" s="3" t="n">
        <v>46092.75</v>
      </c>
      <c r="D3671" s="4">
        <f>(C3671-B3671)*24</f>
        <v/>
      </c>
      <c r="E3671" s="5">
        <f>IF(AND(HOUR(B3671)&gt;=6,HOUR(B3671)&lt;18),"Day Shift","Night Shift")</f>
        <v/>
      </c>
      <c r="F3671" s="6">
        <f>INT(B3671)</f>
        <v/>
      </c>
      <c r="G3671" s="6">
        <f>INT(C3671)</f>
        <v/>
      </c>
    </row>
    <row r="3672">
      <c r="A3672" s="7" t="inlineStr">
        <is>
          <t>EXD98</t>
        </is>
      </c>
      <c r="B3672" s="8" t="n">
        <v>46092.75</v>
      </c>
      <c r="C3672" s="8" t="n">
        <v>46093.10371527778</v>
      </c>
      <c r="D3672" s="9">
        <f>(C3672-B3672)*24</f>
        <v/>
      </c>
      <c r="E3672" s="10">
        <f>IF(AND(HOUR(B3672)&gt;=6,HOUR(B3672)&lt;18),"Day Shift","Night Shift")</f>
        <v/>
      </c>
      <c r="F3672" s="11">
        <f>INT(B3672)</f>
        <v/>
      </c>
      <c r="G3672" s="11">
        <f>INT(C3672)</f>
        <v/>
      </c>
    </row>
    <row r="3673">
      <c r="A3673" s="7" t="inlineStr">
        <is>
          <t>EDD2541</t>
        </is>
      </c>
      <c r="B3673" s="8" t="n">
        <v>46092.21903935185</v>
      </c>
      <c r="C3673" s="8" t="n">
        <v>46092.25</v>
      </c>
      <c r="D3673" s="9">
        <f>(C3673-B3673)*24</f>
        <v/>
      </c>
      <c r="E3673" s="10">
        <f>IF(AND(HOUR(B3673)&gt;=6,HOUR(B3673)&lt;18),"Day Shift","Night Shift")</f>
        <v/>
      </c>
      <c r="F3673" s="11">
        <f>INT(B3673)</f>
        <v/>
      </c>
      <c r="G3673" s="11">
        <f>INT(C3673)</f>
        <v/>
      </c>
    </row>
    <row r="3674">
      <c r="A3674" s="2" t="inlineStr">
        <is>
          <t>EDD2541</t>
        </is>
      </c>
      <c r="B3674" s="3" t="n">
        <v>46092.25</v>
      </c>
      <c r="C3674" s="3" t="n">
        <v>46092.44021990741</v>
      </c>
      <c r="D3674" s="4">
        <f>(C3674-B3674)*24</f>
        <v/>
      </c>
      <c r="E3674" s="5">
        <f>IF(AND(HOUR(B3674)&gt;=6,HOUR(B3674)&lt;18),"Day Shift","Night Shift")</f>
        <v/>
      </c>
      <c r="F3674" s="6">
        <f>INT(B3674)</f>
        <v/>
      </c>
      <c r="G3674" s="6">
        <f>INT(C3674)</f>
        <v/>
      </c>
    </row>
    <row r="3675">
      <c r="A3675" s="7" t="inlineStr">
        <is>
          <t>EXD73</t>
        </is>
      </c>
      <c r="B3675" s="8" t="n">
        <v>46092.23206018518</v>
      </c>
      <c r="C3675" s="8" t="n">
        <v>46092.25</v>
      </c>
      <c r="D3675" s="9">
        <f>(C3675-B3675)*24</f>
        <v/>
      </c>
      <c r="E3675" s="10">
        <f>IF(AND(HOUR(B3675)&gt;=6,HOUR(B3675)&lt;18),"Day Shift","Night Shift")</f>
        <v/>
      </c>
      <c r="F3675" s="11">
        <f>INT(B3675)</f>
        <v/>
      </c>
      <c r="G3675" s="11">
        <f>INT(C3675)</f>
        <v/>
      </c>
    </row>
    <row r="3676">
      <c r="A3676" s="2" t="inlineStr">
        <is>
          <t>EXD73</t>
        </is>
      </c>
      <c r="B3676" s="3" t="n">
        <v>46092.25</v>
      </c>
      <c r="C3676" s="3" t="n">
        <v>46092.75</v>
      </c>
      <c r="D3676" s="4">
        <f>(C3676-B3676)*24</f>
        <v/>
      </c>
      <c r="E3676" s="5">
        <f>IF(AND(HOUR(B3676)&gt;=6,HOUR(B3676)&lt;18),"Day Shift","Night Shift")</f>
        <v/>
      </c>
      <c r="F3676" s="6">
        <f>INT(B3676)</f>
        <v/>
      </c>
      <c r="G3676" s="6">
        <f>INT(C3676)</f>
        <v/>
      </c>
    </row>
    <row r="3677">
      <c r="A3677" s="7" t="inlineStr">
        <is>
          <t>EXD73</t>
        </is>
      </c>
      <c r="B3677" s="8" t="n">
        <v>46092.75</v>
      </c>
      <c r="C3677" s="8" t="n">
        <v>46093.25</v>
      </c>
      <c r="D3677" s="9">
        <f>(C3677-B3677)*24</f>
        <v/>
      </c>
      <c r="E3677" s="10">
        <f>IF(AND(HOUR(B3677)&gt;=6,HOUR(B3677)&lt;18),"Day Shift","Night Shift")</f>
        <v/>
      </c>
      <c r="F3677" s="11">
        <f>INT(B3677)</f>
        <v/>
      </c>
      <c r="G3677" s="11">
        <f>INT(C3677)</f>
        <v/>
      </c>
    </row>
    <row r="3678">
      <c r="A3678" s="2" t="inlineStr">
        <is>
          <t>EXD73</t>
        </is>
      </c>
      <c r="B3678" s="3" t="n">
        <v>46093.25</v>
      </c>
      <c r="C3678" s="3" t="n">
        <v>46093.46465277778</v>
      </c>
      <c r="D3678" s="4">
        <f>(C3678-B3678)*24</f>
        <v/>
      </c>
      <c r="E3678" s="5">
        <f>IF(AND(HOUR(B3678)&gt;=6,HOUR(B3678)&lt;18),"Day Shift","Night Shift")</f>
        <v/>
      </c>
      <c r="F3678" s="6">
        <f>INT(B3678)</f>
        <v/>
      </c>
      <c r="G3678" s="6">
        <f>INT(C3678)</f>
        <v/>
      </c>
    </row>
    <row r="3679">
      <c r="A3679" s="7" t="inlineStr">
        <is>
          <t>EDD1932</t>
        </is>
      </c>
      <c r="B3679" s="8" t="n">
        <v>46092.24505787037</v>
      </c>
      <c r="C3679" s="8" t="n">
        <v>46092.25</v>
      </c>
      <c r="D3679" s="9">
        <f>(C3679-B3679)*24</f>
        <v/>
      </c>
      <c r="E3679" s="10">
        <f>IF(AND(HOUR(B3679)&gt;=6,HOUR(B3679)&lt;18),"Day Shift","Night Shift")</f>
        <v/>
      </c>
      <c r="F3679" s="11">
        <f>INT(B3679)</f>
        <v/>
      </c>
      <c r="G3679" s="11">
        <f>INT(C3679)</f>
        <v/>
      </c>
    </row>
    <row r="3680">
      <c r="A3680" s="2" t="inlineStr">
        <is>
          <t>EDD1932</t>
        </is>
      </c>
      <c r="B3680" s="3" t="n">
        <v>46092.25</v>
      </c>
      <c r="C3680" s="3" t="n">
        <v>46092.75</v>
      </c>
      <c r="D3680" s="4">
        <f>(C3680-B3680)*24</f>
        <v/>
      </c>
      <c r="E3680" s="5">
        <f>IF(AND(HOUR(B3680)&gt;=6,HOUR(B3680)&lt;18),"Day Shift","Night Shift")</f>
        <v/>
      </c>
      <c r="F3680" s="6">
        <f>INT(B3680)</f>
        <v/>
      </c>
      <c r="G3680" s="6">
        <f>INT(C3680)</f>
        <v/>
      </c>
    </row>
    <row r="3681">
      <c r="A3681" s="7" t="inlineStr">
        <is>
          <t>EDD1932</t>
        </is>
      </c>
      <c r="B3681" s="8" t="n">
        <v>46092.75</v>
      </c>
      <c r="C3681" s="8" t="n">
        <v>46092.92123842592</v>
      </c>
      <c r="D3681" s="9">
        <f>(C3681-B3681)*24</f>
        <v/>
      </c>
      <c r="E3681" s="10">
        <f>IF(AND(HOUR(B3681)&gt;=6,HOUR(B3681)&lt;18),"Day Shift","Night Shift")</f>
        <v/>
      </c>
      <c r="F3681" s="11">
        <f>INT(B3681)</f>
        <v/>
      </c>
      <c r="G3681" s="11">
        <f>INT(C3681)</f>
        <v/>
      </c>
    </row>
    <row r="3682">
      <c r="A3682" s="2" t="inlineStr">
        <is>
          <t>EXD55;EXD51</t>
        </is>
      </c>
      <c r="B3682" s="3" t="n">
        <v>46092.29557870371</v>
      </c>
      <c r="C3682" s="3" t="n">
        <v>46092.66957175926</v>
      </c>
      <c r="D3682" s="4">
        <f>(C3682-B3682)*24</f>
        <v/>
      </c>
      <c r="E3682" s="5">
        <f>IF(AND(HOUR(B3682)&gt;=6,HOUR(B3682)&lt;18),"Day Shift","Night Shift")</f>
        <v/>
      </c>
      <c r="F3682" s="6">
        <f>INT(B3682)</f>
        <v/>
      </c>
      <c r="G3682" s="6">
        <f>INT(C3682)</f>
        <v/>
      </c>
    </row>
    <row r="3683">
      <c r="A3683" s="2" t="inlineStr">
        <is>
          <t>EDD175;EDD2134;EDD812;Sprint 1</t>
        </is>
      </c>
      <c r="B3683" s="3" t="n">
        <v>46092.328125</v>
      </c>
      <c r="C3683" s="3" t="n">
        <v>46092.54216435185</v>
      </c>
      <c r="D3683" s="4">
        <f>(C3683-B3683)*24</f>
        <v/>
      </c>
      <c r="E3683" s="5">
        <f>IF(AND(HOUR(B3683)&gt;=6,HOUR(B3683)&lt;18),"Day Shift","Night Shift")</f>
        <v/>
      </c>
      <c r="F3683" s="6">
        <f>INT(B3683)</f>
        <v/>
      </c>
      <c r="G3683" s="6">
        <f>INT(C3683)</f>
        <v/>
      </c>
    </row>
    <row r="3684">
      <c r="A3684" s="2" t="inlineStr">
        <is>
          <t>EDD2541;EDD2134;EDD812</t>
        </is>
      </c>
      <c r="B3684" s="3" t="n">
        <v>46092.44021990741</v>
      </c>
      <c r="C3684" s="3" t="n">
        <v>46092.75</v>
      </c>
      <c r="D3684" s="4">
        <f>(C3684-B3684)*24</f>
        <v/>
      </c>
      <c r="E3684" s="5">
        <f>IF(AND(HOUR(B3684)&gt;=6,HOUR(B3684)&lt;18),"Day Shift","Night Shift")</f>
        <v/>
      </c>
      <c r="F3684" s="6">
        <f>INT(B3684)</f>
        <v/>
      </c>
      <c r="G3684" s="6">
        <f>INT(C3684)</f>
        <v/>
      </c>
    </row>
    <row r="3685">
      <c r="A3685" s="7" t="inlineStr">
        <is>
          <t>EDD2541;EDD2134;EDD812</t>
        </is>
      </c>
      <c r="B3685" s="8" t="n">
        <v>46092.75</v>
      </c>
      <c r="C3685" s="8" t="n">
        <v>46092.90655092592</v>
      </c>
      <c r="D3685" s="9">
        <f>(C3685-B3685)*24</f>
        <v/>
      </c>
      <c r="E3685" s="10">
        <f>IF(AND(HOUR(B3685)&gt;=6,HOUR(B3685)&lt;18),"Day Shift","Night Shift")</f>
        <v/>
      </c>
      <c r="F3685" s="11">
        <f>INT(B3685)</f>
        <v/>
      </c>
      <c r="G3685" s="11">
        <f>INT(C3685)</f>
        <v/>
      </c>
    </row>
    <row r="3686">
      <c r="A3686" s="2" t="inlineStr">
        <is>
          <t>Blast</t>
        </is>
      </c>
      <c r="B3686" s="3" t="n">
        <v>46092.45833333334</v>
      </c>
      <c r="C3686" s="3" t="n">
        <v>46092.45855324074</v>
      </c>
      <c r="D3686" s="4">
        <f>(C3686-B3686)*24</f>
        <v/>
      </c>
      <c r="E3686" s="5">
        <f>IF(AND(HOUR(B3686)&gt;=6,HOUR(B3686)&lt;18),"Day Shift","Night Shift")</f>
        <v/>
      </c>
      <c r="F3686" s="6">
        <f>INT(B3686)</f>
        <v/>
      </c>
      <c r="G3686" s="6">
        <f>INT(C3686)</f>
        <v/>
      </c>
    </row>
    <row r="3687">
      <c r="A3687" s="2" t="inlineStr">
        <is>
          <t>Blast</t>
        </is>
      </c>
      <c r="B3687" s="3" t="n">
        <v>46092.45855324074</v>
      </c>
      <c r="C3687" s="3" t="n">
        <v>46092.45880787037</v>
      </c>
      <c r="D3687" s="4">
        <f>(C3687-B3687)*24</f>
        <v/>
      </c>
      <c r="E3687" s="5">
        <f>IF(AND(HOUR(B3687)&gt;=6,HOUR(B3687)&lt;18),"Day Shift","Night Shift")</f>
        <v/>
      </c>
      <c r="F3687" s="6">
        <f>INT(B3687)</f>
        <v/>
      </c>
      <c r="G3687" s="6">
        <f>INT(C3687)</f>
        <v/>
      </c>
    </row>
    <row r="3688">
      <c r="A3688" s="2" t="inlineStr">
        <is>
          <t>Blast</t>
        </is>
      </c>
      <c r="B3688" s="3" t="n">
        <v>46092.45880787037</v>
      </c>
      <c r="C3688" s="3" t="n">
        <v>46092.45901620371</v>
      </c>
      <c r="D3688" s="4">
        <f>(C3688-B3688)*24</f>
        <v/>
      </c>
      <c r="E3688" s="5">
        <f>IF(AND(HOUR(B3688)&gt;=6,HOUR(B3688)&lt;18),"Day Shift","Night Shift")</f>
        <v/>
      </c>
      <c r="F3688" s="6">
        <f>INT(B3688)</f>
        <v/>
      </c>
      <c r="G3688" s="6">
        <f>INT(C3688)</f>
        <v/>
      </c>
    </row>
    <row r="3689">
      <c r="A3689" s="2" t="inlineStr">
        <is>
          <t>Blast</t>
        </is>
      </c>
      <c r="B3689" s="3" t="n">
        <v>46092.45901620371</v>
      </c>
      <c r="C3689" s="3" t="n">
        <v>46092.45917824074</v>
      </c>
      <c r="D3689" s="4">
        <f>(C3689-B3689)*24</f>
        <v/>
      </c>
      <c r="E3689" s="5">
        <f>IF(AND(HOUR(B3689)&gt;=6,HOUR(B3689)&lt;18),"Day Shift","Night Shift")</f>
        <v/>
      </c>
      <c r="F3689" s="6">
        <f>INT(B3689)</f>
        <v/>
      </c>
      <c r="G3689" s="6">
        <f>INT(C3689)</f>
        <v/>
      </c>
    </row>
    <row r="3690">
      <c r="A3690" s="2" t="inlineStr">
        <is>
          <t>Blast</t>
        </is>
      </c>
      <c r="B3690" s="3" t="n">
        <v>46092.45917824074</v>
      </c>
      <c r="C3690" s="3" t="n">
        <v>46092.45931712963</v>
      </c>
      <c r="D3690" s="4">
        <f>(C3690-B3690)*24</f>
        <v/>
      </c>
      <c r="E3690" s="5">
        <f>IF(AND(HOUR(B3690)&gt;=6,HOUR(B3690)&lt;18),"Day Shift","Night Shift")</f>
        <v/>
      </c>
      <c r="F3690" s="6">
        <f>INT(B3690)</f>
        <v/>
      </c>
      <c r="G3690" s="6">
        <f>INT(C3690)</f>
        <v/>
      </c>
    </row>
    <row r="3691">
      <c r="A3691" s="2" t="inlineStr">
        <is>
          <t>Blast</t>
        </is>
      </c>
      <c r="B3691" s="3" t="n">
        <v>46092.45931712963</v>
      </c>
      <c r="C3691" s="3" t="n">
        <v>46092.45943287037</v>
      </c>
      <c r="D3691" s="4">
        <f>(C3691-B3691)*24</f>
        <v/>
      </c>
      <c r="E3691" s="5">
        <f>IF(AND(HOUR(B3691)&gt;=6,HOUR(B3691)&lt;18),"Day Shift","Night Shift")</f>
        <v/>
      </c>
      <c r="F3691" s="6">
        <f>INT(B3691)</f>
        <v/>
      </c>
      <c r="G3691" s="6">
        <f>INT(C3691)</f>
        <v/>
      </c>
    </row>
    <row r="3692">
      <c r="A3692" s="2" t="inlineStr">
        <is>
          <t>Blast</t>
        </is>
      </c>
      <c r="B3692" s="3" t="n">
        <v>46092.45943287037</v>
      </c>
      <c r="C3692" s="3" t="n">
        <v>46092.45947916667</v>
      </c>
      <c r="D3692" s="4">
        <f>(C3692-B3692)*24</f>
        <v/>
      </c>
      <c r="E3692" s="5">
        <f>IF(AND(HOUR(B3692)&gt;=6,HOUR(B3692)&lt;18),"Day Shift","Night Shift")</f>
        <v/>
      </c>
      <c r="F3692" s="6">
        <f>INT(B3692)</f>
        <v/>
      </c>
      <c r="G3692" s="6">
        <f>INT(C3692)</f>
        <v/>
      </c>
    </row>
    <row r="3693">
      <c r="A3693" s="2" t="inlineStr">
        <is>
          <t>Blast</t>
        </is>
      </c>
      <c r="B3693" s="3" t="n">
        <v>46092.45947916667</v>
      </c>
      <c r="C3693" s="3" t="n">
        <v>46092.45966435185</v>
      </c>
      <c r="D3693" s="4">
        <f>(C3693-B3693)*24</f>
        <v/>
      </c>
      <c r="E3693" s="5">
        <f>IF(AND(HOUR(B3693)&gt;=6,HOUR(B3693)&lt;18),"Day Shift","Night Shift")</f>
        <v/>
      </c>
      <c r="F3693" s="6">
        <f>INT(B3693)</f>
        <v/>
      </c>
      <c r="G3693" s="6">
        <f>INT(C3693)</f>
        <v/>
      </c>
    </row>
    <row r="3694">
      <c r="A3694" s="2" t="inlineStr">
        <is>
          <t>Blast</t>
        </is>
      </c>
      <c r="B3694" s="3" t="n">
        <v>46092.45966435185</v>
      </c>
      <c r="C3694" s="3" t="n">
        <v>46092.45984953704</v>
      </c>
      <c r="D3694" s="4">
        <f>(C3694-B3694)*24</f>
        <v/>
      </c>
      <c r="E3694" s="5">
        <f>IF(AND(HOUR(B3694)&gt;=6,HOUR(B3694)&lt;18),"Day Shift","Night Shift")</f>
        <v/>
      </c>
      <c r="F3694" s="6">
        <f>INT(B3694)</f>
        <v/>
      </c>
      <c r="G3694" s="6">
        <f>INT(C3694)</f>
        <v/>
      </c>
    </row>
    <row r="3695">
      <c r="A3695" s="2" t="inlineStr">
        <is>
          <t>Blast</t>
        </is>
      </c>
      <c r="B3695" s="3" t="n">
        <v>46092.45984953704</v>
      </c>
      <c r="C3695" s="3" t="n">
        <v>46092.46005787037</v>
      </c>
      <c r="D3695" s="4">
        <f>(C3695-B3695)*24</f>
        <v/>
      </c>
      <c r="E3695" s="5">
        <f>IF(AND(HOUR(B3695)&gt;=6,HOUR(B3695)&lt;18),"Day Shift","Night Shift")</f>
        <v/>
      </c>
      <c r="F3695" s="6">
        <f>INT(B3695)</f>
        <v/>
      </c>
      <c r="G3695" s="6">
        <f>INT(C3695)</f>
        <v/>
      </c>
    </row>
    <row r="3696">
      <c r="A3696" s="2" t="inlineStr">
        <is>
          <t>Blast</t>
        </is>
      </c>
      <c r="B3696" s="3" t="n">
        <v>46092.46005787037</v>
      </c>
      <c r="C3696" s="3" t="n">
        <v>46092.46033564815</v>
      </c>
      <c r="D3696" s="4">
        <f>(C3696-B3696)*24</f>
        <v/>
      </c>
      <c r="E3696" s="5">
        <f>IF(AND(HOUR(B3696)&gt;=6,HOUR(B3696)&lt;18),"Day Shift","Night Shift")</f>
        <v/>
      </c>
      <c r="F3696" s="6">
        <f>INT(B3696)</f>
        <v/>
      </c>
      <c r="G3696" s="6">
        <f>INT(C3696)</f>
        <v/>
      </c>
    </row>
    <row r="3697">
      <c r="A3697" s="2" t="inlineStr">
        <is>
          <t>Blast</t>
        </is>
      </c>
      <c r="B3697" s="3" t="n">
        <v>46092.46033564815</v>
      </c>
      <c r="C3697" s="3" t="n">
        <v>46092.46057870371</v>
      </c>
      <c r="D3697" s="4">
        <f>(C3697-B3697)*24</f>
        <v/>
      </c>
      <c r="E3697" s="5">
        <f>IF(AND(HOUR(B3697)&gt;=6,HOUR(B3697)&lt;18),"Day Shift","Night Shift")</f>
        <v/>
      </c>
      <c r="F3697" s="6">
        <f>INT(B3697)</f>
        <v/>
      </c>
      <c r="G3697" s="6">
        <f>INT(C3697)</f>
        <v/>
      </c>
    </row>
    <row r="3698">
      <c r="A3698" s="2" t="inlineStr">
        <is>
          <t>Blast</t>
        </is>
      </c>
      <c r="B3698" s="3" t="n">
        <v>46092.46057870371</v>
      </c>
      <c r="C3698" s="3" t="n">
        <v>46092.46076388889</v>
      </c>
      <c r="D3698" s="4">
        <f>(C3698-B3698)*24</f>
        <v/>
      </c>
      <c r="E3698" s="5">
        <f>IF(AND(HOUR(B3698)&gt;=6,HOUR(B3698)&lt;18),"Day Shift","Night Shift")</f>
        <v/>
      </c>
      <c r="F3698" s="6">
        <f>INT(B3698)</f>
        <v/>
      </c>
      <c r="G3698" s="6">
        <f>INT(C3698)</f>
        <v/>
      </c>
    </row>
    <row r="3699">
      <c r="A3699" s="2" t="inlineStr">
        <is>
          <t>Blast</t>
        </is>
      </c>
      <c r="B3699" s="3" t="n">
        <v>46092.46076388889</v>
      </c>
      <c r="C3699" s="3" t="n">
        <v>46092.46079861111</v>
      </c>
      <c r="D3699" s="4">
        <f>(C3699-B3699)*24</f>
        <v/>
      </c>
      <c r="E3699" s="5">
        <f>IF(AND(HOUR(B3699)&gt;=6,HOUR(B3699)&lt;18),"Day Shift","Night Shift")</f>
        <v/>
      </c>
      <c r="F3699" s="6">
        <f>INT(B3699)</f>
        <v/>
      </c>
      <c r="G3699" s="6">
        <f>INT(C3699)</f>
        <v/>
      </c>
    </row>
    <row r="3700">
      <c r="A3700" s="2" t="inlineStr">
        <is>
          <t>Blast</t>
        </is>
      </c>
      <c r="B3700" s="3" t="n">
        <v>46092.46079861111</v>
      </c>
      <c r="C3700" s="3" t="n">
        <v>46092.46081018518</v>
      </c>
      <c r="D3700" s="4">
        <f>(C3700-B3700)*24</f>
        <v/>
      </c>
      <c r="E3700" s="5">
        <f>IF(AND(HOUR(B3700)&gt;=6,HOUR(B3700)&lt;18),"Day Shift","Night Shift")</f>
        <v/>
      </c>
      <c r="F3700" s="6">
        <f>INT(B3700)</f>
        <v/>
      </c>
      <c r="G3700" s="6">
        <f>INT(C3700)</f>
        <v/>
      </c>
    </row>
    <row r="3701">
      <c r="A3701" s="2" t="inlineStr">
        <is>
          <t>Blast</t>
        </is>
      </c>
      <c r="B3701" s="3" t="n">
        <v>46092.46081018518</v>
      </c>
      <c r="C3701" s="3" t="n">
        <v>46092.46097222222</v>
      </c>
      <c r="D3701" s="4">
        <f>(C3701-B3701)*24</f>
        <v/>
      </c>
      <c r="E3701" s="5">
        <f>IF(AND(HOUR(B3701)&gt;=6,HOUR(B3701)&lt;18),"Day Shift","Night Shift")</f>
        <v/>
      </c>
      <c r="F3701" s="6">
        <f>INT(B3701)</f>
        <v/>
      </c>
      <c r="G3701" s="6">
        <f>INT(C3701)</f>
        <v/>
      </c>
    </row>
    <row r="3702">
      <c r="A3702" s="2" t="inlineStr">
        <is>
          <t>Blast</t>
        </is>
      </c>
      <c r="B3702" s="3" t="n">
        <v>46092.46097222222</v>
      </c>
      <c r="C3702" s="3" t="n">
        <v>46092.46114583333</v>
      </c>
      <c r="D3702" s="4">
        <f>(C3702-B3702)*24</f>
        <v/>
      </c>
      <c r="E3702" s="5">
        <f>IF(AND(HOUR(B3702)&gt;=6,HOUR(B3702)&lt;18),"Day Shift","Night Shift")</f>
        <v/>
      </c>
      <c r="F3702" s="6">
        <f>INT(B3702)</f>
        <v/>
      </c>
      <c r="G3702" s="6">
        <f>INT(C3702)</f>
        <v/>
      </c>
    </row>
    <row r="3703">
      <c r="A3703" s="2" t="inlineStr">
        <is>
          <t>Blast</t>
        </is>
      </c>
      <c r="B3703" s="3" t="n">
        <v>46092.46114583333</v>
      </c>
      <c r="C3703" s="3" t="n">
        <v>46092.46133101852</v>
      </c>
      <c r="D3703" s="4">
        <f>(C3703-B3703)*24</f>
        <v/>
      </c>
      <c r="E3703" s="5">
        <f>IF(AND(HOUR(B3703)&gt;=6,HOUR(B3703)&lt;18),"Day Shift","Night Shift")</f>
        <v/>
      </c>
      <c r="F3703" s="6">
        <f>INT(B3703)</f>
        <v/>
      </c>
      <c r="G3703" s="6">
        <f>INT(C3703)</f>
        <v/>
      </c>
    </row>
    <row r="3704">
      <c r="A3704" s="2" t="inlineStr">
        <is>
          <t>Blast</t>
        </is>
      </c>
      <c r="B3704" s="3" t="n">
        <v>46092.46133101852</v>
      </c>
      <c r="C3704" s="3" t="n">
        <v>46092.46160879629</v>
      </c>
      <c r="D3704" s="4">
        <f>(C3704-B3704)*24</f>
        <v/>
      </c>
      <c r="E3704" s="5">
        <f>IF(AND(HOUR(B3704)&gt;=6,HOUR(B3704)&lt;18),"Day Shift","Night Shift")</f>
        <v/>
      </c>
      <c r="F3704" s="6">
        <f>INT(B3704)</f>
        <v/>
      </c>
      <c r="G3704" s="6">
        <f>INT(C3704)</f>
        <v/>
      </c>
    </row>
    <row r="3705">
      <c r="A3705" s="2" t="inlineStr">
        <is>
          <t>Blast</t>
        </is>
      </c>
      <c r="B3705" s="3" t="n">
        <v>46092.46160879629</v>
      </c>
      <c r="C3705" s="3" t="n">
        <v>46092.46193287037</v>
      </c>
      <c r="D3705" s="4">
        <f>(C3705-B3705)*24</f>
        <v/>
      </c>
      <c r="E3705" s="5">
        <f>IF(AND(HOUR(B3705)&gt;=6,HOUR(B3705)&lt;18),"Day Shift","Night Shift")</f>
        <v/>
      </c>
      <c r="F3705" s="6">
        <f>INT(B3705)</f>
        <v/>
      </c>
      <c r="G3705" s="6">
        <f>INT(C3705)</f>
        <v/>
      </c>
    </row>
    <row r="3706">
      <c r="A3706" s="2" t="inlineStr">
        <is>
          <t>Blast</t>
        </is>
      </c>
      <c r="B3706" s="3" t="n">
        <v>46092.46193287037</v>
      </c>
      <c r="C3706" s="3" t="n">
        <v>46092.46225694445</v>
      </c>
      <c r="D3706" s="4">
        <f>(C3706-B3706)*24</f>
        <v/>
      </c>
      <c r="E3706" s="5">
        <f>IF(AND(HOUR(B3706)&gt;=6,HOUR(B3706)&lt;18),"Day Shift","Night Shift")</f>
        <v/>
      </c>
      <c r="F3706" s="6">
        <f>INT(B3706)</f>
        <v/>
      </c>
      <c r="G3706" s="6">
        <f>INT(C3706)</f>
        <v/>
      </c>
    </row>
    <row r="3707">
      <c r="A3707" s="2" t="inlineStr">
        <is>
          <t>Blast</t>
        </is>
      </c>
      <c r="B3707" s="3" t="n">
        <v>46092.46225694445</v>
      </c>
      <c r="C3707" s="3" t="n">
        <v>46092.4624537037</v>
      </c>
      <c r="D3707" s="4">
        <f>(C3707-B3707)*24</f>
        <v/>
      </c>
      <c r="E3707" s="5">
        <f>IF(AND(HOUR(B3707)&gt;=6,HOUR(B3707)&lt;18),"Day Shift","Night Shift")</f>
        <v/>
      </c>
      <c r="F3707" s="6">
        <f>INT(B3707)</f>
        <v/>
      </c>
      <c r="G3707" s="6">
        <f>INT(C3707)</f>
        <v/>
      </c>
    </row>
    <row r="3708">
      <c r="A3708" s="2" t="inlineStr">
        <is>
          <t>Blast</t>
        </is>
      </c>
      <c r="B3708" s="3" t="n">
        <v>46092.4624537037</v>
      </c>
      <c r="C3708" s="3" t="n">
        <v>46092.46248842592</v>
      </c>
      <c r="D3708" s="4">
        <f>(C3708-B3708)*24</f>
        <v/>
      </c>
      <c r="E3708" s="5">
        <f>IF(AND(HOUR(B3708)&gt;=6,HOUR(B3708)&lt;18),"Day Shift","Night Shift")</f>
        <v/>
      </c>
      <c r="F3708" s="6">
        <f>INT(B3708)</f>
        <v/>
      </c>
      <c r="G3708" s="6">
        <f>INT(C3708)</f>
        <v/>
      </c>
    </row>
    <row r="3709">
      <c r="A3709" s="2" t="inlineStr">
        <is>
          <t>Blast</t>
        </is>
      </c>
      <c r="B3709" s="3" t="n">
        <v>46092.46248842592</v>
      </c>
      <c r="C3709" s="3" t="n">
        <v>46092.46265046296</v>
      </c>
      <c r="D3709" s="4">
        <f>(C3709-B3709)*24</f>
        <v/>
      </c>
      <c r="E3709" s="5">
        <f>IF(AND(HOUR(B3709)&gt;=6,HOUR(B3709)&lt;18),"Day Shift","Night Shift")</f>
        <v/>
      </c>
      <c r="F3709" s="6">
        <f>INT(B3709)</f>
        <v/>
      </c>
      <c r="G3709" s="6">
        <f>INT(C3709)</f>
        <v/>
      </c>
    </row>
    <row r="3710">
      <c r="A3710" s="2" t="inlineStr">
        <is>
          <t>Blast</t>
        </is>
      </c>
      <c r="B3710" s="3" t="n">
        <v>46092.46265046296</v>
      </c>
      <c r="C3710" s="3" t="n">
        <v>46092.46282407407</v>
      </c>
      <c r="D3710" s="4">
        <f>(C3710-B3710)*24</f>
        <v/>
      </c>
      <c r="E3710" s="5">
        <f>IF(AND(HOUR(B3710)&gt;=6,HOUR(B3710)&lt;18),"Day Shift","Night Shift")</f>
        <v/>
      </c>
      <c r="F3710" s="6">
        <f>INT(B3710)</f>
        <v/>
      </c>
      <c r="G3710" s="6">
        <f>INT(C3710)</f>
        <v/>
      </c>
    </row>
    <row r="3711">
      <c r="A3711" s="2" t="inlineStr">
        <is>
          <t>Blast</t>
        </is>
      </c>
      <c r="B3711" s="3" t="n">
        <v>46092.46282407407</v>
      </c>
      <c r="C3711" s="3" t="n">
        <v>46092.4630787037</v>
      </c>
      <c r="D3711" s="4">
        <f>(C3711-B3711)*24</f>
        <v/>
      </c>
      <c r="E3711" s="5">
        <f>IF(AND(HOUR(B3711)&gt;=6,HOUR(B3711)&lt;18),"Day Shift","Night Shift")</f>
        <v/>
      </c>
      <c r="F3711" s="6">
        <f>INT(B3711)</f>
        <v/>
      </c>
      <c r="G3711" s="6">
        <f>INT(C3711)</f>
        <v/>
      </c>
    </row>
    <row r="3712">
      <c r="A3712" s="2" t="inlineStr">
        <is>
          <t>Blast</t>
        </is>
      </c>
      <c r="B3712" s="3" t="n">
        <v>46092.4630787037</v>
      </c>
      <c r="C3712" s="3" t="n">
        <v>46092.4634375</v>
      </c>
      <c r="D3712" s="4">
        <f>(C3712-B3712)*24</f>
        <v/>
      </c>
      <c r="E3712" s="5">
        <f>IF(AND(HOUR(B3712)&gt;=6,HOUR(B3712)&lt;18),"Day Shift","Night Shift")</f>
        <v/>
      </c>
      <c r="F3712" s="6">
        <f>INT(B3712)</f>
        <v/>
      </c>
      <c r="G3712" s="6">
        <f>INT(C3712)</f>
        <v/>
      </c>
    </row>
    <row r="3713">
      <c r="A3713" s="2" t="inlineStr">
        <is>
          <t>Blast</t>
        </is>
      </c>
      <c r="B3713" s="3" t="n">
        <v>46092.4634375</v>
      </c>
      <c r="C3713" s="3" t="n">
        <v>46092.46377314815</v>
      </c>
      <c r="D3713" s="4">
        <f>(C3713-B3713)*24</f>
        <v/>
      </c>
      <c r="E3713" s="5">
        <f>IF(AND(HOUR(B3713)&gt;=6,HOUR(B3713)&lt;18),"Day Shift","Night Shift")</f>
        <v/>
      </c>
      <c r="F3713" s="6">
        <f>INT(B3713)</f>
        <v/>
      </c>
      <c r="G3713" s="6">
        <f>INT(C3713)</f>
        <v/>
      </c>
    </row>
    <row r="3714">
      <c r="A3714" s="2" t="inlineStr">
        <is>
          <t>Blast</t>
        </is>
      </c>
      <c r="B3714" s="3" t="n">
        <v>46092.46377314815</v>
      </c>
      <c r="C3714" s="3" t="n">
        <v>46092.46403935185</v>
      </c>
      <c r="D3714" s="4">
        <f>(C3714-B3714)*24</f>
        <v/>
      </c>
      <c r="E3714" s="5">
        <f>IF(AND(HOUR(B3714)&gt;=6,HOUR(B3714)&lt;18),"Day Shift","Night Shift")</f>
        <v/>
      </c>
      <c r="F3714" s="6">
        <f>INT(B3714)</f>
        <v/>
      </c>
      <c r="G3714" s="6">
        <f>INT(C3714)</f>
        <v/>
      </c>
    </row>
    <row r="3715">
      <c r="A3715" s="2" t="inlineStr">
        <is>
          <t>Blast</t>
        </is>
      </c>
      <c r="B3715" s="3" t="n">
        <v>46092.46403935185</v>
      </c>
      <c r="C3715" s="3" t="n">
        <v>46092.46423611111</v>
      </c>
      <c r="D3715" s="4">
        <f>(C3715-B3715)*24</f>
        <v/>
      </c>
      <c r="E3715" s="5">
        <f>IF(AND(HOUR(B3715)&gt;=6,HOUR(B3715)&lt;18),"Day Shift","Night Shift")</f>
        <v/>
      </c>
      <c r="F3715" s="6">
        <f>INT(B3715)</f>
        <v/>
      </c>
      <c r="G3715" s="6">
        <f>INT(C3715)</f>
        <v/>
      </c>
    </row>
    <row r="3716">
      <c r="A3716" s="2" t="inlineStr">
        <is>
          <t>Blast</t>
        </is>
      </c>
      <c r="B3716" s="3" t="n">
        <v>46092.46423611111</v>
      </c>
      <c r="C3716" s="3" t="n">
        <v>46092.46430555556</v>
      </c>
      <c r="D3716" s="4">
        <f>(C3716-B3716)*24</f>
        <v/>
      </c>
      <c r="E3716" s="5">
        <f>IF(AND(HOUR(B3716)&gt;=6,HOUR(B3716)&lt;18),"Day Shift","Night Shift")</f>
        <v/>
      </c>
      <c r="F3716" s="6">
        <f>INT(B3716)</f>
        <v/>
      </c>
      <c r="G3716" s="6">
        <f>INT(C3716)</f>
        <v/>
      </c>
    </row>
    <row r="3717">
      <c r="A3717" s="2" t="inlineStr">
        <is>
          <t>Blast</t>
        </is>
      </c>
      <c r="B3717" s="3" t="n">
        <v>46092.46430555556</v>
      </c>
      <c r="C3717" s="3" t="n">
        <v>46092.464375</v>
      </c>
      <c r="D3717" s="4">
        <f>(C3717-B3717)*24</f>
        <v/>
      </c>
      <c r="E3717" s="5">
        <f>IF(AND(HOUR(B3717)&gt;=6,HOUR(B3717)&lt;18),"Day Shift","Night Shift")</f>
        <v/>
      </c>
      <c r="F3717" s="6">
        <f>INT(B3717)</f>
        <v/>
      </c>
      <c r="G3717" s="6">
        <f>INT(C3717)</f>
        <v/>
      </c>
    </row>
    <row r="3718">
      <c r="A3718" s="2" t="inlineStr">
        <is>
          <t>Blast</t>
        </is>
      </c>
      <c r="B3718" s="3" t="n">
        <v>46092.464375</v>
      </c>
      <c r="C3718" s="3" t="n">
        <v>46092.46443287037</v>
      </c>
      <c r="D3718" s="4">
        <f>(C3718-B3718)*24</f>
        <v/>
      </c>
      <c r="E3718" s="5">
        <f>IF(AND(HOUR(B3718)&gt;=6,HOUR(B3718)&lt;18),"Day Shift","Night Shift")</f>
        <v/>
      </c>
      <c r="F3718" s="6">
        <f>INT(B3718)</f>
        <v/>
      </c>
      <c r="G3718" s="6">
        <f>INT(C3718)</f>
        <v/>
      </c>
    </row>
    <row r="3719">
      <c r="A3719" s="2" t="inlineStr">
        <is>
          <t>Blast</t>
        </is>
      </c>
      <c r="B3719" s="3" t="n">
        <v>46092.46443287037</v>
      </c>
      <c r="C3719" s="3" t="n">
        <v>46092.46449074074</v>
      </c>
      <c r="D3719" s="4">
        <f>(C3719-B3719)*24</f>
        <v/>
      </c>
      <c r="E3719" s="5">
        <f>IF(AND(HOUR(B3719)&gt;=6,HOUR(B3719)&lt;18),"Day Shift","Night Shift")</f>
        <v/>
      </c>
      <c r="F3719" s="6">
        <f>INT(B3719)</f>
        <v/>
      </c>
      <c r="G3719" s="6">
        <f>INT(C3719)</f>
        <v/>
      </c>
    </row>
    <row r="3720">
      <c r="A3720" s="2" t="inlineStr">
        <is>
          <t>Blast</t>
        </is>
      </c>
      <c r="B3720" s="3" t="n">
        <v>46092.46449074074</v>
      </c>
      <c r="C3720" s="3" t="n">
        <v>46092.46452546296</v>
      </c>
      <c r="D3720" s="4">
        <f>(C3720-B3720)*24</f>
        <v/>
      </c>
      <c r="E3720" s="5">
        <f>IF(AND(HOUR(B3720)&gt;=6,HOUR(B3720)&lt;18),"Day Shift","Night Shift")</f>
        <v/>
      </c>
      <c r="F3720" s="6">
        <f>INT(B3720)</f>
        <v/>
      </c>
      <c r="G3720" s="6">
        <f>INT(C3720)</f>
        <v/>
      </c>
    </row>
    <row r="3721">
      <c r="A3721" s="2" t="inlineStr">
        <is>
          <t>Blast</t>
        </is>
      </c>
      <c r="B3721" s="3" t="n">
        <v>46092.46452546296</v>
      </c>
      <c r="C3721" s="3" t="n">
        <v>46092.46454861111</v>
      </c>
      <c r="D3721" s="4">
        <f>(C3721-B3721)*24</f>
        <v/>
      </c>
      <c r="E3721" s="5">
        <f>IF(AND(HOUR(B3721)&gt;=6,HOUR(B3721)&lt;18),"Day Shift","Night Shift")</f>
        <v/>
      </c>
      <c r="F3721" s="6">
        <f>INT(B3721)</f>
        <v/>
      </c>
      <c r="G3721" s="6">
        <f>INT(C3721)</f>
        <v/>
      </c>
    </row>
    <row r="3722">
      <c r="A3722" s="2" t="inlineStr">
        <is>
          <t>Blast</t>
        </is>
      </c>
      <c r="B3722" s="3" t="n">
        <v>46092.46454861111</v>
      </c>
      <c r="C3722" s="3" t="n">
        <v>46092.46456018519</v>
      </c>
      <c r="D3722" s="4">
        <f>(C3722-B3722)*24</f>
        <v/>
      </c>
      <c r="E3722" s="5">
        <f>IF(AND(HOUR(B3722)&gt;=6,HOUR(B3722)&lt;18),"Day Shift","Night Shift")</f>
        <v/>
      </c>
      <c r="F3722" s="6">
        <f>INT(B3722)</f>
        <v/>
      </c>
      <c r="G3722" s="6">
        <f>INT(C3722)</f>
        <v/>
      </c>
    </row>
    <row r="3723">
      <c r="A3723" s="2" t="inlineStr">
        <is>
          <t>Blast</t>
        </is>
      </c>
      <c r="B3723" s="3" t="n">
        <v>46092.46456018519</v>
      </c>
      <c r="C3723" s="3" t="n">
        <v>46092.46457175926</v>
      </c>
      <c r="D3723" s="4">
        <f>(C3723-B3723)*24</f>
        <v/>
      </c>
      <c r="E3723" s="5">
        <f>IF(AND(HOUR(B3723)&gt;=6,HOUR(B3723)&lt;18),"Day Shift","Night Shift")</f>
        <v/>
      </c>
      <c r="F3723" s="6">
        <f>INT(B3723)</f>
        <v/>
      </c>
      <c r="G3723" s="6">
        <f>INT(C3723)</f>
        <v/>
      </c>
    </row>
    <row r="3724">
      <c r="A3724" s="2" t="inlineStr">
        <is>
          <t>SHE36</t>
        </is>
      </c>
      <c r="B3724" s="3" t="n">
        <v>46092.51438657408</v>
      </c>
      <c r="C3724" s="3" t="n">
        <v>46092.75</v>
      </c>
      <c r="D3724" s="4">
        <f>(C3724-B3724)*24</f>
        <v/>
      </c>
      <c r="E3724" s="5">
        <f>IF(AND(HOUR(B3724)&gt;=6,HOUR(B3724)&lt;18),"Day Shift","Night Shift")</f>
        <v/>
      </c>
      <c r="F3724" s="6">
        <f>INT(B3724)</f>
        <v/>
      </c>
      <c r="G3724" s="6">
        <f>INT(C3724)</f>
        <v/>
      </c>
    </row>
    <row r="3725">
      <c r="A3725" s="7" t="inlineStr">
        <is>
          <t>SHE36</t>
        </is>
      </c>
      <c r="B3725" s="8" t="n">
        <v>46092.75</v>
      </c>
      <c r="C3725" s="8" t="n">
        <v>46093.25</v>
      </c>
      <c r="D3725" s="9">
        <f>(C3725-B3725)*24</f>
        <v/>
      </c>
      <c r="E3725" s="10">
        <f>IF(AND(HOUR(B3725)&gt;=6,HOUR(B3725)&lt;18),"Day Shift","Night Shift")</f>
        <v/>
      </c>
      <c r="F3725" s="11">
        <f>INT(B3725)</f>
        <v/>
      </c>
      <c r="G3725" s="11">
        <f>INT(C3725)</f>
        <v/>
      </c>
    </row>
    <row r="3726">
      <c r="A3726" s="2" t="inlineStr">
        <is>
          <t>SHE36</t>
        </is>
      </c>
      <c r="B3726" s="3" t="n">
        <v>46093.25</v>
      </c>
      <c r="C3726" s="3" t="n">
        <v>46093.52888888889</v>
      </c>
      <c r="D3726" s="4">
        <f>(C3726-B3726)*24</f>
        <v/>
      </c>
      <c r="E3726" s="5">
        <f>IF(AND(HOUR(B3726)&gt;=6,HOUR(B3726)&lt;18),"Day Shift","Night Shift")</f>
        <v/>
      </c>
      <c r="F3726" s="6">
        <f>INT(B3726)</f>
        <v/>
      </c>
      <c r="G3726" s="6">
        <f>INT(C3726)</f>
        <v/>
      </c>
    </row>
    <row r="3727">
      <c r="A3727" s="2" t="inlineStr">
        <is>
          <t>Sprint 1</t>
        </is>
      </c>
      <c r="B3727" s="3" t="n">
        <v>46092.54216435185</v>
      </c>
      <c r="C3727" s="3" t="n">
        <v>46092.75</v>
      </c>
      <c r="D3727" s="4">
        <f>(C3727-B3727)*24</f>
        <v/>
      </c>
      <c r="E3727" s="5">
        <f>IF(AND(HOUR(B3727)&gt;=6,HOUR(B3727)&lt;18),"Day Shift","Night Shift")</f>
        <v/>
      </c>
      <c r="F3727" s="6">
        <f>INT(B3727)</f>
        <v/>
      </c>
      <c r="G3727" s="6">
        <f>INT(C3727)</f>
        <v/>
      </c>
    </row>
    <row r="3728">
      <c r="A3728" s="7" t="inlineStr">
        <is>
          <t>Sprint 1</t>
        </is>
      </c>
      <c r="B3728" s="8" t="n">
        <v>46092.75</v>
      </c>
      <c r="C3728" s="8" t="n">
        <v>46093.18736111111</v>
      </c>
      <c r="D3728" s="9">
        <f>(C3728-B3728)*24</f>
        <v/>
      </c>
      <c r="E3728" s="10">
        <f>IF(AND(HOUR(B3728)&gt;=6,HOUR(B3728)&lt;18),"Day Shift","Night Shift")</f>
        <v/>
      </c>
      <c r="F3728" s="11">
        <f>INT(B3728)</f>
        <v/>
      </c>
      <c r="G3728" s="11">
        <f>INT(C3728)</f>
        <v/>
      </c>
    </row>
    <row r="3729">
      <c r="A3729" s="2" t="inlineStr">
        <is>
          <t>EDD175</t>
        </is>
      </c>
      <c r="B3729" s="3" t="n">
        <v>46092.54819444445</v>
      </c>
      <c r="C3729" s="3" t="n">
        <v>46092.75</v>
      </c>
      <c r="D3729" s="4">
        <f>(C3729-B3729)*24</f>
        <v/>
      </c>
      <c r="E3729" s="5">
        <f>IF(AND(HOUR(B3729)&gt;=6,HOUR(B3729)&lt;18),"Day Shift","Night Shift")</f>
        <v/>
      </c>
      <c r="F3729" s="6">
        <f>INT(B3729)</f>
        <v/>
      </c>
      <c r="G3729" s="6">
        <f>INT(C3729)</f>
        <v/>
      </c>
    </row>
    <row r="3730">
      <c r="A3730" s="7" t="inlineStr">
        <is>
          <t>EDD175</t>
        </is>
      </c>
      <c r="B3730" s="8" t="n">
        <v>46092.75</v>
      </c>
      <c r="C3730" s="8" t="n">
        <v>46092.89362268519</v>
      </c>
      <c r="D3730" s="9">
        <f>(C3730-B3730)*24</f>
        <v/>
      </c>
      <c r="E3730" s="10">
        <f>IF(AND(HOUR(B3730)&gt;=6,HOUR(B3730)&lt;18),"Day Shift","Night Shift")</f>
        <v/>
      </c>
      <c r="F3730" s="11">
        <f>INT(B3730)</f>
        <v/>
      </c>
      <c r="G3730" s="11">
        <f>INT(C3730)</f>
        <v/>
      </c>
    </row>
    <row r="3731">
      <c r="A3731" s="2" t="inlineStr">
        <is>
          <t>Stag Drill</t>
        </is>
      </c>
      <c r="B3731" s="3" t="n">
        <v>46092.59678240741</v>
      </c>
      <c r="C3731" s="3" t="n">
        <v>46092.75</v>
      </c>
      <c r="D3731" s="4">
        <f>(C3731-B3731)*24</f>
        <v/>
      </c>
      <c r="E3731" s="5">
        <f>IF(AND(HOUR(B3731)&gt;=6,HOUR(B3731)&lt;18),"Day Shift","Night Shift")</f>
        <v/>
      </c>
      <c r="F3731" s="6">
        <f>INT(B3731)</f>
        <v/>
      </c>
      <c r="G3731" s="6">
        <f>INT(C3731)</f>
        <v/>
      </c>
    </row>
    <row r="3732">
      <c r="A3732" s="7" t="inlineStr">
        <is>
          <t>Stag Drill</t>
        </is>
      </c>
      <c r="B3732" s="8" t="n">
        <v>46092.75</v>
      </c>
      <c r="C3732" s="8" t="n">
        <v>46093.21721064814</v>
      </c>
      <c r="D3732" s="9">
        <f>(C3732-B3732)*24</f>
        <v/>
      </c>
      <c r="E3732" s="10">
        <f>IF(AND(HOUR(B3732)&gt;=6,HOUR(B3732)&lt;18),"Day Shift","Night Shift")</f>
        <v/>
      </c>
      <c r="F3732" s="11">
        <f>INT(B3732)</f>
        <v/>
      </c>
      <c r="G3732" s="11">
        <f>INT(C3732)</f>
        <v/>
      </c>
    </row>
    <row r="3733">
      <c r="A3733" s="2" t="inlineStr">
        <is>
          <t>EXD55</t>
        </is>
      </c>
      <c r="B3733" s="3" t="n">
        <v>46092.66957175926</v>
      </c>
      <c r="C3733" s="3" t="n">
        <v>46092.75</v>
      </c>
      <c r="D3733" s="4">
        <f>(C3733-B3733)*24</f>
        <v/>
      </c>
      <c r="E3733" s="5">
        <f>IF(AND(HOUR(B3733)&gt;=6,HOUR(B3733)&lt;18),"Day Shift","Night Shift")</f>
        <v/>
      </c>
      <c r="F3733" s="6">
        <f>INT(B3733)</f>
        <v/>
      </c>
      <c r="G3733" s="6">
        <f>INT(C3733)</f>
        <v/>
      </c>
    </row>
    <row r="3734">
      <c r="A3734" s="7" t="inlineStr">
        <is>
          <t>EXD55</t>
        </is>
      </c>
      <c r="B3734" s="8" t="n">
        <v>46092.75</v>
      </c>
      <c r="C3734" s="8" t="n">
        <v>46093.25</v>
      </c>
      <c r="D3734" s="9">
        <f>(C3734-B3734)*24</f>
        <v/>
      </c>
      <c r="E3734" s="10">
        <f>IF(AND(HOUR(B3734)&gt;=6,HOUR(B3734)&lt;18),"Day Shift","Night Shift")</f>
        <v/>
      </c>
      <c r="F3734" s="11">
        <f>INT(B3734)</f>
        <v/>
      </c>
      <c r="G3734" s="11">
        <f>INT(C3734)</f>
        <v/>
      </c>
    </row>
    <row r="3735">
      <c r="A3735" s="2" t="inlineStr">
        <is>
          <t>EXD55</t>
        </is>
      </c>
      <c r="B3735" s="3" t="n">
        <v>46093.25</v>
      </c>
      <c r="C3735" s="3" t="n">
        <v>46093.45063657407</v>
      </c>
      <c r="D3735" s="4">
        <f>(C3735-B3735)*24</f>
        <v/>
      </c>
      <c r="E3735" s="5">
        <f>IF(AND(HOUR(B3735)&gt;=6,HOUR(B3735)&lt;18),"Day Shift","Night Shift")</f>
        <v/>
      </c>
      <c r="F3735" s="6">
        <f>INT(B3735)</f>
        <v/>
      </c>
      <c r="G3735" s="6">
        <f>INT(C3735)</f>
        <v/>
      </c>
    </row>
    <row r="3736">
      <c r="A3736" s="2" t="inlineStr">
        <is>
          <t>EXD101</t>
        </is>
      </c>
      <c r="B3736" s="3" t="n">
        <v>46092.70572916666</v>
      </c>
      <c r="C3736" s="3" t="n">
        <v>46092.75</v>
      </c>
      <c r="D3736" s="4">
        <f>(C3736-B3736)*24</f>
        <v/>
      </c>
      <c r="E3736" s="5">
        <f>IF(AND(HOUR(B3736)&gt;=6,HOUR(B3736)&lt;18),"Day Shift","Night Shift")</f>
        <v/>
      </c>
      <c r="F3736" s="6">
        <f>INT(B3736)</f>
        <v/>
      </c>
      <c r="G3736" s="6">
        <f>INT(C3736)</f>
        <v/>
      </c>
    </row>
    <row r="3737">
      <c r="A3737" s="7" t="inlineStr">
        <is>
          <t>EXD101</t>
        </is>
      </c>
      <c r="B3737" s="8" t="n">
        <v>46092.75</v>
      </c>
      <c r="C3737" s="8" t="n">
        <v>46093.25</v>
      </c>
      <c r="D3737" s="9">
        <f>(C3737-B3737)*24</f>
        <v/>
      </c>
      <c r="E3737" s="10">
        <f>IF(AND(HOUR(B3737)&gt;=6,HOUR(B3737)&lt;18),"Day Shift","Night Shift")</f>
        <v/>
      </c>
      <c r="F3737" s="11">
        <f>INT(B3737)</f>
        <v/>
      </c>
      <c r="G3737" s="11">
        <f>INT(C3737)</f>
        <v/>
      </c>
    </row>
    <row r="3738">
      <c r="A3738" s="2" t="inlineStr">
        <is>
          <t>EXD101</t>
        </is>
      </c>
      <c r="B3738" s="3" t="n">
        <v>46093.25</v>
      </c>
      <c r="C3738" s="3" t="n">
        <v>46093.75</v>
      </c>
      <c r="D3738" s="4">
        <f>(C3738-B3738)*24</f>
        <v/>
      </c>
      <c r="E3738" s="5">
        <f>IF(AND(HOUR(B3738)&gt;=6,HOUR(B3738)&lt;18),"Day Shift","Night Shift")</f>
        <v/>
      </c>
      <c r="F3738" s="6">
        <f>INT(B3738)</f>
        <v/>
      </c>
      <c r="G3738" s="6">
        <f>INT(C3738)</f>
        <v/>
      </c>
    </row>
    <row r="3739">
      <c r="A3739" s="7" t="inlineStr">
        <is>
          <t>EXD101</t>
        </is>
      </c>
      <c r="B3739" s="8" t="n">
        <v>46093.75</v>
      </c>
      <c r="C3739" s="8" t="n">
        <v>46093.7859837963</v>
      </c>
      <c r="D3739" s="9">
        <f>(C3739-B3739)*24</f>
        <v/>
      </c>
      <c r="E3739" s="10">
        <f>IF(AND(HOUR(B3739)&gt;=6,HOUR(B3739)&lt;18),"Day Shift","Night Shift")</f>
        <v/>
      </c>
      <c r="F3739" s="11">
        <f>INT(B3739)</f>
        <v/>
      </c>
      <c r="G3739" s="11">
        <f>INT(C3739)</f>
        <v/>
      </c>
    </row>
    <row r="3740">
      <c r="A3740" s="2" t="inlineStr">
        <is>
          <t>EXD100</t>
        </is>
      </c>
      <c r="B3740" s="3" t="n">
        <v>46092.71060185185</v>
      </c>
      <c r="C3740" s="3" t="n">
        <v>46092.75</v>
      </c>
      <c r="D3740" s="4">
        <f>(C3740-B3740)*24</f>
        <v/>
      </c>
      <c r="E3740" s="5">
        <f>IF(AND(HOUR(B3740)&gt;=6,HOUR(B3740)&lt;18),"Day Shift","Night Shift")</f>
        <v/>
      </c>
      <c r="F3740" s="6">
        <f>INT(B3740)</f>
        <v/>
      </c>
      <c r="G3740" s="6">
        <f>INT(C3740)</f>
        <v/>
      </c>
    </row>
    <row r="3741">
      <c r="A3741" s="7" t="inlineStr">
        <is>
          <t>EXD100</t>
        </is>
      </c>
      <c r="B3741" s="8" t="n">
        <v>46092.75</v>
      </c>
      <c r="C3741" s="8" t="n">
        <v>46093.25</v>
      </c>
      <c r="D3741" s="9">
        <f>(C3741-B3741)*24</f>
        <v/>
      </c>
      <c r="E3741" s="10">
        <f>IF(AND(HOUR(B3741)&gt;=6,HOUR(B3741)&lt;18),"Day Shift","Night Shift")</f>
        <v/>
      </c>
      <c r="F3741" s="11">
        <f>INT(B3741)</f>
        <v/>
      </c>
      <c r="G3741" s="11">
        <f>INT(C3741)</f>
        <v/>
      </c>
    </row>
    <row r="3742">
      <c r="A3742" s="2" t="inlineStr">
        <is>
          <t>EXD100</t>
        </is>
      </c>
      <c r="B3742" s="3" t="n">
        <v>46093.25</v>
      </c>
      <c r="C3742" s="3" t="n">
        <v>46093.29802083333</v>
      </c>
      <c r="D3742" s="4">
        <f>(C3742-B3742)*24</f>
        <v/>
      </c>
      <c r="E3742" s="5">
        <f>IF(AND(HOUR(B3742)&gt;=6,HOUR(B3742)&lt;18),"Day Shift","Night Shift")</f>
        <v/>
      </c>
      <c r="F3742" s="6">
        <f>INT(B3742)</f>
        <v/>
      </c>
      <c r="G3742" s="6">
        <f>INT(C3742)</f>
        <v/>
      </c>
    </row>
    <row r="3743">
      <c r="A3743" s="7" t="inlineStr">
        <is>
          <t>EXD51</t>
        </is>
      </c>
      <c r="B3743" s="8" t="n">
        <v>46092.76018518519</v>
      </c>
      <c r="C3743" s="8" t="n">
        <v>46093.09392361111</v>
      </c>
      <c r="D3743" s="9">
        <f>(C3743-B3743)*24</f>
        <v/>
      </c>
      <c r="E3743" s="10">
        <f>IF(AND(HOUR(B3743)&gt;=6,HOUR(B3743)&lt;18),"Day Shift","Night Shift")</f>
        <v/>
      </c>
      <c r="F3743" s="11">
        <f>INT(B3743)</f>
        <v/>
      </c>
      <c r="G3743" s="11">
        <f>INT(C3743)</f>
        <v/>
      </c>
    </row>
    <row r="3744">
      <c r="A3744" s="7" t="inlineStr">
        <is>
          <t>EXD60</t>
        </is>
      </c>
      <c r="B3744" s="8" t="n">
        <v>46092.85822916667</v>
      </c>
      <c r="C3744" s="8" t="n">
        <v>46093.25</v>
      </c>
      <c r="D3744" s="9">
        <f>(C3744-B3744)*24</f>
        <v/>
      </c>
      <c r="E3744" s="10">
        <f>IF(AND(HOUR(B3744)&gt;=6,HOUR(B3744)&lt;18),"Day Shift","Night Shift")</f>
        <v/>
      </c>
      <c r="F3744" s="11">
        <f>INT(B3744)</f>
        <v/>
      </c>
      <c r="G3744" s="11">
        <f>INT(C3744)</f>
        <v/>
      </c>
    </row>
    <row r="3745">
      <c r="A3745" s="2" t="inlineStr">
        <is>
          <t>EXD60</t>
        </is>
      </c>
      <c r="B3745" s="3" t="n">
        <v>46093.25</v>
      </c>
      <c r="C3745" s="3" t="n">
        <v>46093.75</v>
      </c>
      <c r="D3745" s="4">
        <f>(C3745-B3745)*24</f>
        <v/>
      </c>
      <c r="E3745" s="5">
        <f>IF(AND(HOUR(B3745)&gt;=6,HOUR(B3745)&lt;18),"Day Shift","Night Shift")</f>
        <v/>
      </c>
      <c r="F3745" s="6">
        <f>INT(B3745)</f>
        <v/>
      </c>
      <c r="G3745" s="6">
        <f>INT(C3745)</f>
        <v/>
      </c>
    </row>
    <row r="3746">
      <c r="A3746" s="7" t="inlineStr">
        <is>
          <t>EXD60</t>
        </is>
      </c>
      <c r="B3746" s="8" t="n">
        <v>46093.75</v>
      </c>
      <c r="C3746" s="8" t="n">
        <v>46094.25</v>
      </c>
      <c r="D3746" s="9">
        <f>(C3746-B3746)*24</f>
        <v/>
      </c>
      <c r="E3746" s="10">
        <f>IF(AND(HOUR(B3746)&gt;=6,HOUR(B3746)&lt;18),"Day Shift","Night Shift")</f>
        <v/>
      </c>
      <c r="F3746" s="11">
        <f>INT(B3746)</f>
        <v/>
      </c>
      <c r="G3746" s="11">
        <f>INT(C3746)</f>
        <v/>
      </c>
    </row>
    <row r="3747">
      <c r="A3747" s="2" t="inlineStr">
        <is>
          <t>EXD60</t>
        </is>
      </c>
      <c r="B3747" s="3" t="n">
        <v>46094.25</v>
      </c>
      <c r="C3747" s="3" t="n">
        <v>46094.75</v>
      </c>
      <c r="D3747" s="4">
        <f>(C3747-B3747)*24</f>
        <v/>
      </c>
      <c r="E3747" s="5">
        <f>IF(AND(HOUR(B3747)&gt;=6,HOUR(B3747)&lt;18),"Day Shift","Night Shift")</f>
        <v/>
      </c>
      <c r="F3747" s="6">
        <f>INT(B3747)</f>
        <v/>
      </c>
      <c r="G3747" s="6">
        <f>INT(C3747)</f>
        <v/>
      </c>
    </row>
    <row r="3748">
      <c r="A3748" s="7" t="inlineStr">
        <is>
          <t>EXD60</t>
        </is>
      </c>
      <c r="B3748" s="8" t="n">
        <v>46094.75</v>
      </c>
      <c r="C3748" s="8" t="n">
        <v>46095.25</v>
      </c>
      <c r="D3748" s="9">
        <f>(C3748-B3748)*24</f>
        <v/>
      </c>
      <c r="E3748" s="10">
        <f>IF(AND(HOUR(B3748)&gt;=6,HOUR(B3748)&lt;18),"Day Shift","Night Shift")</f>
        <v/>
      </c>
      <c r="F3748" s="11">
        <f>INT(B3748)</f>
        <v/>
      </c>
      <c r="G3748" s="11">
        <f>INT(C3748)</f>
        <v/>
      </c>
    </row>
    <row r="3749">
      <c r="A3749" s="2" t="inlineStr">
        <is>
          <t>EXD60</t>
        </is>
      </c>
      <c r="B3749" s="3" t="n">
        <v>46095.25</v>
      </c>
      <c r="C3749" s="3" t="n">
        <v>46095.75</v>
      </c>
      <c r="D3749" s="4">
        <f>(C3749-B3749)*24</f>
        <v/>
      </c>
      <c r="E3749" s="5">
        <f>IF(AND(HOUR(B3749)&gt;=6,HOUR(B3749)&lt;18),"Day Shift","Night Shift")</f>
        <v/>
      </c>
      <c r="F3749" s="6">
        <f>INT(B3749)</f>
        <v/>
      </c>
      <c r="G3749" s="6">
        <f>INT(C3749)</f>
        <v/>
      </c>
    </row>
    <row r="3750">
      <c r="A3750" s="7" t="inlineStr">
        <is>
          <t>EXD60</t>
        </is>
      </c>
      <c r="B3750" s="8" t="n">
        <v>46095.75</v>
      </c>
      <c r="C3750" s="8" t="n">
        <v>46096.05219907407</v>
      </c>
      <c r="D3750" s="9">
        <f>(C3750-B3750)*24</f>
        <v/>
      </c>
      <c r="E3750" s="10">
        <f>IF(AND(HOUR(B3750)&gt;=6,HOUR(B3750)&lt;18),"Day Shift","Night Shift")</f>
        <v/>
      </c>
      <c r="F3750" s="11">
        <f>INT(B3750)</f>
        <v/>
      </c>
      <c r="G3750" s="11">
        <f>INT(C3750)</f>
        <v/>
      </c>
    </row>
    <row r="3751">
      <c r="A3751" s="7" t="inlineStr">
        <is>
          <t>EDD2134;EDD2541;EDD812</t>
        </is>
      </c>
      <c r="B3751" s="8" t="n">
        <v>46092.90655092592</v>
      </c>
      <c r="C3751" s="8" t="n">
        <v>46093.25</v>
      </c>
      <c r="D3751" s="9">
        <f>(C3751-B3751)*24</f>
        <v/>
      </c>
      <c r="E3751" s="10">
        <f>IF(AND(HOUR(B3751)&gt;=6,HOUR(B3751)&lt;18),"Day Shift","Night Shift")</f>
        <v/>
      </c>
      <c r="F3751" s="11">
        <f>INT(B3751)</f>
        <v/>
      </c>
      <c r="G3751" s="11">
        <f>INT(C3751)</f>
        <v/>
      </c>
    </row>
    <row r="3752">
      <c r="A3752" s="2" t="inlineStr">
        <is>
          <t>EDD2134;EDD2541;EDD812</t>
        </is>
      </c>
      <c r="B3752" s="3" t="n">
        <v>46093.25</v>
      </c>
      <c r="C3752" s="3" t="n">
        <v>46093.34479166667</v>
      </c>
      <c r="D3752" s="4">
        <f>(C3752-B3752)*24</f>
        <v/>
      </c>
      <c r="E3752" s="5">
        <f>IF(AND(HOUR(B3752)&gt;=6,HOUR(B3752)&lt;18),"Day Shift","Night Shift")</f>
        <v/>
      </c>
      <c r="F3752" s="6">
        <f>INT(B3752)</f>
        <v/>
      </c>
      <c r="G3752" s="6">
        <f>INT(C3752)</f>
        <v/>
      </c>
    </row>
    <row r="3753">
      <c r="A3753" s="7" t="inlineStr">
        <is>
          <t>EDD175;EDD1932</t>
        </is>
      </c>
      <c r="B3753" s="8" t="n">
        <v>46092.99465277778</v>
      </c>
      <c r="C3753" s="8" t="n">
        <v>46093.16623842593</v>
      </c>
      <c r="D3753" s="9">
        <f>(C3753-B3753)*24</f>
        <v/>
      </c>
      <c r="E3753" s="10">
        <f>IF(AND(HOUR(B3753)&gt;=6,HOUR(B3753)&lt;18),"Day Shift","Night Shift")</f>
        <v/>
      </c>
      <c r="F3753" s="11">
        <f>INT(B3753)</f>
        <v/>
      </c>
      <c r="G3753" s="11">
        <f>INT(C3753)</f>
        <v/>
      </c>
    </row>
    <row r="3754">
      <c r="A3754" s="7" t="inlineStr">
        <is>
          <t>EXD51;EXD55</t>
        </is>
      </c>
      <c r="B3754" s="8" t="n">
        <v>46093.09392361111</v>
      </c>
      <c r="C3754" s="8" t="n">
        <v>46093.25</v>
      </c>
      <c r="D3754" s="9">
        <f>(C3754-B3754)*24</f>
        <v/>
      </c>
      <c r="E3754" s="10">
        <f>IF(AND(HOUR(B3754)&gt;=6,HOUR(B3754)&lt;18),"Day Shift","Night Shift")</f>
        <v/>
      </c>
      <c r="F3754" s="11">
        <f>INT(B3754)</f>
        <v/>
      </c>
      <c r="G3754" s="11">
        <f>INT(C3754)</f>
        <v/>
      </c>
    </row>
    <row r="3755">
      <c r="A3755" s="2" t="inlineStr">
        <is>
          <t>EXD51;EXD55</t>
        </is>
      </c>
      <c r="B3755" s="3" t="n">
        <v>46093.25</v>
      </c>
      <c r="C3755" s="3" t="n">
        <v>46093.59046296297</v>
      </c>
      <c r="D3755" s="4">
        <f>(C3755-B3755)*24</f>
        <v/>
      </c>
      <c r="E3755" s="5">
        <f>IF(AND(HOUR(B3755)&gt;=6,HOUR(B3755)&lt;18),"Day Shift","Night Shift")</f>
        <v/>
      </c>
      <c r="F3755" s="6">
        <f>INT(B3755)</f>
        <v/>
      </c>
      <c r="G3755" s="6">
        <f>INT(C3755)</f>
        <v/>
      </c>
    </row>
    <row r="3756">
      <c r="A3756" s="7" t="inlineStr">
        <is>
          <t>EXD98</t>
        </is>
      </c>
      <c r="B3756" s="8" t="n">
        <v>46093.10371527778</v>
      </c>
      <c r="C3756" s="8" t="n">
        <v>46093.25</v>
      </c>
      <c r="D3756" s="9">
        <f>(C3756-B3756)*24</f>
        <v/>
      </c>
      <c r="E3756" s="10">
        <f>IF(AND(HOUR(B3756)&gt;=6,HOUR(B3756)&lt;18),"Day Shift","Night Shift")</f>
        <v/>
      </c>
      <c r="F3756" s="11">
        <f>INT(B3756)</f>
        <v/>
      </c>
      <c r="G3756" s="11">
        <f>INT(C3756)</f>
        <v/>
      </c>
    </row>
    <row r="3757">
      <c r="A3757" s="2" t="inlineStr">
        <is>
          <t>EXD98</t>
        </is>
      </c>
      <c r="B3757" s="3" t="n">
        <v>46093.25</v>
      </c>
      <c r="C3757" s="3" t="n">
        <v>46093.29481481481</v>
      </c>
      <c r="D3757" s="4">
        <f>(C3757-B3757)*24</f>
        <v/>
      </c>
      <c r="E3757" s="5">
        <f>IF(AND(HOUR(B3757)&gt;=6,HOUR(B3757)&lt;18),"Day Shift","Night Shift")</f>
        <v/>
      </c>
      <c r="F3757" s="6">
        <f>INT(B3757)</f>
        <v/>
      </c>
      <c r="G3757" s="6">
        <f>INT(C3757)</f>
        <v/>
      </c>
    </row>
    <row r="3758">
      <c r="A3758" s="7" t="inlineStr">
        <is>
          <t>Sprint 1</t>
        </is>
      </c>
      <c r="B3758" s="8" t="n">
        <v>46093.18736111111</v>
      </c>
      <c r="C3758" s="8" t="n">
        <v>46093.25</v>
      </c>
      <c r="D3758" s="9">
        <f>(C3758-B3758)*24</f>
        <v/>
      </c>
      <c r="E3758" s="10">
        <f>IF(AND(HOUR(B3758)&gt;=6,HOUR(B3758)&lt;18),"Day Shift","Night Shift")</f>
        <v/>
      </c>
      <c r="F3758" s="11">
        <f>INT(B3758)</f>
        <v/>
      </c>
      <c r="G3758" s="11">
        <f>INT(C3758)</f>
        <v/>
      </c>
    </row>
    <row r="3759">
      <c r="A3759" s="2" t="inlineStr">
        <is>
          <t>Sprint 1</t>
        </is>
      </c>
      <c r="B3759" s="3" t="n">
        <v>46093.25</v>
      </c>
      <c r="C3759" s="3" t="n">
        <v>46093.75</v>
      </c>
      <c r="D3759" s="4">
        <f>(C3759-B3759)*24</f>
        <v/>
      </c>
      <c r="E3759" s="5">
        <f>IF(AND(HOUR(B3759)&gt;=6,HOUR(B3759)&lt;18),"Day Shift","Night Shift")</f>
        <v/>
      </c>
      <c r="F3759" s="6">
        <f>INT(B3759)</f>
        <v/>
      </c>
      <c r="G3759" s="6">
        <f>INT(C3759)</f>
        <v/>
      </c>
    </row>
    <row r="3760">
      <c r="A3760" s="7" t="inlineStr">
        <is>
          <t>Sprint 1</t>
        </is>
      </c>
      <c r="B3760" s="8" t="n">
        <v>46093.75</v>
      </c>
      <c r="C3760" s="8" t="n">
        <v>46093.80957175926</v>
      </c>
      <c r="D3760" s="9">
        <f>(C3760-B3760)*24</f>
        <v/>
      </c>
      <c r="E3760" s="10">
        <f>IF(AND(HOUR(B3760)&gt;=6,HOUR(B3760)&lt;18),"Day Shift","Night Shift")</f>
        <v/>
      </c>
      <c r="F3760" s="11">
        <f>INT(B3760)</f>
        <v/>
      </c>
      <c r="G3760" s="11">
        <f>INT(C3760)</f>
        <v/>
      </c>
    </row>
    <row r="3761">
      <c r="A3761" s="2" t="inlineStr">
        <is>
          <t>DRE08</t>
        </is>
      </c>
      <c r="B3761" s="3" t="n">
        <v>46093.26445601852</v>
      </c>
      <c r="C3761" s="3" t="n">
        <v>46093.75</v>
      </c>
      <c r="D3761" s="4">
        <f>(C3761-B3761)*24</f>
        <v/>
      </c>
      <c r="E3761" s="5">
        <f>IF(AND(HOUR(B3761)&gt;=6,HOUR(B3761)&lt;18),"Day Shift","Night Shift")</f>
        <v/>
      </c>
      <c r="F3761" s="6">
        <f>INT(B3761)</f>
        <v/>
      </c>
      <c r="G3761" s="6">
        <f>INT(C3761)</f>
        <v/>
      </c>
    </row>
    <row r="3762">
      <c r="A3762" s="7" t="inlineStr">
        <is>
          <t>DRE08</t>
        </is>
      </c>
      <c r="B3762" s="8" t="n">
        <v>46093.75</v>
      </c>
      <c r="C3762" s="8" t="n">
        <v>46094.25</v>
      </c>
      <c r="D3762" s="9">
        <f>(C3762-B3762)*24</f>
        <v/>
      </c>
      <c r="E3762" s="10">
        <f>IF(AND(HOUR(B3762)&gt;=6,HOUR(B3762)&lt;18),"Day Shift","Night Shift")</f>
        <v/>
      </c>
      <c r="F3762" s="11">
        <f>INT(B3762)</f>
        <v/>
      </c>
      <c r="G3762" s="11">
        <f>INT(C3762)</f>
        <v/>
      </c>
    </row>
    <row r="3763">
      <c r="A3763" s="2" t="inlineStr">
        <is>
          <t>DRE08</t>
        </is>
      </c>
      <c r="B3763" s="3" t="n">
        <v>46094.25</v>
      </c>
      <c r="C3763" s="3" t="n">
        <v>46094.75</v>
      </c>
      <c r="D3763" s="4">
        <f>(C3763-B3763)*24</f>
        <v/>
      </c>
      <c r="E3763" s="5">
        <f>IF(AND(HOUR(B3763)&gt;=6,HOUR(B3763)&lt;18),"Day Shift","Night Shift")</f>
        <v/>
      </c>
      <c r="F3763" s="6">
        <f>INT(B3763)</f>
        <v/>
      </c>
      <c r="G3763" s="6">
        <f>INT(C3763)</f>
        <v/>
      </c>
    </row>
    <row r="3764">
      <c r="A3764" s="7" t="inlineStr">
        <is>
          <t>DRE08</t>
        </is>
      </c>
      <c r="B3764" s="8" t="n">
        <v>46094.75</v>
      </c>
      <c r="C3764" s="8" t="n">
        <v>46095.25</v>
      </c>
      <c r="D3764" s="9">
        <f>(C3764-B3764)*24</f>
        <v/>
      </c>
      <c r="E3764" s="10">
        <f>IF(AND(HOUR(B3764)&gt;=6,HOUR(B3764)&lt;18),"Day Shift","Night Shift")</f>
        <v/>
      </c>
      <c r="F3764" s="11">
        <f>INT(B3764)</f>
        <v/>
      </c>
      <c r="G3764" s="11">
        <f>INT(C3764)</f>
        <v/>
      </c>
    </row>
    <row r="3765">
      <c r="A3765" s="2" t="inlineStr">
        <is>
          <t>DRE08</t>
        </is>
      </c>
      <c r="B3765" s="3" t="n">
        <v>46095.25</v>
      </c>
      <c r="C3765" s="3" t="n">
        <v>46095.75</v>
      </c>
      <c r="D3765" s="4">
        <f>(C3765-B3765)*24</f>
        <v/>
      </c>
      <c r="E3765" s="5">
        <f>IF(AND(HOUR(B3765)&gt;=6,HOUR(B3765)&lt;18),"Day Shift","Night Shift")</f>
        <v/>
      </c>
      <c r="F3765" s="6">
        <f>INT(B3765)</f>
        <v/>
      </c>
      <c r="G3765" s="6">
        <f>INT(C3765)</f>
        <v/>
      </c>
    </row>
    <row r="3766">
      <c r="A3766" s="7" t="inlineStr">
        <is>
          <t>DRE08</t>
        </is>
      </c>
      <c r="B3766" s="8" t="n">
        <v>46095.75</v>
      </c>
      <c r="C3766" s="8" t="n">
        <v>46096.25</v>
      </c>
      <c r="D3766" s="9">
        <f>(C3766-B3766)*24</f>
        <v/>
      </c>
      <c r="E3766" s="10">
        <f>IF(AND(HOUR(B3766)&gt;=6,HOUR(B3766)&lt;18),"Day Shift","Night Shift")</f>
        <v/>
      </c>
      <c r="F3766" s="11">
        <f>INT(B3766)</f>
        <v/>
      </c>
      <c r="G3766" s="11">
        <f>INT(C3766)</f>
        <v/>
      </c>
    </row>
    <row r="3767">
      <c r="A3767" s="2" t="inlineStr">
        <is>
          <t>DRE08</t>
        </is>
      </c>
      <c r="B3767" s="3" t="n">
        <v>46096.25</v>
      </c>
      <c r="C3767" s="3" t="n">
        <v>46096.75</v>
      </c>
      <c r="D3767" s="4">
        <f>(C3767-B3767)*24</f>
        <v/>
      </c>
      <c r="E3767" s="5">
        <f>IF(AND(HOUR(B3767)&gt;=6,HOUR(B3767)&lt;18),"Day Shift","Night Shift")</f>
        <v/>
      </c>
      <c r="F3767" s="6">
        <f>INT(B3767)</f>
        <v/>
      </c>
      <c r="G3767" s="6">
        <f>INT(C3767)</f>
        <v/>
      </c>
    </row>
    <row r="3768">
      <c r="A3768" s="7" t="inlineStr">
        <is>
          <t>DRE08</t>
        </is>
      </c>
      <c r="B3768" s="8" t="n">
        <v>46096.75</v>
      </c>
      <c r="C3768" s="8" t="n">
        <v>46096.87814814815</v>
      </c>
      <c r="D3768" s="9">
        <f>(C3768-B3768)*24</f>
        <v/>
      </c>
      <c r="E3768" s="10">
        <f>IF(AND(HOUR(B3768)&gt;=6,HOUR(B3768)&lt;18),"Day Shift","Night Shift")</f>
        <v/>
      </c>
      <c r="F3768" s="11">
        <f>INT(B3768)</f>
        <v/>
      </c>
      <c r="G3768" s="11">
        <f>INT(C3768)</f>
        <v/>
      </c>
    </row>
    <row r="3769">
      <c r="A3769" s="2" t="inlineStr">
        <is>
          <t>EDD175;EDD1932</t>
        </is>
      </c>
      <c r="B3769" s="3" t="n">
        <v>46093.28653935185</v>
      </c>
      <c r="C3769" s="3" t="n">
        <v>46093.41996527778</v>
      </c>
      <c r="D3769" s="4">
        <f>(C3769-B3769)*24</f>
        <v/>
      </c>
      <c r="E3769" s="5">
        <f>IF(AND(HOUR(B3769)&gt;=6,HOUR(B3769)&lt;18),"Day Shift","Night Shift")</f>
        <v/>
      </c>
      <c r="F3769" s="6">
        <f>INT(B3769)</f>
        <v/>
      </c>
      <c r="G3769" s="6">
        <f>INT(C3769)</f>
        <v/>
      </c>
    </row>
    <row r="3770">
      <c r="A3770" s="2" t="inlineStr">
        <is>
          <t>EXD98</t>
        </is>
      </c>
      <c r="B3770" s="3" t="n">
        <v>46093.29481481481</v>
      </c>
      <c r="C3770" s="3" t="n">
        <v>46093.75</v>
      </c>
      <c r="D3770" s="4">
        <f>(C3770-B3770)*24</f>
        <v/>
      </c>
      <c r="E3770" s="5">
        <f>IF(AND(HOUR(B3770)&gt;=6,HOUR(B3770)&lt;18),"Day Shift","Night Shift")</f>
        <v/>
      </c>
      <c r="F3770" s="6">
        <f>INT(B3770)</f>
        <v/>
      </c>
      <c r="G3770" s="6">
        <f>INT(C3770)</f>
        <v/>
      </c>
    </row>
    <row r="3771">
      <c r="A3771" s="7" t="inlineStr">
        <is>
          <t>EXD98</t>
        </is>
      </c>
      <c r="B3771" s="8" t="n">
        <v>46093.75</v>
      </c>
      <c r="C3771" s="8" t="n">
        <v>46094.03603009259</v>
      </c>
      <c r="D3771" s="9">
        <f>(C3771-B3771)*24</f>
        <v/>
      </c>
      <c r="E3771" s="10">
        <f>IF(AND(HOUR(B3771)&gt;=6,HOUR(B3771)&lt;18),"Day Shift","Night Shift")</f>
        <v/>
      </c>
      <c r="F3771" s="11">
        <f>INT(B3771)</f>
        <v/>
      </c>
      <c r="G3771" s="11">
        <f>INT(C3771)</f>
        <v/>
      </c>
    </row>
    <row r="3772">
      <c r="A3772" s="2" t="inlineStr">
        <is>
          <t>EXD100</t>
        </is>
      </c>
      <c r="B3772" s="3" t="n">
        <v>46093.29802083333</v>
      </c>
      <c r="C3772" s="3" t="n">
        <v>46093.75</v>
      </c>
      <c r="D3772" s="4">
        <f>(C3772-B3772)*24</f>
        <v/>
      </c>
      <c r="E3772" s="5">
        <f>IF(AND(HOUR(B3772)&gt;=6,HOUR(B3772)&lt;18),"Day Shift","Night Shift")</f>
        <v/>
      </c>
      <c r="F3772" s="6">
        <f>INT(B3772)</f>
        <v/>
      </c>
      <c r="G3772" s="6">
        <f>INT(C3772)</f>
        <v/>
      </c>
    </row>
    <row r="3773">
      <c r="A3773" s="7" t="inlineStr">
        <is>
          <t>EXD100</t>
        </is>
      </c>
      <c r="B3773" s="8" t="n">
        <v>46093.75</v>
      </c>
      <c r="C3773" s="8" t="n">
        <v>46093.8874537037</v>
      </c>
      <c r="D3773" s="9">
        <f>(C3773-B3773)*24</f>
        <v/>
      </c>
      <c r="E3773" s="10">
        <f>IF(AND(HOUR(B3773)&gt;=6,HOUR(B3773)&lt;18),"Day Shift","Night Shift")</f>
        <v/>
      </c>
      <c r="F3773" s="11">
        <f>INT(B3773)</f>
        <v/>
      </c>
      <c r="G3773" s="11">
        <f>INT(C3773)</f>
        <v/>
      </c>
    </row>
    <row r="3774">
      <c r="A3774" s="2" t="inlineStr">
        <is>
          <t>EDD2134;EDD812;EDD2541;EDD175;EDD1932</t>
        </is>
      </c>
      <c r="B3774" s="3" t="n">
        <v>46093.34479166667</v>
      </c>
      <c r="C3774" s="3" t="n">
        <v>46093.75</v>
      </c>
      <c r="D3774" s="4">
        <f>(C3774-B3774)*24</f>
        <v/>
      </c>
      <c r="E3774" s="5">
        <f>IF(AND(HOUR(B3774)&gt;=6,HOUR(B3774)&lt;18),"Day Shift","Night Shift")</f>
        <v/>
      </c>
      <c r="F3774" s="6">
        <f>INT(B3774)</f>
        <v/>
      </c>
      <c r="G3774" s="6">
        <f>INT(C3774)</f>
        <v/>
      </c>
    </row>
    <row r="3775">
      <c r="A3775" s="7" t="inlineStr">
        <is>
          <t>EDD2134;EDD812;EDD2541;EDD175;EDD1932</t>
        </is>
      </c>
      <c r="B3775" s="8" t="n">
        <v>46093.75</v>
      </c>
      <c r="C3775" s="8" t="n">
        <v>46093.78638888889</v>
      </c>
      <c r="D3775" s="9">
        <f>(C3775-B3775)*24</f>
        <v/>
      </c>
      <c r="E3775" s="10">
        <f>IF(AND(HOUR(B3775)&gt;=6,HOUR(B3775)&lt;18),"Day Shift","Night Shift")</f>
        <v/>
      </c>
      <c r="F3775" s="11">
        <f>INT(B3775)</f>
        <v/>
      </c>
      <c r="G3775" s="11">
        <f>INT(C3775)</f>
        <v/>
      </c>
    </row>
    <row r="3776">
      <c r="A3776" s="2" t="inlineStr">
        <is>
          <t>EXD73</t>
        </is>
      </c>
      <c r="B3776" s="3" t="n">
        <v>46093.46465277778</v>
      </c>
      <c r="C3776" s="3" t="n">
        <v>46093.75</v>
      </c>
      <c r="D3776" s="4">
        <f>(C3776-B3776)*24</f>
        <v/>
      </c>
      <c r="E3776" s="5">
        <f>IF(AND(HOUR(B3776)&gt;=6,HOUR(B3776)&lt;18),"Day Shift","Night Shift")</f>
        <v/>
      </c>
      <c r="F3776" s="6">
        <f>INT(B3776)</f>
        <v/>
      </c>
      <c r="G3776" s="6">
        <f>INT(C3776)</f>
        <v/>
      </c>
    </row>
    <row r="3777">
      <c r="A3777" s="7" t="inlineStr">
        <is>
          <t>EXD73</t>
        </is>
      </c>
      <c r="B3777" s="8" t="n">
        <v>46093.75</v>
      </c>
      <c r="C3777" s="8" t="n">
        <v>46094.25</v>
      </c>
      <c r="D3777" s="9">
        <f>(C3777-B3777)*24</f>
        <v/>
      </c>
      <c r="E3777" s="10">
        <f>IF(AND(HOUR(B3777)&gt;=6,HOUR(B3777)&lt;18),"Day Shift","Night Shift")</f>
        <v/>
      </c>
      <c r="F3777" s="11">
        <f>INT(B3777)</f>
        <v/>
      </c>
      <c r="G3777" s="11">
        <f>INT(C3777)</f>
        <v/>
      </c>
    </row>
    <row r="3778">
      <c r="A3778" s="2" t="inlineStr">
        <is>
          <t>EXD73</t>
        </is>
      </c>
      <c r="B3778" s="3" t="n">
        <v>46094.25</v>
      </c>
      <c r="C3778" s="3" t="n">
        <v>46094.70320601852</v>
      </c>
      <c r="D3778" s="4">
        <f>(C3778-B3778)*24</f>
        <v/>
      </c>
      <c r="E3778" s="5">
        <f>IF(AND(HOUR(B3778)&gt;=6,HOUR(B3778)&lt;18),"Day Shift","Night Shift")</f>
        <v/>
      </c>
      <c r="F3778" s="6">
        <f>INT(B3778)</f>
        <v/>
      </c>
      <c r="G3778" s="6">
        <f>INT(C3778)</f>
        <v/>
      </c>
    </row>
    <row r="3779">
      <c r="A3779" s="2" t="inlineStr">
        <is>
          <t>EXD408</t>
        </is>
      </c>
      <c r="B3779" s="3" t="n">
        <v>46093.47707175926</v>
      </c>
      <c r="C3779" s="3" t="n">
        <v>46093.75</v>
      </c>
      <c r="D3779" s="4">
        <f>(C3779-B3779)*24</f>
        <v/>
      </c>
      <c r="E3779" s="5">
        <f>IF(AND(HOUR(B3779)&gt;=6,HOUR(B3779)&lt;18),"Day Shift","Night Shift")</f>
        <v/>
      </c>
      <c r="F3779" s="6">
        <f>INT(B3779)</f>
        <v/>
      </c>
      <c r="G3779" s="6">
        <f>INT(C3779)</f>
        <v/>
      </c>
    </row>
    <row r="3780">
      <c r="A3780" s="7" t="inlineStr">
        <is>
          <t>EXD408</t>
        </is>
      </c>
      <c r="B3780" s="8" t="n">
        <v>46093.75</v>
      </c>
      <c r="C3780" s="8" t="n">
        <v>46094.25</v>
      </c>
      <c r="D3780" s="9">
        <f>(C3780-B3780)*24</f>
        <v/>
      </c>
      <c r="E3780" s="10">
        <f>IF(AND(HOUR(B3780)&gt;=6,HOUR(B3780)&lt;18),"Day Shift","Night Shift")</f>
        <v/>
      </c>
      <c r="F3780" s="11">
        <f>INT(B3780)</f>
        <v/>
      </c>
      <c r="G3780" s="11">
        <f>INT(C3780)</f>
        <v/>
      </c>
    </row>
    <row r="3781">
      <c r="A3781" s="2" t="inlineStr">
        <is>
          <t>EXD408</t>
        </is>
      </c>
      <c r="B3781" s="3" t="n">
        <v>46094.25</v>
      </c>
      <c r="C3781" s="3" t="n">
        <v>46094.75</v>
      </c>
      <c r="D3781" s="4">
        <f>(C3781-B3781)*24</f>
        <v/>
      </c>
      <c r="E3781" s="5">
        <f>IF(AND(HOUR(B3781)&gt;=6,HOUR(B3781)&lt;18),"Day Shift","Night Shift")</f>
        <v/>
      </c>
      <c r="F3781" s="6">
        <f>INT(B3781)</f>
        <v/>
      </c>
      <c r="G3781" s="6">
        <f>INT(C3781)</f>
        <v/>
      </c>
    </row>
    <row r="3782">
      <c r="A3782" s="7" t="inlineStr">
        <is>
          <t>EXD408</t>
        </is>
      </c>
      <c r="B3782" s="8" t="n">
        <v>46094.75</v>
      </c>
      <c r="C3782" s="8" t="n">
        <v>46094.94645833333</v>
      </c>
      <c r="D3782" s="9">
        <f>(C3782-B3782)*24</f>
        <v/>
      </c>
      <c r="E3782" s="10">
        <f>IF(AND(HOUR(B3782)&gt;=6,HOUR(B3782)&lt;18),"Day Shift","Night Shift")</f>
        <v/>
      </c>
      <c r="F3782" s="11">
        <f>INT(B3782)</f>
        <v/>
      </c>
      <c r="G3782" s="11">
        <f>INT(C3782)</f>
        <v/>
      </c>
    </row>
    <row r="3783">
      <c r="A3783" s="2" t="inlineStr">
        <is>
          <t>EXD409</t>
        </is>
      </c>
      <c r="B3783" s="3" t="n">
        <v>46093.5090625</v>
      </c>
      <c r="C3783" s="3" t="n">
        <v>46093.75</v>
      </c>
      <c r="D3783" s="4">
        <f>(C3783-B3783)*24</f>
        <v/>
      </c>
      <c r="E3783" s="5">
        <f>IF(AND(HOUR(B3783)&gt;=6,HOUR(B3783)&lt;18),"Day Shift","Night Shift")</f>
        <v/>
      </c>
      <c r="F3783" s="6">
        <f>INT(B3783)</f>
        <v/>
      </c>
      <c r="G3783" s="6">
        <f>INT(C3783)</f>
        <v/>
      </c>
    </row>
    <row r="3784">
      <c r="A3784" s="7" t="inlineStr">
        <is>
          <t>EXD409</t>
        </is>
      </c>
      <c r="B3784" s="8" t="n">
        <v>46093.75</v>
      </c>
      <c r="C3784" s="8" t="n">
        <v>46094.25</v>
      </c>
      <c r="D3784" s="9">
        <f>(C3784-B3784)*24</f>
        <v/>
      </c>
      <c r="E3784" s="10">
        <f>IF(AND(HOUR(B3784)&gt;=6,HOUR(B3784)&lt;18),"Day Shift","Night Shift")</f>
        <v/>
      </c>
      <c r="F3784" s="11">
        <f>INT(B3784)</f>
        <v/>
      </c>
      <c r="G3784" s="11">
        <f>INT(C3784)</f>
        <v/>
      </c>
    </row>
    <row r="3785">
      <c r="A3785" s="2" t="inlineStr">
        <is>
          <t>EXD409</t>
        </is>
      </c>
      <c r="B3785" s="3" t="n">
        <v>46094.25</v>
      </c>
      <c r="C3785" s="3" t="n">
        <v>46094.75</v>
      </c>
      <c r="D3785" s="4">
        <f>(C3785-B3785)*24</f>
        <v/>
      </c>
      <c r="E3785" s="5">
        <f>IF(AND(HOUR(B3785)&gt;=6,HOUR(B3785)&lt;18),"Day Shift","Night Shift")</f>
        <v/>
      </c>
      <c r="F3785" s="6">
        <f>INT(B3785)</f>
        <v/>
      </c>
      <c r="G3785" s="6">
        <f>INT(C3785)</f>
        <v/>
      </c>
    </row>
    <row r="3786">
      <c r="A3786" s="7" t="inlineStr">
        <is>
          <t>EXD409</t>
        </is>
      </c>
      <c r="B3786" s="8" t="n">
        <v>46094.75</v>
      </c>
      <c r="C3786" s="8" t="n">
        <v>46095.08659722222</v>
      </c>
      <c r="D3786" s="9">
        <f>(C3786-B3786)*24</f>
        <v/>
      </c>
      <c r="E3786" s="10">
        <f>IF(AND(HOUR(B3786)&gt;=6,HOUR(B3786)&lt;18),"Day Shift","Night Shift")</f>
        <v/>
      </c>
      <c r="F3786" s="11">
        <f>INT(B3786)</f>
        <v/>
      </c>
      <c r="G3786" s="11">
        <f>INT(C3786)</f>
        <v/>
      </c>
    </row>
    <row r="3787">
      <c r="A3787" s="2" t="inlineStr">
        <is>
          <t>EDD175;EDD1932</t>
        </is>
      </c>
      <c r="B3787" s="3" t="n">
        <v>46093.53726851852</v>
      </c>
      <c r="C3787" s="3" t="n">
        <v>46093.67237268519</v>
      </c>
      <c r="D3787" s="4">
        <f>(C3787-B3787)*24</f>
        <v/>
      </c>
      <c r="E3787" s="5">
        <f>IF(AND(HOUR(B3787)&gt;=6,HOUR(B3787)&lt;18),"Day Shift","Night Shift")</f>
        <v/>
      </c>
      <c r="F3787" s="6">
        <f>INT(B3787)</f>
        <v/>
      </c>
      <c r="G3787" s="6">
        <f>INT(C3787)</f>
        <v/>
      </c>
    </row>
    <row r="3788">
      <c r="A3788" s="2" t="inlineStr">
        <is>
          <t>EXD55;EXD51</t>
        </is>
      </c>
      <c r="B3788" s="3" t="n">
        <v>46093.59046296297</v>
      </c>
      <c r="C3788" s="3" t="n">
        <v>46093.75</v>
      </c>
      <c r="D3788" s="4">
        <f>(C3788-B3788)*24</f>
        <v/>
      </c>
      <c r="E3788" s="5">
        <f>IF(AND(HOUR(B3788)&gt;=6,HOUR(B3788)&lt;18),"Day Shift","Night Shift")</f>
        <v/>
      </c>
      <c r="F3788" s="6">
        <f>INT(B3788)</f>
        <v/>
      </c>
      <c r="G3788" s="6">
        <f>INT(C3788)</f>
        <v/>
      </c>
    </row>
    <row r="3789">
      <c r="A3789" s="7" t="inlineStr">
        <is>
          <t>EXD55;EXD51</t>
        </is>
      </c>
      <c r="B3789" s="8" t="n">
        <v>46093.75</v>
      </c>
      <c r="C3789" s="8" t="n">
        <v>46093.8347337963</v>
      </c>
      <c r="D3789" s="9">
        <f>(C3789-B3789)*24</f>
        <v/>
      </c>
      <c r="E3789" s="10">
        <f>IF(AND(HOUR(B3789)&gt;=6,HOUR(B3789)&lt;18),"Day Shift","Night Shift")</f>
        <v/>
      </c>
      <c r="F3789" s="11">
        <f>INT(B3789)</f>
        <v/>
      </c>
      <c r="G3789" s="11">
        <f>INT(C3789)</f>
        <v/>
      </c>
    </row>
    <row r="3790">
      <c r="A3790" s="7" t="inlineStr">
        <is>
          <t>EXD52</t>
        </is>
      </c>
      <c r="B3790" s="8" t="n">
        <v>46093.78487268519</v>
      </c>
      <c r="C3790" s="8" t="n">
        <v>46094.25</v>
      </c>
      <c r="D3790" s="9">
        <f>(C3790-B3790)*24</f>
        <v/>
      </c>
      <c r="E3790" s="10">
        <f>IF(AND(HOUR(B3790)&gt;=6,HOUR(B3790)&lt;18),"Day Shift","Night Shift")</f>
        <v/>
      </c>
      <c r="F3790" s="11">
        <f>INT(B3790)</f>
        <v/>
      </c>
      <c r="G3790" s="11">
        <f>INT(C3790)</f>
        <v/>
      </c>
    </row>
    <row r="3791">
      <c r="A3791" s="2" t="inlineStr">
        <is>
          <t>EXD52</t>
        </is>
      </c>
      <c r="B3791" s="3" t="n">
        <v>46094.25</v>
      </c>
      <c r="C3791" s="3" t="n">
        <v>46094.27892361111</v>
      </c>
      <c r="D3791" s="4">
        <f>(C3791-B3791)*24</f>
        <v/>
      </c>
      <c r="E3791" s="5">
        <f>IF(AND(HOUR(B3791)&gt;=6,HOUR(B3791)&lt;18),"Day Shift","Night Shift")</f>
        <v/>
      </c>
      <c r="F3791" s="6">
        <f>INT(B3791)</f>
        <v/>
      </c>
      <c r="G3791" s="6">
        <f>INT(C3791)</f>
        <v/>
      </c>
    </row>
    <row r="3792">
      <c r="A3792" s="7" t="inlineStr">
        <is>
          <t>EXD101</t>
        </is>
      </c>
      <c r="B3792" s="8" t="n">
        <v>46093.78626157407</v>
      </c>
      <c r="C3792" s="8" t="n">
        <v>46093.98174768518</v>
      </c>
      <c r="D3792" s="9">
        <f>(C3792-B3792)*24</f>
        <v/>
      </c>
      <c r="E3792" s="10">
        <f>IF(AND(HOUR(B3792)&gt;=6,HOUR(B3792)&lt;18),"Day Shift","Night Shift")</f>
        <v/>
      </c>
      <c r="F3792" s="11">
        <f>INT(B3792)</f>
        <v/>
      </c>
      <c r="G3792" s="11">
        <f>INT(C3792)</f>
        <v/>
      </c>
    </row>
    <row r="3793">
      <c r="A3793" s="7" t="inlineStr">
        <is>
          <t>EDD175;EDD1932;EDD2134;EDD2541;EDD812</t>
        </is>
      </c>
      <c r="B3793" s="8" t="n">
        <v>46093.78638888889</v>
      </c>
      <c r="C3793" s="8" t="n">
        <v>46094.03592592593</v>
      </c>
      <c r="D3793" s="9">
        <f>(C3793-B3793)*24</f>
        <v/>
      </c>
      <c r="E3793" s="10">
        <f>IF(AND(HOUR(B3793)&gt;=6,HOUR(B3793)&lt;18),"Day Shift","Night Shift")</f>
        <v/>
      </c>
      <c r="F3793" s="11">
        <f>INT(B3793)</f>
        <v/>
      </c>
      <c r="G3793" s="11">
        <f>INT(C3793)</f>
        <v/>
      </c>
    </row>
    <row r="3794">
      <c r="A3794" s="7" t="inlineStr">
        <is>
          <t>Sprint 1</t>
        </is>
      </c>
      <c r="B3794" s="8" t="n">
        <v>46093.80957175926</v>
      </c>
      <c r="C3794" s="8" t="n">
        <v>46094.25</v>
      </c>
      <c r="D3794" s="9">
        <f>(C3794-B3794)*24</f>
        <v/>
      </c>
      <c r="E3794" s="10">
        <f>IF(AND(HOUR(B3794)&gt;=6,HOUR(B3794)&lt;18),"Day Shift","Night Shift")</f>
        <v/>
      </c>
      <c r="F3794" s="11">
        <f>INT(B3794)</f>
        <v/>
      </c>
      <c r="G3794" s="11">
        <f>INT(C3794)</f>
        <v/>
      </c>
    </row>
    <row r="3795">
      <c r="A3795" s="2" t="inlineStr">
        <is>
          <t>Sprint 1</t>
        </is>
      </c>
      <c r="B3795" s="3" t="n">
        <v>46094.25</v>
      </c>
      <c r="C3795" s="3" t="n">
        <v>46094.41540509259</v>
      </c>
      <c r="D3795" s="4">
        <f>(C3795-B3795)*24</f>
        <v/>
      </c>
      <c r="E3795" s="5">
        <f>IF(AND(HOUR(B3795)&gt;=6,HOUR(B3795)&lt;18),"Day Shift","Night Shift")</f>
        <v/>
      </c>
      <c r="F3795" s="6">
        <f>INT(B3795)</f>
        <v/>
      </c>
      <c r="G3795" s="6">
        <f>INT(C3795)</f>
        <v/>
      </c>
    </row>
    <row r="3796">
      <c r="A3796" s="7" t="inlineStr">
        <is>
          <t>EXD51;EXD55</t>
        </is>
      </c>
      <c r="B3796" s="8" t="n">
        <v>46093.8347337963</v>
      </c>
      <c r="C3796" s="8" t="n">
        <v>46094.02931712963</v>
      </c>
      <c r="D3796" s="9">
        <f>(C3796-B3796)*24</f>
        <v/>
      </c>
      <c r="E3796" s="10">
        <f>IF(AND(HOUR(B3796)&gt;=6,HOUR(B3796)&lt;18),"Day Shift","Night Shift")</f>
        <v/>
      </c>
      <c r="F3796" s="11">
        <f>INT(B3796)</f>
        <v/>
      </c>
      <c r="G3796" s="11">
        <f>INT(C3796)</f>
        <v/>
      </c>
    </row>
    <row r="3797">
      <c r="A3797" s="7" t="inlineStr">
        <is>
          <t>EXD100</t>
        </is>
      </c>
      <c r="B3797" s="8" t="n">
        <v>46093.8874537037</v>
      </c>
      <c r="C3797" s="8" t="n">
        <v>46094.25</v>
      </c>
      <c r="D3797" s="9">
        <f>(C3797-B3797)*24</f>
        <v/>
      </c>
      <c r="E3797" s="10">
        <f>IF(AND(HOUR(B3797)&gt;=6,HOUR(B3797)&lt;18),"Day Shift","Night Shift")</f>
        <v/>
      </c>
      <c r="F3797" s="11">
        <f>INT(B3797)</f>
        <v/>
      </c>
      <c r="G3797" s="11">
        <f>INT(C3797)</f>
        <v/>
      </c>
    </row>
    <row r="3798">
      <c r="A3798" s="2" t="inlineStr">
        <is>
          <t>EXD100</t>
        </is>
      </c>
      <c r="B3798" s="3" t="n">
        <v>46094.25</v>
      </c>
      <c r="C3798" s="3" t="n">
        <v>46094.50244212963</v>
      </c>
      <c r="D3798" s="4">
        <f>(C3798-B3798)*24</f>
        <v/>
      </c>
      <c r="E3798" s="5">
        <f>IF(AND(HOUR(B3798)&gt;=6,HOUR(B3798)&lt;18),"Day Shift","Night Shift")</f>
        <v/>
      </c>
      <c r="F3798" s="6">
        <f>INT(B3798)</f>
        <v/>
      </c>
      <c r="G3798" s="6">
        <f>INT(C3798)</f>
        <v/>
      </c>
    </row>
    <row r="3799">
      <c r="A3799" s="7" t="inlineStr">
        <is>
          <t>EXD61</t>
        </is>
      </c>
      <c r="B3799" s="8" t="n">
        <v>46093.88770833334</v>
      </c>
      <c r="C3799" s="8" t="n">
        <v>46094.25</v>
      </c>
      <c r="D3799" s="9">
        <f>(C3799-B3799)*24</f>
        <v/>
      </c>
      <c r="E3799" s="10">
        <f>IF(AND(HOUR(B3799)&gt;=6,HOUR(B3799)&lt;18),"Day Shift","Night Shift")</f>
        <v/>
      </c>
      <c r="F3799" s="11">
        <f>INT(B3799)</f>
        <v/>
      </c>
      <c r="G3799" s="11">
        <f>INT(C3799)</f>
        <v/>
      </c>
    </row>
    <row r="3800">
      <c r="A3800" s="2" t="inlineStr">
        <is>
          <t>EXD61</t>
        </is>
      </c>
      <c r="B3800" s="3" t="n">
        <v>46094.25</v>
      </c>
      <c r="C3800" s="3" t="n">
        <v>46094.25711805555</v>
      </c>
      <c r="D3800" s="4">
        <f>(C3800-B3800)*24</f>
        <v/>
      </c>
      <c r="E3800" s="5">
        <f>IF(AND(HOUR(B3800)&gt;=6,HOUR(B3800)&lt;18),"Day Shift","Night Shift")</f>
        <v/>
      </c>
      <c r="F3800" s="6">
        <f>INT(B3800)</f>
        <v/>
      </c>
      <c r="G3800" s="6">
        <f>INT(C3800)</f>
        <v/>
      </c>
    </row>
    <row r="3801">
      <c r="A3801" s="7" t="inlineStr">
        <is>
          <t>EXD101</t>
        </is>
      </c>
      <c r="B3801" s="8" t="n">
        <v>46093.98180555556</v>
      </c>
      <c r="C3801" s="8" t="n">
        <v>46094.25</v>
      </c>
      <c r="D3801" s="9">
        <f>(C3801-B3801)*24</f>
        <v/>
      </c>
      <c r="E3801" s="10">
        <f>IF(AND(HOUR(B3801)&gt;=6,HOUR(B3801)&lt;18),"Day Shift","Night Shift")</f>
        <v/>
      </c>
      <c r="F3801" s="11">
        <f>INT(B3801)</f>
        <v/>
      </c>
      <c r="G3801" s="11">
        <f>INT(C3801)</f>
        <v/>
      </c>
    </row>
    <row r="3802">
      <c r="A3802" s="2" t="inlineStr">
        <is>
          <t>EXD101</t>
        </is>
      </c>
      <c r="B3802" s="3" t="n">
        <v>46094.25</v>
      </c>
      <c r="C3802" s="3" t="n">
        <v>46094.75</v>
      </c>
      <c r="D3802" s="4">
        <f>(C3802-B3802)*24</f>
        <v/>
      </c>
      <c r="E3802" s="5">
        <f>IF(AND(HOUR(B3802)&gt;=6,HOUR(B3802)&lt;18),"Day Shift","Night Shift")</f>
        <v/>
      </c>
      <c r="F3802" s="6">
        <f>INT(B3802)</f>
        <v/>
      </c>
      <c r="G3802" s="6">
        <f>INT(C3802)</f>
        <v/>
      </c>
    </row>
    <row r="3803">
      <c r="A3803" s="7" t="inlineStr">
        <is>
          <t>EXD101</t>
        </is>
      </c>
      <c r="B3803" s="8" t="n">
        <v>46094.75</v>
      </c>
      <c r="C3803" s="8" t="n">
        <v>46094.91777777778</v>
      </c>
      <c r="D3803" s="9">
        <f>(C3803-B3803)*24</f>
        <v/>
      </c>
      <c r="E3803" s="10">
        <f>IF(AND(HOUR(B3803)&gt;=6,HOUR(B3803)&lt;18),"Day Shift","Night Shift")</f>
        <v/>
      </c>
      <c r="F3803" s="11">
        <f>INT(B3803)</f>
        <v/>
      </c>
      <c r="G3803" s="11">
        <f>INT(C3803)</f>
        <v/>
      </c>
    </row>
    <row r="3804">
      <c r="A3804" s="7" t="inlineStr">
        <is>
          <t>EXD51</t>
        </is>
      </c>
      <c r="B3804" s="8" t="n">
        <v>46094.02931712963</v>
      </c>
      <c r="C3804" s="8" t="n">
        <v>46094.25</v>
      </c>
      <c r="D3804" s="9">
        <f>(C3804-B3804)*24</f>
        <v/>
      </c>
      <c r="E3804" s="10">
        <f>IF(AND(HOUR(B3804)&gt;=6,HOUR(B3804)&lt;18),"Day Shift","Night Shift")</f>
        <v/>
      </c>
      <c r="F3804" s="11">
        <f>INT(B3804)</f>
        <v/>
      </c>
      <c r="G3804" s="11">
        <f>INT(C3804)</f>
        <v/>
      </c>
    </row>
    <row r="3805">
      <c r="A3805" s="2" t="inlineStr">
        <is>
          <t>EXD51</t>
        </is>
      </c>
      <c r="B3805" s="3" t="n">
        <v>46094.25</v>
      </c>
      <c r="C3805" s="3" t="n">
        <v>46094.42033564814</v>
      </c>
      <c r="D3805" s="4">
        <f>(C3805-B3805)*24</f>
        <v/>
      </c>
      <c r="E3805" s="5">
        <f>IF(AND(HOUR(B3805)&gt;=6,HOUR(B3805)&lt;18),"Day Shift","Night Shift")</f>
        <v/>
      </c>
      <c r="F3805" s="6">
        <f>INT(B3805)</f>
        <v/>
      </c>
      <c r="G3805" s="6">
        <f>INT(C3805)</f>
        <v/>
      </c>
    </row>
    <row r="3806">
      <c r="A3806" s="7" t="inlineStr">
        <is>
          <t>EDD175;EDD1932;EDD2134;EDD2541;EDD812</t>
        </is>
      </c>
      <c r="B3806" s="8" t="n">
        <v>46094.03592592593</v>
      </c>
      <c r="C3806" s="8" t="n">
        <v>46094.25</v>
      </c>
      <c r="D3806" s="9">
        <f>(C3806-B3806)*24</f>
        <v/>
      </c>
      <c r="E3806" s="10">
        <f>IF(AND(HOUR(B3806)&gt;=6,HOUR(B3806)&lt;18),"Day Shift","Night Shift")</f>
        <v/>
      </c>
      <c r="F3806" s="11">
        <f>INT(B3806)</f>
        <v/>
      </c>
      <c r="G3806" s="11">
        <f>INT(C3806)</f>
        <v/>
      </c>
    </row>
    <row r="3807">
      <c r="A3807" s="2" t="inlineStr">
        <is>
          <t>EDD175;EDD1932;EDD2134;EDD2541;EDD812</t>
        </is>
      </c>
      <c r="B3807" s="3" t="n">
        <v>46094.25</v>
      </c>
      <c r="C3807" s="3" t="n">
        <v>46094.30752314815</v>
      </c>
      <c r="D3807" s="4">
        <f>(C3807-B3807)*24</f>
        <v/>
      </c>
      <c r="E3807" s="5">
        <f>IF(AND(HOUR(B3807)&gt;=6,HOUR(B3807)&lt;18),"Day Shift","Night Shift")</f>
        <v/>
      </c>
      <c r="F3807" s="6">
        <f>INT(B3807)</f>
        <v/>
      </c>
      <c r="G3807" s="6">
        <f>INT(C3807)</f>
        <v/>
      </c>
    </row>
    <row r="3808">
      <c r="A3808" s="7" t="inlineStr">
        <is>
          <t>EXD98</t>
        </is>
      </c>
      <c r="B3808" s="8" t="n">
        <v>46094.03603009259</v>
      </c>
      <c r="C3808" s="8" t="n">
        <v>46094.25</v>
      </c>
      <c r="D3808" s="9">
        <f>(C3808-B3808)*24</f>
        <v/>
      </c>
      <c r="E3808" s="10">
        <f>IF(AND(HOUR(B3808)&gt;=6,HOUR(B3808)&lt;18),"Day Shift","Night Shift")</f>
        <v/>
      </c>
      <c r="F3808" s="11">
        <f>INT(B3808)</f>
        <v/>
      </c>
      <c r="G3808" s="11">
        <f>INT(C3808)</f>
        <v/>
      </c>
    </row>
    <row r="3809">
      <c r="A3809" s="2" t="inlineStr">
        <is>
          <t>EXD98</t>
        </is>
      </c>
      <c r="B3809" s="3" t="n">
        <v>46094.25</v>
      </c>
      <c r="C3809" s="3" t="n">
        <v>46094.75</v>
      </c>
      <c r="D3809" s="4">
        <f>(C3809-B3809)*24</f>
        <v/>
      </c>
      <c r="E3809" s="5">
        <f>IF(AND(HOUR(B3809)&gt;=6,HOUR(B3809)&lt;18),"Day Shift","Night Shift")</f>
        <v/>
      </c>
      <c r="F3809" s="6">
        <f>INT(B3809)</f>
        <v/>
      </c>
      <c r="G3809" s="6">
        <f>INT(C3809)</f>
        <v/>
      </c>
    </row>
    <row r="3810">
      <c r="A3810" s="7" t="inlineStr">
        <is>
          <t>EXD98</t>
        </is>
      </c>
      <c r="B3810" s="8" t="n">
        <v>46094.75</v>
      </c>
      <c r="C3810" s="8" t="n">
        <v>46094.94375</v>
      </c>
      <c r="D3810" s="9">
        <f>(C3810-B3810)*24</f>
        <v/>
      </c>
      <c r="E3810" s="10">
        <f>IF(AND(HOUR(B3810)&gt;=6,HOUR(B3810)&lt;18),"Day Shift","Night Shift")</f>
        <v/>
      </c>
      <c r="F3810" s="11">
        <f>INT(B3810)</f>
        <v/>
      </c>
      <c r="G3810" s="11">
        <f>INT(C3810)</f>
        <v/>
      </c>
    </row>
    <row r="3811">
      <c r="A3811" s="7" t="inlineStr">
        <is>
          <t>EXD55;EXD51</t>
        </is>
      </c>
      <c r="B3811" s="8" t="n">
        <v>46094.15403935185</v>
      </c>
      <c r="C3811" s="8" t="n">
        <v>46094.25</v>
      </c>
      <c r="D3811" s="9">
        <f>(C3811-B3811)*24</f>
        <v/>
      </c>
      <c r="E3811" s="10">
        <f>IF(AND(HOUR(B3811)&gt;=6,HOUR(B3811)&lt;18),"Day Shift","Night Shift")</f>
        <v/>
      </c>
      <c r="F3811" s="11">
        <f>INT(B3811)</f>
        <v/>
      </c>
      <c r="G3811" s="11">
        <f>INT(C3811)</f>
        <v/>
      </c>
    </row>
    <row r="3812">
      <c r="A3812" s="2" t="inlineStr">
        <is>
          <t>EXD55;EXD51</t>
        </is>
      </c>
      <c r="B3812" s="3" t="n">
        <v>46094.25</v>
      </c>
      <c r="C3812" s="3" t="n">
        <v>46094.72188657407</v>
      </c>
      <c r="D3812" s="4">
        <f>(C3812-B3812)*24</f>
        <v/>
      </c>
      <c r="E3812" s="5">
        <f>IF(AND(HOUR(B3812)&gt;=6,HOUR(B3812)&lt;18),"Day Shift","Night Shift")</f>
        <v/>
      </c>
      <c r="F3812" s="6">
        <f>INT(B3812)</f>
        <v/>
      </c>
      <c r="G3812" s="6">
        <f>INT(C3812)</f>
        <v/>
      </c>
    </row>
    <row r="3813">
      <c r="A3813" s="7" t="inlineStr">
        <is>
          <t>LDW262;EXD51</t>
        </is>
      </c>
      <c r="B3813" s="8" t="n">
        <v>46094.19252314815</v>
      </c>
      <c r="C3813" s="8" t="n">
        <v>46094.25</v>
      </c>
      <c r="D3813" s="9">
        <f>(C3813-B3813)*24</f>
        <v/>
      </c>
      <c r="E3813" s="10">
        <f>IF(AND(HOUR(B3813)&gt;=6,HOUR(B3813)&lt;18),"Day Shift","Night Shift")</f>
        <v/>
      </c>
      <c r="F3813" s="11">
        <f>INT(B3813)</f>
        <v/>
      </c>
      <c r="G3813" s="11">
        <f>INT(C3813)</f>
        <v/>
      </c>
    </row>
    <row r="3814">
      <c r="A3814" s="2" t="inlineStr">
        <is>
          <t>LDW262;EXD51</t>
        </is>
      </c>
      <c r="B3814" s="3" t="n">
        <v>46094.25</v>
      </c>
      <c r="C3814" s="3" t="n">
        <v>46094.75</v>
      </c>
      <c r="D3814" s="4">
        <f>(C3814-B3814)*24</f>
        <v/>
      </c>
      <c r="E3814" s="5">
        <f>IF(AND(HOUR(B3814)&gt;=6,HOUR(B3814)&lt;18),"Day Shift","Night Shift")</f>
        <v/>
      </c>
      <c r="F3814" s="6">
        <f>INT(B3814)</f>
        <v/>
      </c>
      <c r="G3814" s="6">
        <f>INT(C3814)</f>
        <v/>
      </c>
    </row>
    <row r="3815">
      <c r="A3815" s="7" t="inlineStr">
        <is>
          <t>LDW262;EXD51</t>
        </is>
      </c>
      <c r="B3815" s="8" t="n">
        <v>46094.75</v>
      </c>
      <c r="C3815" s="8" t="n">
        <v>46095.25</v>
      </c>
      <c r="D3815" s="9">
        <f>(C3815-B3815)*24</f>
        <v/>
      </c>
      <c r="E3815" s="10">
        <f>IF(AND(HOUR(B3815)&gt;=6,HOUR(B3815)&lt;18),"Day Shift","Night Shift")</f>
        <v/>
      </c>
      <c r="F3815" s="11">
        <f>INT(B3815)</f>
        <v/>
      </c>
      <c r="G3815" s="11">
        <f>INT(C3815)</f>
        <v/>
      </c>
    </row>
    <row r="3816">
      <c r="A3816" s="2" t="inlineStr">
        <is>
          <t>LDW262;EXD51</t>
        </is>
      </c>
      <c r="B3816" s="3" t="n">
        <v>46095.25</v>
      </c>
      <c r="C3816" s="3" t="n">
        <v>46095.75</v>
      </c>
      <c r="D3816" s="4">
        <f>(C3816-B3816)*24</f>
        <v/>
      </c>
      <c r="E3816" s="5">
        <f>IF(AND(HOUR(B3816)&gt;=6,HOUR(B3816)&lt;18),"Day Shift","Night Shift")</f>
        <v/>
      </c>
      <c r="F3816" s="6">
        <f>INT(B3816)</f>
        <v/>
      </c>
      <c r="G3816" s="6">
        <f>INT(C3816)</f>
        <v/>
      </c>
    </row>
    <row r="3817">
      <c r="A3817" s="7" t="inlineStr">
        <is>
          <t>LDW262;EXD51</t>
        </is>
      </c>
      <c r="B3817" s="8" t="n">
        <v>46095.75</v>
      </c>
      <c r="C3817" s="8" t="n">
        <v>46096.25</v>
      </c>
      <c r="D3817" s="9">
        <f>(C3817-B3817)*24</f>
        <v/>
      </c>
      <c r="E3817" s="10">
        <f>IF(AND(HOUR(B3817)&gt;=6,HOUR(B3817)&lt;18),"Day Shift","Night Shift")</f>
        <v/>
      </c>
      <c r="F3817" s="11">
        <f>INT(B3817)</f>
        <v/>
      </c>
      <c r="G3817" s="11">
        <f>INT(C3817)</f>
        <v/>
      </c>
    </row>
    <row r="3818">
      <c r="A3818" s="2" t="inlineStr">
        <is>
          <t>LDW262;EXD51</t>
        </is>
      </c>
      <c r="B3818" s="3" t="n">
        <v>46096.25</v>
      </c>
      <c r="C3818" s="3" t="n">
        <v>46096.75</v>
      </c>
      <c r="D3818" s="4">
        <f>(C3818-B3818)*24</f>
        <v/>
      </c>
      <c r="E3818" s="5">
        <f>IF(AND(HOUR(B3818)&gt;=6,HOUR(B3818)&lt;18),"Day Shift","Night Shift")</f>
        <v/>
      </c>
      <c r="F3818" s="6">
        <f>INT(B3818)</f>
        <v/>
      </c>
      <c r="G3818" s="6">
        <f>INT(C3818)</f>
        <v/>
      </c>
    </row>
    <row r="3819">
      <c r="A3819" s="7" t="inlineStr">
        <is>
          <t>LDW262;EXD51</t>
        </is>
      </c>
      <c r="B3819" s="8" t="n">
        <v>46096.75</v>
      </c>
      <c r="C3819" s="8" t="n">
        <v>46097.25</v>
      </c>
      <c r="D3819" s="9">
        <f>(C3819-B3819)*24</f>
        <v/>
      </c>
      <c r="E3819" s="10">
        <f>IF(AND(HOUR(B3819)&gt;=6,HOUR(B3819)&lt;18),"Day Shift","Night Shift")</f>
        <v/>
      </c>
      <c r="F3819" s="11">
        <f>INT(B3819)</f>
        <v/>
      </c>
      <c r="G3819" s="11">
        <f>INT(C3819)</f>
        <v/>
      </c>
    </row>
    <row r="3820">
      <c r="A3820" s="2" t="inlineStr">
        <is>
          <t>LDW262;EXD51</t>
        </is>
      </c>
      <c r="B3820" s="3" t="n">
        <v>46097.25</v>
      </c>
      <c r="C3820" s="3" t="n">
        <v>46097.7470949074</v>
      </c>
      <c r="D3820" s="4">
        <f>(C3820-B3820)*24</f>
        <v/>
      </c>
      <c r="E3820" s="5">
        <f>IF(AND(HOUR(B3820)&gt;=6,HOUR(B3820)&lt;18),"Day Shift","Night Shift")</f>
        <v/>
      </c>
      <c r="F3820" s="6">
        <f>INT(B3820)</f>
        <v/>
      </c>
      <c r="G3820" s="6">
        <f>INT(C3820)</f>
        <v/>
      </c>
    </row>
    <row r="3821">
      <c r="A3821" s="2" t="inlineStr">
        <is>
          <t>EXD61</t>
        </is>
      </c>
      <c r="B3821" s="3" t="n">
        <v>46094.25711805555</v>
      </c>
      <c r="C3821" s="3" t="n">
        <v>46094.75</v>
      </c>
      <c r="D3821" s="4">
        <f>(C3821-B3821)*24</f>
        <v/>
      </c>
      <c r="E3821" s="5">
        <f>IF(AND(HOUR(B3821)&gt;=6,HOUR(B3821)&lt;18),"Day Shift","Night Shift")</f>
        <v/>
      </c>
      <c r="F3821" s="6">
        <f>INT(B3821)</f>
        <v/>
      </c>
      <c r="G3821" s="6">
        <f>INT(C3821)</f>
        <v/>
      </c>
    </row>
    <row r="3822">
      <c r="A3822" s="7" t="inlineStr">
        <is>
          <t>EXD61</t>
        </is>
      </c>
      <c r="B3822" s="8" t="n">
        <v>46094.75</v>
      </c>
      <c r="C3822" s="8" t="n">
        <v>46095.25</v>
      </c>
      <c r="D3822" s="9">
        <f>(C3822-B3822)*24</f>
        <v/>
      </c>
      <c r="E3822" s="10">
        <f>IF(AND(HOUR(B3822)&gt;=6,HOUR(B3822)&lt;18),"Day Shift","Night Shift")</f>
        <v/>
      </c>
      <c r="F3822" s="11">
        <f>INT(B3822)</f>
        <v/>
      </c>
      <c r="G3822" s="11">
        <f>INT(C3822)</f>
        <v/>
      </c>
    </row>
    <row r="3823">
      <c r="A3823" s="2" t="inlineStr">
        <is>
          <t>EXD61</t>
        </is>
      </c>
      <c r="B3823" s="3" t="n">
        <v>46095.25</v>
      </c>
      <c r="C3823" s="3" t="n">
        <v>46095.75</v>
      </c>
      <c r="D3823" s="4">
        <f>(C3823-B3823)*24</f>
        <v/>
      </c>
      <c r="E3823" s="5">
        <f>IF(AND(HOUR(B3823)&gt;=6,HOUR(B3823)&lt;18),"Day Shift","Night Shift")</f>
        <v/>
      </c>
      <c r="F3823" s="6">
        <f>INT(B3823)</f>
        <v/>
      </c>
      <c r="G3823" s="6">
        <f>INT(C3823)</f>
        <v/>
      </c>
    </row>
    <row r="3824">
      <c r="A3824" s="7" t="inlineStr">
        <is>
          <t>EXD61</t>
        </is>
      </c>
      <c r="B3824" s="8" t="n">
        <v>46095.75</v>
      </c>
      <c r="C3824" s="8" t="n">
        <v>46096.25</v>
      </c>
      <c r="D3824" s="9">
        <f>(C3824-B3824)*24</f>
        <v/>
      </c>
      <c r="E3824" s="10">
        <f>IF(AND(HOUR(B3824)&gt;=6,HOUR(B3824)&lt;18),"Day Shift","Night Shift")</f>
        <v/>
      </c>
      <c r="F3824" s="11">
        <f>INT(B3824)</f>
        <v/>
      </c>
      <c r="G3824" s="11">
        <f>INT(C3824)</f>
        <v/>
      </c>
    </row>
    <row r="3825">
      <c r="A3825" s="2" t="inlineStr">
        <is>
          <t>EXD61</t>
        </is>
      </c>
      <c r="B3825" s="3" t="n">
        <v>46096.25</v>
      </c>
      <c r="C3825" s="3" t="n">
        <v>46096.75</v>
      </c>
      <c r="D3825" s="4">
        <f>(C3825-B3825)*24</f>
        <v/>
      </c>
      <c r="E3825" s="5">
        <f>IF(AND(HOUR(B3825)&gt;=6,HOUR(B3825)&lt;18),"Day Shift","Night Shift")</f>
        <v/>
      </c>
      <c r="F3825" s="6">
        <f>INT(B3825)</f>
        <v/>
      </c>
      <c r="G3825" s="6">
        <f>INT(C3825)</f>
        <v/>
      </c>
    </row>
    <row r="3826">
      <c r="A3826" s="7" t="inlineStr">
        <is>
          <t>EXD61</t>
        </is>
      </c>
      <c r="B3826" s="8" t="n">
        <v>46096.75</v>
      </c>
      <c r="C3826" s="8" t="n">
        <v>46097.25</v>
      </c>
      <c r="D3826" s="9">
        <f>(C3826-B3826)*24</f>
        <v/>
      </c>
      <c r="E3826" s="10">
        <f>IF(AND(HOUR(B3826)&gt;=6,HOUR(B3826)&lt;18),"Day Shift","Night Shift")</f>
        <v/>
      </c>
      <c r="F3826" s="11">
        <f>INT(B3826)</f>
        <v/>
      </c>
      <c r="G3826" s="11">
        <f>INT(C3826)</f>
        <v/>
      </c>
    </row>
    <row r="3827">
      <c r="A3827" s="2" t="inlineStr">
        <is>
          <t>EXD61</t>
        </is>
      </c>
      <c r="B3827" s="3" t="n">
        <v>46097.25</v>
      </c>
      <c r="C3827" s="3" t="n">
        <v>46097.38835648148</v>
      </c>
      <c r="D3827" s="4">
        <f>(C3827-B3827)*24</f>
        <v/>
      </c>
      <c r="E3827" s="5">
        <f>IF(AND(HOUR(B3827)&gt;=6,HOUR(B3827)&lt;18),"Day Shift","Night Shift")</f>
        <v/>
      </c>
      <c r="F3827" s="6">
        <f>INT(B3827)</f>
        <v/>
      </c>
      <c r="G3827" s="6">
        <f>INT(C3827)</f>
        <v/>
      </c>
    </row>
    <row r="3828">
      <c r="A3828" s="2" t="inlineStr">
        <is>
          <t>EXD52</t>
        </is>
      </c>
      <c r="B3828" s="3" t="n">
        <v>46094.27892361111</v>
      </c>
      <c r="C3828" s="3" t="n">
        <v>46094.60408564815</v>
      </c>
      <c r="D3828" s="4">
        <f>(C3828-B3828)*24</f>
        <v/>
      </c>
      <c r="E3828" s="5">
        <f>IF(AND(HOUR(B3828)&gt;=6,HOUR(B3828)&lt;18),"Day Shift","Night Shift")</f>
        <v/>
      </c>
      <c r="F3828" s="6">
        <f>INT(B3828)</f>
        <v/>
      </c>
      <c r="G3828" s="6">
        <f>INT(C3828)</f>
        <v/>
      </c>
    </row>
    <row r="3829">
      <c r="A3829" s="2" t="inlineStr">
        <is>
          <t>EDD175;EDD1932;EDD2134;EDD2541</t>
        </is>
      </c>
      <c r="B3829" s="3" t="n">
        <v>46094.30752314815</v>
      </c>
      <c r="C3829" s="3" t="n">
        <v>46094.62634259259</v>
      </c>
      <c r="D3829" s="4">
        <f>(C3829-B3829)*24</f>
        <v/>
      </c>
      <c r="E3829" s="5">
        <f>IF(AND(HOUR(B3829)&gt;=6,HOUR(B3829)&lt;18),"Day Shift","Night Shift")</f>
        <v/>
      </c>
      <c r="F3829" s="6">
        <f>INT(B3829)</f>
        <v/>
      </c>
      <c r="G3829" s="6">
        <f>INT(C3829)</f>
        <v/>
      </c>
    </row>
    <row r="3830">
      <c r="A3830" s="2" t="inlineStr">
        <is>
          <t>Blast Crew DS</t>
        </is>
      </c>
      <c r="B3830" s="3" t="n">
        <v>46094.39960648148</v>
      </c>
      <c r="C3830" s="3" t="n">
        <v>46094.48230324074</v>
      </c>
      <c r="D3830" s="4">
        <f>(C3830-B3830)*24</f>
        <v/>
      </c>
      <c r="E3830" s="5">
        <f>IF(AND(HOUR(B3830)&gt;=6,HOUR(B3830)&lt;18),"Day Shift","Night Shift")</f>
        <v/>
      </c>
      <c r="F3830" s="6">
        <f>INT(B3830)</f>
        <v/>
      </c>
      <c r="G3830" s="6">
        <f>INT(C3830)</f>
        <v/>
      </c>
    </row>
    <row r="3831">
      <c r="A3831" s="2" t="inlineStr">
        <is>
          <t>Sprint 1</t>
        </is>
      </c>
      <c r="B3831" s="3" t="n">
        <v>46094.41540509259</v>
      </c>
      <c r="C3831" s="3" t="n">
        <v>46094.75</v>
      </c>
      <c r="D3831" s="4">
        <f>(C3831-B3831)*24</f>
        <v/>
      </c>
      <c r="E3831" s="5">
        <f>IF(AND(HOUR(B3831)&gt;=6,HOUR(B3831)&lt;18),"Day Shift","Night Shift")</f>
        <v/>
      </c>
      <c r="F3831" s="6">
        <f>INT(B3831)</f>
        <v/>
      </c>
      <c r="G3831" s="6">
        <f>INT(C3831)</f>
        <v/>
      </c>
    </row>
    <row r="3832">
      <c r="A3832" s="7" t="inlineStr">
        <is>
          <t>Sprint 1</t>
        </is>
      </c>
      <c r="B3832" s="8" t="n">
        <v>46094.75</v>
      </c>
      <c r="C3832" s="8" t="n">
        <v>46094.96721064814</v>
      </c>
      <c r="D3832" s="9">
        <f>(C3832-B3832)*24</f>
        <v/>
      </c>
      <c r="E3832" s="10">
        <f>IF(AND(HOUR(B3832)&gt;=6,HOUR(B3832)&lt;18),"Day Shift","Night Shift")</f>
        <v/>
      </c>
      <c r="F3832" s="11">
        <f>INT(B3832)</f>
        <v/>
      </c>
      <c r="G3832" s="11">
        <f>INT(C3832)</f>
        <v/>
      </c>
    </row>
    <row r="3833">
      <c r="A3833" s="2" t="inlineStr">
        <is>
          <t>EXD51</t>
        </is>
      </c>
      <c r="B3833" s="3" t="n">
        <v>46094.42033564814</v>
      </c>
      <c r="C3833" s="3" t="n">
        <v>46094.64092592592</v>
      </c>
      <c r="D3833" s="4">
        <f>(C3833-B3833)*24</f>
        <v/>
      </c>
      <c r="E3833" s="5">
        <f>IF(AND(HOUR(B3833)&gt;=6,HOUR(B3833)&lt;18),"Day Shift","Night Shift")</f>
        <v/>
      </c>
      <c r="F3833" s="6">
        <f>INT(B3833)</f>
        <v/>
      </c>
      <c r="G3833" s="6">
        <f>INT(C3833)</f>
        <v/>
      </c>
    </row>
    <row r="3834">
      <c r="A3834" s="2" t="inlineStr">
        <is>
          <t>Blast</t>
        </is>
      </c>
      <c r="B3834" s="3" t="n">
        <v>46094.45833333334</v>
      </c>
      <c r="C3834" s="3" t="n">
        <v>46094.45847222222</v>
      </c>
      <c r="D3834" s="4">
        <f>(C3834-B3834)*24</f>
        <v/>
      </c>
      <c r="E3834" s="5">
        <f>IF(AND(HOUR(B3834)&gt;=6,HOUR(B3834)&lt;18),"Day Shift","Night Shift")</f>
        <v/>
      </c>
      <c r="F3834" s="6">
        <f>INT(B3834)</f>
        <v/>
      </c>
      <c r="G3834" s="6">
        <f>INT(C3834)</f>
        <v/>
      </c>
    </row>
    <row r="3835">
      <c r="A3835" s="2" t="inlineStr">
        <is>
          <t>Blast</t>
        </is>
      </c>
      <c r="B3835" s="3" t="n">
        <v>46094.45847222222</v>
      </c>
      <c r="C3835" s="3" t="n">
        <v>46094.45864583334</v>
      </c>
      <c r="D3835" s="4">
        <f>(C3835-B3835)*24</f>
        <v/>
      </c>
      <c r="E3835" s="5">
        <f>IF(AND(HOUR(B3835)&gt;=6,HOUR(B3835)&lt;18),"Day Shift","Night Shift")</f>
        <v/>
      </c>
      <c r="F3835" s="6">
        <f>INT(B3835)</f>
        <v/>
      </c>
      <c r="G3835" s="6">
        <f>INT(C3835)</f>
        <v/>
      </c>
    </row>
    <row r="3836">
      <c r="A3836" s="2" t="inlineStr">
        <is>
          <t>Blast</t>
        </is>
      </c>
      <c r="B3836" s="3" t="n">
        <v>46094.45864583334</v>
      </c>
      <c r="C3836" s="3" t="n">
        <v>46094.45886574074</v>
      </c>
      <c r="D3836" s="4">
        <f>(C3836-B3836)*24</f>
        <v/>
      </c>
      <c r="E3836" s="5">
        <f>IF(AND(HOUR(B3836)&gt;=6,HOUR(B3836)&lt;18),"Day Shift","Night Shift")</f>
        <v/>
      </c>
      <c r="F3836" s="6">
        <f>INT(B3836)</f>
        <v/>
      </c>
      <c r="G3836" s="6">
        <f>INT(C3836)</f>
        <v/>
      </c>
    </row>
    <row r="3837">
      <c r="A3837" s="2" t="inlineStr">
        <is>
          <t>Blast</t>
        </is>
      </c>
      <c r="B3837" s="3" t="n">
        <v>46094.45886574074</v>
      </c>
      <c r="C3837" s="3" t="n">
        <v>46094.4591087963</v>
      </c>
      <c r="D3837" s="4">
        <f>(C3837-B3837)*24</f>
        <v/>
      </c>
      <c r="E3837" s="5">
        <f>IF(AND(HOUR(B3837)&gt;=6,HOUR(B3837)&lt;18),"Day Shift","Night Shift")</f>
        <v/>
      </c>
      <c r="F3837" s="6">
        <f>INT(B3837)</f>
        <v/>
      </c>
      <c r="G3837" s="6">
        <f>INT(C3837)</f>
        <v/>
      </c>
    </row>
    <row r="3838">
      <c r="A3838" s="2" t="inlineStr">
        <is>
          <t>Blast</t>
        </is>
      </c>
      <c r="B3838" s="3" t="n">
        <v>46094.4591087963</v>
      </c>
      <c r="C3838" s="3" t="n">
        <v>46094.45936342593</v>
      </c>
      <c r="D3838" s="4">
        <f>(C3838-B3838)*24</f>
        <v/>
      </c>
      <c r="E3838" s="5">
        <f>IF(AND(HOUR(B3838)&gt;=6,HOUR(B3838)&lt;18),"Day Shift","Night Shift")</f>
        <v/>
      </c>
      <c r="F3838" s="6">
        <f>INT(B3838)</f>
        <v/>
      </c>
      <c r="G3838" s="6">
        <f>INT(C3838)</f>
        <v/>
      </c>
    </row>
    <row r="3839">
      <c r="A3839" s="2" t="inlineStr">
        <is>
          <t>Blast</t>
        </is>
      </c>
      <c r="B3839" s="3" t="n">
        <v>46094.45936342593</v>
      </c>
      <c r="C3839" s="3" t="n">
        <v>46094.45957175926</v>
      </c>
      <c r="D3839" s="4">
        <f>(C3839-B3839)*24</f>
        <v/>
      </c>
      <c r="E3839" s="5">
        <f>IF(AND(HOUR(B3839)&gt;=6,HOUR(B3839)&lt;18),"Day Shift","Night Shift")</f>
        <v/>
      </c>
      <c r="F3839" s="6">
        <f>INT(B3839)</f>
        <v/>
      </c>
      <c r="G3839" s="6">
        <f>INT(C3839)</f>
        <v/>
      </c>
    </row>
    <row r="3840">
      <c r="A3840" s="2" t="inlineStr">
        <is>
          <t>Blast</t>
        </is>
      </c>
      <c r="B3840" s="3" t="n">
        <v>46094.45957175926</v>
      </c>
      <c r="C3840" s="3" t="n">
        <v>46094.45972222222</v>
      </c>
      <c r="D3840" s="4">
        <f>(C3840-B3840)*24</f>
        <v/>
      </c>
      <c r="E3840" s="5">
        <f>IF(AND(HOUR(B3840)&gt;=6,HOUR(B3840)&lt;18),"Day Shift","Night Shift")</f>
        <v/>
      </c>
      <c r="F3840" s="6">
        <f>INT(B3840)</f>
        <v/>
      </c>
      <c r="G3840" s="6">
        <f>INT(C3840)</f>
        <v/>
      </c>
    </row>
    <row r="3841">
      <c r="A3841" s="2" t="inlineStr">
        <is>
          <t>Blast</t>
        </is>
      </c>
      <c r="B3841" s="3" t="n">
        <v>46094.45972222222</v>
      </c>
      <c r="C3841" s="3" t="n">
        <v>46094.45983796296</v>
      </c>
      <c r="D3841" s="4">
        <f>(C3841-B3841)*24</f>
        <v/>
      </c>
      <c r="E3841" s="5">
        <f>IF(AND(HOUR(B3841)&gt;=6,HOUR(B3841)&lt;18),"Day Shift","Night Shift")</f>
        <v/>
      </c>
      <c r="F3841" s="6">
        <f>INT(B3841)</f>
        <v/>
      </c>
      <c r="G3841" s="6">
        <f>INT(C3841)</f>
        <v/>
      </c>
    </row>
    <row r="3842">
      <c r="A3842" s="2" t="inlineStr">
        <is>
          <t>Blast</t>
        </is>
      </c>
      <c r="B3842" s="3" t="n">
        <v>46094.45983796296</v>
      </c>
      <c r="C3842" s="3" t="n">
        <v>46094.45995370371</v>
      </c>
      <c r="D3842" s="4">
        <f>(C3842-B3842)*24</f>
        <v/>
      </c>
      <c r="E3842" s="5">
        <f>IF(AND(HOUR(B3842)&gt;=6,HOUR(B3842)&lt;18),"Day Shift","Night Shift")</f>
        <v/>
      </c>
      <c r="F3842" s="6">
        <f>INT(B3842)</f>
        <v/>
      </c>
      <c r="G3842" s="6">
        <f>INT(C3842)</f>
        <v/>
      </c>
    </row>
    <row r="3843">
      <c r="A3843" s="2" t="inlineStr">
        <is>
          <t>Blast</t>
        </is>
      </c>
      <c r="B3843" s="3" t="n">
        <v>46094.45995370371</v>
      </c>
      <c r="C3843" s="3" t="n">
        <v>46094.46005787037</v>
      </c>
      <c r="D3843" s="4">
        <f>(C3843-B3843)*24</f>
        <v/>
      </c>
      <c r="E3843" s="5">
        <f>IF(AND(HOUR(B3843)&gt;=6,HOUR(B3843)&lt;18),"Day Shift","Night Shift")</f>
        <v/>
      </c>
      <c r="F3843" s="6">
        <f>INT(B3843)</f>
        <v/>
      </c>
      <c r="G3843" s="6">
        <f>INT(C3843)</f>
        <v/>
      </c>
    </row>
    <row r="3844">
      <c r="A3844" s="2" t="inlineStr">
        <is>
          <t>Blast</t>
        </is>
      </c>
      <c r="B3844" s="3" t="n">
        <v>46094.46005787037</v>
      </c>
      <c r="C3844" s="3" t="n">
        <v>46094.46006944445</v>
      </c>
      <c r="D3844" s="4">
        <f>(C3844-B3844)*24</f>
        <v/>
      </c>
      <c r="E3844" s="5">
        <f>IF(AND(HOUR(B3844)&gt;=6,HOUR(B3844)&lt;18),"Day Shift","Night Shift")</f>
        <v/>
      </c>
      <c r="F3844" s="6">
        <f>INT(B3844)</f>
        <v/>
      </c>
      <c r="G3844" s="6">
        <f>INT(C3844)</f>
        <v/>
      </c>
    </row>
    <row r="3845">
      <c r="A3845" s="2" t="inlineStr">
        <is>
          <t>Blast Crew DS</t>
        </is>
      </c>
      <c r="B3845" s="3" t="n">
        <v>46094.48230324074</v>
      </c>
      <c r="C3845" s="3" t="n">
        <v>46094.60332175926</v>
      </c>
      <c r="D3845" s="4">
        <f>(C3845-B3845)*24</f>
        <v/>
      </c>
      <c r="E3845" s="5">
        <f>IF(AND(HOUR(B3845)&gt;=6,HOUR(B3845)&lt;18),"Day Shift","Night Shift")</f>
        <v/>
      </c>
      <c r="F3845" s="6">
        <f>INT(B3845)</f>
        <v/>
      </c>
      <c r="G3845" s="6">
        <f>INT(C3845)</f>
        <v/>
      </c>
    </row>
    <row r="3846">
      <c r="A3846" s="2" t="inlineStr">
        <is>
          <t>EXD100</t>
        </is>
      </c>
      <c r="B3846" s="3" t="n">
        <v>46094.50244212963</v>
      </c>
      <c r="C3846" s="3" t="n">
        <v>46094.75</v>
      </c>
      <c r="D3846" s="4">
        <f>(C3846-B3846)*24</f>
        <v/>
      </c>
      <c r="E3846" s="5">
        <f>IF(AND(HOUR(B3846)&gt;=6,HOUR(B3846)&lt;18),"Day Shift","Night Shift")</f>
        <v/>
      </c>
      <c r="F3846" s="6">
        <f>INT(B3846)</f>
        <v/>
      </c>
      <c r="G3846" s="6">
        <f>INT(C3846)</f>
        <v/>
      </c>
    </row>
    <row r="3847">
      <c r="A3847" s="7" t="inlineStr">
        <is>
          <t>EXD100</t>
        </is>
      </c>
      <c r="B3847" s="8" t="n">
        <v>46094.75</v>
      </c>
      <c r="C3847" s="8" t="n">
        <v>46095.14025462963</v>
      </c>
      <c r="D3847" s="9">
        <f>(C3847-B3847)*24</f>
        <v/>
      </c>
      <c r="E3847" s="10">
        <f>IF(AND(HOUR(B3847)&gt;=6,HOUR(B3847)&lt;18),"Day Shift","Night Shift")</f>
        <v/>
      </c>
      <c r="F3847" s="11">
        <f>INT(B3847)</f>
        <v/>
      </c>
      <c r="G3847" s="11">
        <f>INT(C3847)</f>
        <v/>
      </c>
    </row>
    <row r="3848">
      <c r="A3848" s="2" t="inlineStr">
        <is>
          <t>Blast Crew DS</t>
        </is>
      </c>
      <c r="B3848" s="3" t="n">
        <v>46094.60332175926</v>
      </c>
      <c r="C3848" s="3" t="n">
        <v>46094.730625</v>
      </c>
      <c r="D3848" s="4">
        <f>(C3848-B3848)*24</f>
        <v/>
      </c>
      <c r="E3848" s="5">
        <f>IF(AND(HOUR(B3848)&gt;=6,HOUR(B3848)&lt;18),"Day Shift","Night Shift")</f>
        <v/>
      </c>
      <c r="F3848" s="6">
        <f>INT(B3848)</f>
        <v/>
      </c>
      <c r="G3848" s="6">
        <f>INT(C3848)</f>
        <v/>
      </c>
    </row>
    <row r="3849">
      <c r="A3849" s="2" t="inlineStr">
        <is>
          <t>EXD52</t>
        </is>
      </c>
      <c r="B3849" s="3" t="n">
        <v>46094.60408564815</v>
      </c>
      <c r="C3849" s="3" t="n">
        <v>46094.75</v>
      </c>
      <c r="D3849" s="4">
        <f>(C3849-B3849)*24</f>
        <v/>
      </c>
      <c r="E3849" s="5">
        <f>IF(AND(HOUR(B3849)&gt;=6,HOUR(B3849)&lt;18),"Day Shift","Night Shift")</f>
        <v/>
      </c>
      <c r="F3849" s="6">
        <f>INT(B3849)</f>
        <v/>
      </c>
      <c r="G3849" s="6">
        <f>INT(C3849)</f>
        <v/>
      </c>
    </row>
    <row r="3850">
      <c r="A3850" s="7" t="inlineStr">
        <is>
          <t>EXD52</t>
        </is>
      </c>
      <c r="B3850" s="8" t="n">
        <v>46094.75</v>
      </c>
      <c r="C3850" s="8" t="n">
        <v>46095.25</v>
      </c>
      <c r="D3850" s="9">
        <f>(C3850-B3850)*24</f>
        <v/>
      </c>
      <c r="E3850" s="10">
        <f>IF(AND(HOUR(B3850)&gt;=6,HOUR(B3850)&lt;18),"Day Shift","Night Shift")</f>
        <v/>
      </c>
      <c r="F3850" s="11">
        <f>INT(B3850)</f>
        <v/>
      </c>
      <c r="G3850" s="11">
        <f>INT(C3850)</f>
        <v/>
      </c>
    </row>
    <row r="3851">
      <c r="A3851" s="2" t="inlineStr">
        <is>
          <t>EXD52</t>
        </is>
      </c>
      <c r="B3851" s="3" t="n">
        <v>46095.25</v>
      </c>
      <c r="C3851" s="3" t="n">
        <v>46095.75</v>
      </c>
      <c r="D3851" s="4">
        <f>(C3851-B3851)*24</f>
        <v/>
      </c>
      <c r="E3851" s="5">
        <f>IF(AND(HOUR(B3851)&gt;=6,HOUR(B3851)&lt;18),"Day Shift","Night Shift")</f>
        <v/>
      </c>
      <c r="F3851" s="6">
        <f>INT(B3851)</f>
        <v/>
      </c>
      <c r="G3851" s="6">
        <f>INT(C3851)</f>
        <v/>
      </c>
    </row>
    <row r="3852">
      <c r="A3852" s="7" t="inlineStr">
        <is>
          <t>EXD52</t>
        </is>
      </c>
      <c r="B3852" s="8" t="n">
        <v>46095.75</v>
      </c>
      <c r="C3852" s="8" t="n">
        <v>46095.76387731481</v>
      </c>
      <c r="D3852" s="9">
        <f>(C3852-B3852)*24</f>
        <v/>
      </c>
      <c r="E3852" s="10">
        <f>IF(AND(HOUR(B3852)&gt;=6,HOUR(B3852)&lt;18),"Day Shift","Night Shift")</f>
        <v/>
      </c>
      <c r="F3852" s="11">
        <f>INT(B3852)</f>
        <v/>
      </c>
      <c r="G3852" s="11">
        <f>INT(C3852)</f>
        <v/>
      </c>
    </row>
    <row r="3853">
      <c r="A3853" s="2" t="inlineStr">
        <is>
          <t>EDD175;EDD1932;EDD2134;EDD2541;EDD812</t>
        </is>
      </c>
      <c r="B3853" s="3" t="n">
        <v>46094.62634259259</v>
      </c>
      <c r="C3853" s="3" t="n">
        <v>46094.75</v>
      </c>
      <c r="D3853" s="4">
        <f>(C3853-B3853)*24</f>
        <v/>
      </c>
      <c r="E3853" s="5">
        <f>IF(AND(HOUR(B3853)&gt;=6,HOUR(B3853)&lt;18),"Day Shift","Night Shift")</f>
        <v/>
      </c>
      <c r="F3853" s="6">
        <f>INT(B3853)</f>
        <v/>
      </c>
      <c r="G3853" s="6">
        <f>INT(C3853)</f>
        <v/>
      </c>
    </row>
    <row r="3854">
      <c r="A3854" s="7" t="inlineStr">
        <is>
          <t>EDD175;EDD1932;EDD2134;EDD2541;EDD812</t>
        </is>
      </c>
      <c r="B3854" s="8" t="n">
        <v>46094.75</v>
      </c>
      <c r="C3854" s="8" t="n">
        <v>46094.90861111111</v>
      </c>
      <c r="D3854" s="9">
        <f>(C3854-B3854)*24</f>
        <v/>
      </c>
      <c r="E3854" s="10">
        <f>IF(AND(HOUR(B3854)&gt;=6,HOUR(B3854)&lt;18),"Day Shift","Night Shift")</f>
        <v/>
      </c>
      <c r="F3854" s="11">
        <f>INT(B3854)</f>
        <v/>
      </c>
      <c r="G3854" s="11">
        <f>INT(C3854)</f>
        <v/>
      </c>
    </row>
    <row r="3855">
      <c r="A3855" s="2" t="inlineStr">
        <is>
          <t>EXD73</t>
        </is>
      </c>
      <c r="B3855" s="3" t="n">
        <v>46094.70320601852</v>
      </c>
      <c r="C3855" s="3" t="n">
        <v>46094.75</v>
      </c>
      <c r="D3855" s="4">
        <f>(C3855-B3855)*24</f>
        <v/>
      </c>
      <c r="E3855" s="5">
        <f>IF(AND(HOUR(B3855)&gt;=6,HOUR(B3855)&lt;18),"Day Shift","Night Shift")</f>
        <v/>
      </c>
      <c r="F3855" s="6">
        <f>INT(B3855)</f>
        <v/>
      </c>
      <c r="G3855" s="6">
        <f>INT(C3855)</f>
        <v/>
      </c>
    </row>
    <row r="3856">
      <c r="A3856" s="7" t="inlineStr">
        <is>
          <t>EXD73</t>
        </is>
      </c>
      <c r="B3856" s="8" t="n">
        <v>46094.75</v>
      </c>
      <c r="C3856" s="8" t="n">
        <v>46095.25</v>
      </c>
      <c r="D3856" s="9">
        <f>(C3856-B3856)*24</f>
        <v/>
      </c>
      <c r="E3856" s="10">
        <f>IF(AND(HOUR(B3856)&gt;=6,HOUR(B3856)&lt;18),"Day Shift","Night Shift")</f>
        <v/>
      </c>
      <c r="F3856" s="11">
        <f>INT(B3856)</f>
        <v/>
      </c>
      <c r="G3856" s="11">
        <f>INT(C3856)</f>
        <v/>
      </c>
    </row>
    <row r="3857">
      <c r="A3857" s="2" t="inlineStr">
        <is>
          <t>EXD73</t>
        </is>
      </c>
      <c r="B3857" s="3" t="n">
        <v>46095.25</v>
      </c>
      <c r="C3857" s="3" t="n">
        <v>46095.75</v>
      </c>
      <c r="D3857" s="4">
        <f>(C3857-B3857)*24</f>
        <v/>
      </c>
      <c r="E3857" s="5">
        <f>IF(AND(HOUR(B3857)&gt;=6,HOUR(B3857)&lt;18),"Day Shift","Night Shift")</f>
        <v/>
      </c>
      <c r="F3857" s="6">
        <f>INT(B3857)</f>
        <v/>
      </c>
      <c r="G3857" s="6">
        <f>INT(C3857)</f>
        <v/>
      </c>
    </row>
    <row r="3858">
      <c r="A3858" s="7" t="inlineStr">
        <is>
          <t>EXD73</t>
        </is>
      </c>
      <c r="B3858" s="8" t="n">
        <v>46095.75</v>
      </c>
      <c r="C3858" s="8" t="n">
        <v>46095.75848379629</v>
      </c>
      <c r="D3858" s="9">
        <f>(C3858-B3858)*24</f>
        <v/>
      </c>
      <c r="E3858" s="10">
        <f>IF(AND(HOUR(B3858)&gt;=6,HOUR(B3858)&lt;18),"Day Shift","Night Shift")</f>
        <v/>
      </c>
      <c r="F3858" s="11">
        <f>INT(B3858)</f>
        <v/>
      </c>
      <c r="G3858" s="11">
        <f>INT(C3858)</f>
        <v/>
      </c>
    </row>
    <row r="3859">
      <c r="A3859" s="2" t="inlineStr">
        <is>
          <t>EXD55;EXD51</t>
        </is>
      </c>
      <c r="B3859" s="3" t="n">
        <v>46094.72188657407</v>
      </c>
      <c r="C3859" s="3" t="n">
        <v>46094.75</v>
      </c>
      <c r="D3859" s="4">
        <f>(C3859-B3859)*24</f>
        <v/>
      </c>
      <c r="E3859" s="5">
        <f>IF(AND(HOUR(B3859)&gt;=6,HOUR(B3859)&lt;18),"Day Shift","Night Shift")</f>
        <v/>
      </c>
      <c r="F3859" s="6">
        <f>INT(B3859)</f>
        <v/>
      </c>
      <c r="G3859" s="6">
        <f>INT(C3859)</f>
        <v/>
      </c>
    </row>
    <row r="3860">
      <c r="A3860" s="7" t="inlineStr">
        <is>
          <t>EXD55;EXD51</t>
        </is>
      </c>
      <c r="B3860" s="8" t="n">
        <v>46094.75</v>
      </c>
      <c r="C3860" s="8" t="n">
        <v>46095.25</v>
      </c>
      <c r="D3860" s="9">
        <f>(C3860-B3860)*24</f>
        <v/>
      </c>
      <c r="E3860" s="10">
        <f>IF(AND(HOUR(B3860)&gt;=6,HOUR(B3860)&lt;18),"Day Shift","Night Shift")</f>
        <v/>
      </c>
      <c r="F3860" s="11">
        <f>INT(B3860)</f>
        <v/>
      </c>
      <c r="G3860" s="11">
        <f>INT(C3860)</f>
        <v/>
      </c>
    </row>
    <row r="3861">
      <c r="A3861" s="2" t="inlineStr">
        <is>
          <t>EXD55;EXD51</t>
        </is>
      </c>
      <c r="B3861" s="3" t="n">
        <v>46095.25</v>
      </c>
      <c r="C3861" s="3" t="n">
        <v>46095.48509259259</v>
      </c>
      <c r="D3861" s="4">
        <f>(C3861-B3861)*24</f>
        <v/>
      </c>
      <c r="E3861" s="5">
        <f>IF(AND(HOUR(B3861)&gt;=6,HOUR(B3861)&lt;18),"Day Shift","Night Shift")</f>
        <v/>
      </c>
      <c r="F3861" s="6">
        <f>INT(B3861)</f>
        <v/>
      </c>
      <c r="G3861" s="6">
        <f>INT(C3861)</f>
        <v/>
      </c>
    </row>
    <row r="3862">
      <c r="A3862" s="2" t="inlineStr">
        <is>
          <t>Blast Crew DS</t>
        </is>
      </c>
      <c r="B3862" s="3" t="n">
        <v>46094.730625</v>
      </c>
      <c r="C3862" s="3" t="n">
        <v>46094.75</v>
      </c>
      <c r="D3862" s="4">
        <f>(C3862-B3862)*24</f>
        <v/>
      </c>
      <c r="E3862" s="5">
        <f>IF(AND(HOUR(B3862)&gt;=6,HOUR(B3862)&lt;18),"Day Shift","Night Shift")</f>
        <v/>
      </c>
      <c r="F3862" s="6">
        <f>INT(B3862)</f>
        <v/>
      </c>
      <c r="G3862" s="6">
        <f>INT(C3862)</f>
        <v/>
      </c>
    </row>
    <row r="3863">
      <c r="A3863" s="7" t="inlineStr">
        <is>
          <t>Blast Crew DS</t>
        </is>
      </c>
      <c r="B3863" s="8" t="n">
        <v>46094.75</v>
      </c>
      <c r="C3863" s="8" t="n">
        <v>46095.25</v>
      </c>
      <c r="D3863" s="9">
        <f>(C3863-B3863)*24</f>
        <v/>
      </c>
      <c r="E3863" s="10">
        <f>IF(AND(HOUR(B3863)&gt;=6,HOUR(B3863)&lt;18),"Day Shift","Night Shift")</f>
        <v/>
      </c>
      <c r="F3863" s="11">
        <f>INT(B3863)</f>
        <v/>
      </c>
      <c r="G3863" s="11">
        <f>INT(C3863)</f>
        <v/>
      </c>
    </row>
    <row r="3864">
      <c r="A3864" s="2" t="inlineStr">
        <is>
          <t>Blast Crew DS</t>
        </is>
      </c>
      <c r="B3864" s="3" t="n">
        <v>46095.25</v>
      </c>
      <c r="C3864" s="3" t="n">
        <v>46095.35668981481</v>
      </c>
      <c r="D3864" s="4">
        <f>(C3864-B3864)*24</f>
        <v/>
      </c>
      <c r="E3864" s="5">
        <f>IF(AND(HOUR(B3864)&gt;=6,HOUR(B3864)&lt;18),"Day Shift","Night Shift")</f>
        <v/>
      </c>
      <c r="F3864" s="6">
        <f>INT(B3864)</f>
        <v/>
      </c>
      <c r="G3864" s="6">
        <f>INT(C3864)</f>
        <v/>
      </c>
    </row>
    <row r="3865">
      <c r="A3865" s="7" t="inlineStr">
        <is>
          <t>EXD51</t>
        </is>
      </c>
      <c r="B3865" s="8" t="n">
        <v>46094.78144675926</v>
      </c>
      <c r="C3865" s="8" t="n">
        <v>46095.25</v>
      </c>
      <c r="D3865" s="9">
        <f>(C3865-B3865)*24</f>
        <v/>
      </c>
      <c r="E3865" s="10">
        <f>IF(AND(HOUR(B3865)&gt;=6,HOUR(B3865)&lt;18),"Day Shift","Night Shift")</f>
        <v/>
      </c>
      <c r="F3865" s="11">
        <f>INT(B3865)</f>
        <v/>
      </c>
      <c r="G3865" s="11">
        <f>INT(C3865)</f>
        <v/>
      </c>
    </row>
    <row r="3866">
      <c r="A3866" s="2" t="inlineStr">
        <is>
          <t>EXD51</t>
        </is>
      </c>
      <c r="B3866" s="3" t="n">
        <v>46095.25</v>
      </c>
      <c r="C3866" s="3" t="n">
        <v>46095.32303240741</v>
      </c>
      <c r="D3866" s="4">
        <f>(C3866-B3866)*24</f>
        <v/>
      </c>
      <c r="E3866" s="5">
        <f>IF(AND(HOUR(B3866)&gt;=6,HOUR(B3866)&lt;18),"Day Shift","Night Shift")</f>
        <v/>
      </c>
      <c r="F3866" s="6">
        <f>INT(B3866)</f>
        <v/>
      </c>
      <c r="G3866" s="6">
        <f>INT(C3866)</f>
        <v/>
      </c>
    </row>
    <row r="3867">
      <c r="A3867" s="7" t="inlineStr">
        <is>
          <t>EDD175;EDD1932;EDD2134;EDD2541;EDD812</t>
        </is>
      </c>
      <c r="B3867" s="8" t="n">
        <v>46094.90861111111</v>
      </c>
      <c r="C3867" s="8" t="n">
        <v>46095.1859375</v>
      </c>
      <c r="D3867" s="9">
        <f>(C3867-B3867)*24</f>
        <v/>
      </c>
      <c r="E3867" s="10">
        <f>IF(AND(HOUR(B3867)&gt;=6,HOUR(B3867)&lt;18),"Day Shift","Night Shift")</f>
        <v/>
      </c>
      <c r="F3867" s="11">
        <f>INT(B3867)</f>
        <v/>
      </c>
      <c r="G3867" s="11">
        <f>INT(C3867)</f>
        <v/>
      </c>
    </row>
    <row r="3868">
      <c r="A3868" s="7" t="inlineStr">
        <is>
          <t>EXD101</t>
        </is>
      </c>
      <c r="B3868" s="8" t="n">
        <v>46094.91777777778</v>
      </c>
      <c r="C3868" s="8" t="n">
        <v>46095.25</v>
      </c>
      <c r="D3868" s="9">
        <f>(C3868-B3868)*24</f>
        <v/>
      </c>
      <c r="E3868" s="10">
        <f>IF(AND(HOUR(B3868)&gt;=6,HOUR(B3868)&lt;18),"Day Shift","Night Shift")</f>
        <v/>
      </c>
      <c r="F3868" s="11">
        <f>INT(B3868)</f>
        <v/>
      </c>
      <c r="G3868" s="11">
        <f>INT(C3868)</f>
        <v/>
      </c>
    </row>
    <row r="3869">
      <c r="A3869" s="2" t="inlineStr">
        <is>
          <t>EXD101</t>
        </is>
      </c>
      <c r="B3869" s="3" t="n">
        <v>46095.25</v>
      </c>
      <c r="C3869" s="3" t="n">
        <v>46095.75</v>
      </c>
      <c r="D3869" s="4">
        <f>(C3869-B3869)*24</f>
        <v/>
      </c>
      <c r="E3869" s="5">
        <f>IF(AND(HOUR(B3869)&gt;=6,HOUR(B3869)&lt;18),"Day Shift","Night Shift")</f>
        <v/>
      </c>
      <c r="F3869" s="6">
        <f>INT(B3869)</f>
        <v/>
      </c>
      <c r="G3869" s="6">
        <f>INT(C3869)</f>
        <v/>
      </c>
    </row>
    <row r="3870">
      <c r="A3870" s="7" t="inlineStr">
        <is>
          <t>EXD101</t>
        </is>
      </c>
      <c r="B3870" s="8" t="n">
        <v>46095.75</v>
      </c>
      <c r="C3870" s="8" t="n">
        <v>46095.80438657408</v>
      </c>
      <c r="D3870" s="9">
        <f>(C3870-B3870)*24</f>
        <v/>
      </c>
      <c r="E3870" s="10">
        <f>IF(AND(HOUR(B3870)&gt;=6,HOUR(B3870)&lt;18),"Day Shift","Night Shift")</f>
        <v/>
      </c>
      <c r="F3870" s="11">
        <f>INT(B3870)</f>
        <v/>
      </c>
      <c r="G3870" s="11">
        <f>INT(C3870)</f>
        <v/>
      </c>
    </row>
    <row r="3871">
      <c r="A3871" s="7" t="inlineStr">
        <is>
          <t>EXD98</t>
        </is>
      </c>
      <c r="B3871" s="8" t="n">
        <v>46094.94375</v>
      </c>
      <c r="C3871" s="8" t="n">
        <v>46095.25</v>
      </c>
      <c r="D3871" s="9">
        <f>(C3871-B3871)*24</f>
        <v/>
      </c>
      <c r="E3871" s="10">
        <f>IF(AND(HOUR(B3871)&gt;=6,HOUR(B3871)&lt;18),"Day Shift","Night Shift")</f>
        <v/>
      </c>
      <c r="F3871" s="11">
        <f>INT(B3871)</f>
        <v/>
      </c>
      <c r="G3871" s="11">
        <f>INT(C3871)</f>
        <v/>
      </c>
    </row>
    <row r="3872">
      <c r="A3872" s="2" t="inlineStr">
        <is>
          <t>EXD98</t>
        </is>
      </c>
      <c r="B3872" s="3" t="n">
        <v>46095.25</v>
      </c>
      <c r="C3872" s="3" t="n">
        <v>46095.75</v>
      </c>
      <c r="D3872" s="4">
        <f>(C3872-B3872)*24</f>
        <v/>
      </c>
      <c r="E3872" s="5">
        <f>IF(AND(HOUR(B3872)&gt;=6,HOUR(B3872)&lt;18),"Day Shift","Night Shift")</f>
        <v/>
      </c>
      <c r="F3872" s="6">
        <f>INT(B3872)</f>
        <v/>
      </c>
      <c r="G3872" s="6">
        <f>INT(C3872)</f>
        <v/>
      </c>
    </row>
    <row r="3873">
      <c r="A3873" s="7" t="inlineStr">
        <is>
          <t>EXD98</t>
        </is>
      </c>
      <c r="B3873" s="8" t="n">
        <v>46095.75</v>
      </c>
      <c r="C3873" s="8" t="n">
        <v>46095.82243055556</v>
      </c>
      <c r="D3873" s="9">
        <f>(C3873-B3873)*24</f>
        <v/>
      </c>
      <c r="E3873" s="10">
        <f>IF(AND(HOUR(B3873)&gt;=6,HOUR(B3873)&lt;18),"Day Shift","Night Shift")</f>
        <v/>
      </c>
      <c r="F3873" s="11">
        <f>INT(B3873)</f>
        <v/>
      </c>
      <c r="G3873" s="11">
        <f>INT(C3873)</f>
        <v/>
      </c>
    </row>
    <row r="3874">
      <c r="A3874" s="7" t="inlineStr">
        <is>
          <t>EXD408;EXD407</t>
        </is>
      </c>
      <c r="B3874" s="8" t="n">
        <v>46094.94645833333</v>
      </c>
      <c r="C3874" s="8" t="n">
        <v>46095.25</v>
      </c>
      <c r="D3874" s="9">
        <f>(C3874-B3874)*24</f>
        <v/>
      </c>
      <c r="E3874" s="10">
        <f>IF(AND(HOUR(B3874)&gt;=6,HOUR(B3874)&lt;18),"Day Shift","Night Shift")</f>
        <v/>
      </c>
      <c r="F3874" s="11">
        <f>INT(B3874)</f>
        <v/>
      </c>
      <c r="G3874" s="11">
        <f>INT(C3874)</f>
        <v/>
      </c>
    </row>
    <row r="3875">
      <c r="A3875" s="2" t="inlineStr">
        <is>
          <t>EXD408;EXD407</t>
        </is>
      </c>
      <c r="B3875" s="3" t="n">
        <v>46095.25</v>
      </c>
      <c r="C3875" s="3" t="n">
        <v>46095.75</v>
      </c>
      <c r="D3875" s="4">
        <f>(C3875-B3875)*24</f>
        <v/>
      </c>
      <c r="E3875" s="5">
        <f>IF(AND(HOUR(B3875)&gt;=6,HOUR(B3875)&lt;18),"Day Shift","Night Shift")</f>
        <v/>
      </c>
      <c r="F3875" s="6">
        <f>INT(B3875)</f>
        <v/>
      </c>
      <c r="G3875" s="6">
        <f>INT(C3875)</f>
        <v/>
      </c>
    </row>
    <row r="3876">
      <c r="A3876" s="7" t="inlineStr">
        <is>
          <t>EXD408;EXD407</t>
        </is>
      </c>
      <c r="B3876" s="8" t="n">
        <v>46095.75</v>
      </c>
      <c r="C3876" s="8" t="n">
        <v>46096.05814814815</v>
      </c>
      <c r="D3876" s="9">
        <f>(C3876-B3876)*24</f>
        <v/>
      </c>
      <c r="E3876" s="10">
        <f>IF(AND(HOUR(B3876)&gt;=6,HOUR(B3876)&lt;18),"Day Shift","Night Shift")</f>
        <v/>
      </c>
      <c r="F3876" s="11">
        <f>INT(B3876)</f>
        <v/>
      </c>
      <c r="G3876" s="11">
        <f>INT(C3876)</f>
        <v/>
      </c>
    </row>
    <row r="3877">
      <c r="A3877" s="7" t="inlineStr">
        <is>
          <t>Sprint 1</t>
        </is>
      </c>
      <c r="B3877" s="8" t="n">
        <v>46094.96721064814</v>
      </c>
      <c r="C3877" s="8" t="n">
        <v>46095.25</v>
      </c>
      <c r="D3877" s="9">
        <f>(C3877-B3877)*24</f>
        <v/>
      </c>
      <c r="E3877" s="10">
        <f>IF(AND(HOUR(B3877)&gt;=6,HOUR(B3877)&lt;18),"Day Shift","Night Shift")</f>
        <v/>
      </c>
      <c r="F3877" s="11">
        <f>INT(B3877)</f>
        <v/>
      </c>
      <c r="G3877" s="11">
        <f>INT(C3877)</f>
        <v/>
      </c>
    </row>
    <row r="3878">
      <c r="A3878" s="2" t="inlineStr">
        <is>
          <t>Sprint 1</t>
        </is>
      </c>
      <c r="B3878" s="3" t="n">
        <v>46095.25</v>
      </c>
      <c r="C3878" s="3" t="n">
        <v>46095.48211805556</v>
      </c>
      <c r="D3878" s="4">
        <f>(C3878-B3878)*24</f>
        <v/>
      </c>
      <c r="E3878" s="5">
        <f>IF(AND(HOUR(B3878)&gt;=6,HOUR(B3878)&lt;18),"Day Shift","Night Shift")</f>
        <v/>
      </c>
      <c r="F3878" s="6">
        <f>INT(B3878)</f>
        <v/>
      </c>
      <c r="G3878" s="6">
        <f>INT(C3878)</f>
        <v/>
      </c>
    </row>
    <row r="3879">
      <c r="A3879" s="7" t="inlineStr">
        <is>
          <t>EXD56</t>
        </is>
      </c>
      <c r="B3879" s="8" t="n">
        <v>46095.0734375</v>
      </c>
      <c r="C3879" s="8" t="n">
        <v>46095.25</v>
      </c>
      <c r="D3879" s="9">
        <f>(C3879-B3879)*24</f>
        <v/>
      </c>
      <c r="E3879" s="10">
        <f>IF(AND(HOUR(B3879)&gt;=6,HOUR(B3879)&lt;18),"Day Shift","Night Shift")</f>
        <v/>
      </c>
      <c r="F3879" s="11">
        <f>INT(B3879)</f>
        <v/>
      </c>
      <c r="G3879" s="11">
        <f>INT(C3879)</f>
        <v/>
      </c>
    </row>
    <row r="3880">
      <c r="A3880" s="2" t="inlineStr">
        <is>
          <t>EXD56</t>
        </is>
      </c>
      <c r="B3880" s="3" t="n">
        <v>46095.25</v>
      </c>
      <c r="C3880" s="3" t="n">
        <v>46095.75</v>
      </c>
      <c r="D3880" s="4">
        <f>(C3880-B3880)*24</f>
        <v/>
      </c>
      <c r="E3880" s="5">
        <f>IF(AND(HOUR(B3880)&gt;=6,HOUR(B3880)&lt;18),"Day Shift","Night Shift")</f>
        <v/>
      </c>
      <c r="F3880" s="6">
        <f>INT(B3880)</f>
        <v/>
      </c>
      <c r="G3880" s="6">
        <f>INT(C3880)</f>
        <v/>
      </c>
    </row>
    <row r="3881">
      <c r="A3881" s="7" t="inlineStr">
        <is>
          <t>EXD56</t>
        </is>
      </c>
      <c r="B3881" s="8" t="n">
        <v>46095.75</v>
      </c>
      <c r="C3881" s="8" t="n">
        <v>46096.25</v>
      </c>
      <c r="D3881" s="9">
        <f>(C3881-B3881)*24</f>
        <v/>
      </c>
      <c r="E3881" s="10">
        <f>IF(AND(HOUR(B3881)&gt;=6,HOUR(B3881)&lt;18),"Day Shift","Night Shift")</f>
        <v/>
      </c>
      <c r="F3881" s="11">
        <f>INT(B3881)</f>
        <v/>
      </c>
      <c r="G3881" s="11">
        <f>INT(C3881)</f>
        <v/>
      </c>
    </row>
    <row r="3882">
      <c r="A3882" s="2" t="inlineStr">
        <is>
          <t>EXD56</t>
        </is>
      </c>
      <c r="B3882" s="3" t="n">
        <v>46096.25</v>
      </c>
      <c r="C3882" s="3" t="n">
        <v>46096.75</v>
      </c>
      <c r="D3882" s="4">
        <f>(C3882-B3882)*24</f>
        <v/>
      </c>
      <c r="E3882" s="5">
        <f>IF(AND(HOUR(B3882)&gt;=6,HOUR(B3882)&lt;18),"Day Shift","Night Shift")</f>
        <v/>
      </c>
      <c r="F3882" s="6">
        <f>INT(B3882)</f>
        <v/>
      </c>
      <c r="G3882" s="6">
        <f>INT(C3882)</f>
        <v/>
      </c>
    </row>
    <row r="3883">
      <c r="A3883" s="7" t="inlineStr">
        <is>
          <t>EXD56</t>
        </is>
      </c>
      <c r="B3883" s="8" t="n">
        <v>46096.75</v>
      </c>
      <c r="C3883" s="8" t="n">
        <v>46097.25</v>
      </c>
      <c r="D3883" s="9">
        <f>(C3883-B3883)*24</f>
        <v/>
      </c>
      <c r="E3883" s="10">
        <f>IF(AND(HOUR(B3883)&gt;=6,HOUR(B3883)&lt;18),"Day Shift","Night Shift")</f>
        <v/>
      </c>
      <c r="F3883" s="11">
        <f>INT(B3883)</f>
        <v/>
      </c>
      <c r="G3883" s="11">
        <f>INT(C3883)</f>
        <v/>
      </c>
    </row>
    <row r="3884">
      <c r="A3884" s="2" t="inlineStr">
        <is>
          <t>EXD56</t>
        </is>
      </c>
      <c r="B3884" s="3" t="n">
        <v>46097.25</v>
      </c>
      <c r="C3884" s="3" t="n">
        <v>46097.75</v>
      </c>
      <c r="D3884" s="4">
        <f>(C3884-B3884)*24</f>
        <v/>
      </c>
      <c r="E3884" s="5">
        <f>IF(AND(HOUR(B3884)&gt;=6,HOUR(B3884)&lt;18),"Day Shift","Night Shift")</f>
        <v/>
      </c>
      <c r="F3884" s="6">
        <f>INT(B3884)</f>
        <v/>
      </c>
      <c r="G3884" s="6">
        <f>INT(C3884)</f>
        <v/>
      </c>
    </row>
    <row r="3885">
      <c r="A3885" s="7" t="inlineStr">
        <is>
          <t>EXD56</t>
        </is>
      </c>
      <c r="B3885" s="8" t="n">
        <v>46097.75</v>
      </c>
      <c r="C3885" s="8" t="n">
        <v>46098.25</v>
      </c>
      <c r="D3885" s="9">
        <f>(C3885-B3885)*24</f>
        <v/>
      </c>
      <c r="E3885" s="10">
        <f>IF(AND(HOUR(B3885)&gt;=6,HOUR(B3885)&lt;18),"Day Shift","Night Shift")</f>
        <v/>
      </c>
      <c r="F3885" s="11">
        <f>INT(B3885)</f>
        <v/>
      </c>
      <c r="G3885" s="11">
        <f>INT(C3885)</f>
        <v/>
      </c>
    </row>
    <row r="3886">
      <c r="A3886" s="2" t="inlineStr">
        <is>
          <t>EXD56</t>
        </is>
      </c>
      <c r="B3886" s="3" t="n">
        <v>46098.25</v>
      </c>
      <c r="C3886" s="3" t="n">
        <v>46098.75</v>
      </c>
      <c r="D3886" s="4">
        <f>(C3886-B3886)*24</f>
        <v/>
      </c>
      <c r="E3886" s="5">
        <f>IF(AND(HOUR(B3886)&gt;=6,HOUR(B3886)&lt;18),"Day Shift","Night Shift")</f>
        <v/>
      </c>
      <c r="F3886" s="6">
        <f>INT(B3886)</f>
        <v/>
      </c>
      <c r="G3886" s="6">
        <f>INT(C3886)</f>
        <v/>
      </c>
    </row>
    <row r="3887">
      <c r="A3887" s="7" t="inlineStr">
        <is>
          <t>EXD56</t>
        </is>
      </c>
      <c r="B3887" s="8" t="n">
        <v>46098.75</v>
      </c>
      <c r="C3887" s="8" t="n">
        <v>46099.25</v>
      </c>
      <c r="D3887" s="9">
        <f>(C3887-B3887)*24</f>
        <v/>
      </c>
      <c r="E3887" s="10">
        <f>IF(AND(HOUR(B3887)&gt;=6,HOUR(B3887)&lt;18),"Day Shift","Night Shift")</f>
        <v/>
      </c>
      <c r="F3887" s="11">
        <f>INT(B3887)</f>
        <v/>
      </c>
      <c r="G3887" s="11">
        <f>INT(C3887)</f>
        <v/>
      </c>
    </row>
    <row r="3888">
      <c r="A3888" s="2" t="inlineStr">
        <is>
          <t>EXD56</t>
        </is>
      </c>
      <c r="B3888" s="3" t="n">
        <v>46099.25</v>
      </c>
      <c r="C3888" s="3" t="n">
        <v>46099.75</v>
      </c>
      <c r="D3888" s="4">
        <f>(C3888-B3888)*24</f>
        <v/>
      </c>
      <c r="E3888" s="5">
        <f>IF(AND(HOUR(B3888)&gt;=6,HOUR(B3888)&lt;18),"Day Shift","Night Shift")</f>
        <v/>
      </c>
      <c r="F3888" s="6">
        <f>INT(B3888)</f>
        <v/>
      </c>
      <c r="G3888" s="6">
        <f>INT(C3888)</f>
        <v/>
      </c>
    </row>
    <row r="3889">
      <c r="A3889" s="7" t="inlineStr">
        <is>
          <t>EXD56</t>
        </is>
      </c>
      <c r="B3889" s="8" t="n">
        <v>46099.75</v>
      </c>
      <c r="C3889" s="8" t="n">
        <v>46099.84511574074</v>
      </c>
      <c r="D3889" s="9">
        <f>(C3889-B3889)*24</f>
        <v/>
      </c>
      <c r="E3889" s="10">
        <f>IF(AND(HOUR(B3889)&gt;=6,HOUR(B3889)&lt;18),"Day Shift","Night Shift")</f>
        <v/>
      </c>
      <c r="F3889" s="11">
        <f>INT(B3889)</f>
        <v/>
      </c>
      <c r="G3889" s="11">
        <f>INT(C3889)</f>
        <v/>
      </c>
    </row>
    <row r="3890">
      <c r="A3890" s="7" t="inlineStr">
        <is>
          <t>EXD409</t>
        </is>
      </c>
      <c r="B3890" s="8" t="n">
        <v>46095.08659722222</v>
      </c>
      <c r="C3890" s="8" t="n">
        <v>46095.25</v>
      </c>
      <c r="D3890" s="9">
        <f>(C3890-B3890)*24</f>
        <v/>
      </c>
      <c r="E3890" s="10">
        <f>IF(AND(HOUR(B3890)&gt;=6,HOUR(B3890)&lt;18),"Day Shift","Night Shift")</f>
        <v/>
      </c>
      <c r="F3890" s="11">
        <f>INT(B3890)</f>
        <v/>
      </c>
      <c r="G3890" s="11">
        <f>INT(C3890)</f>
        <v/>
      </c>
    </row>
    <row r="3891">
      <c r="A3891" s="2" t="inlineStr">
        <is>
          <t>EXD409</t>
        </is>
      </c>
      <c r="B3891" s="3" t="n">
        <v>46095.25</v>
      </c>
      <c r="C3891" s="3" t="n">
        <v>46095.75</v>
      </c>
      <c r="D3891" s="4">
        <f>(C3891-B3891)*24</f>
        <v/>
      </c>
      <c r="E3891" s="5">
        <f>IF(AND(HOUR(B3891)&gt;=6,HOUR(B3891)&lt;18),"Day Shift","Night Shift")</f>
        <v/>
      </c>
      <c r="F3891" s="6">
        <f>INT(B3891)</f>
        <v/>
      </c>
      <c r="G3891" s="6">
        <f>INT(C3891)</f>
        <v/>
      </c>
    </row>
    <row r="3892">
      <c r="A3892" s="7" t="inlineStr">
        <is>
          <t>EXD409</t>
        </is>
      </c>
      <c r="B3892" s="8" t="n">
        <v>46095.75</v>
      </c>
      <c r="C3892" s="8" t="n">
        <v>46096.25</v>
      </c>
      <c r="D3892" s="9">
        <f>(C3892-B3892)*24</f>
        <v/>
      </c>
      <c r="E3892" s="10">
        <f>IF(AND(HOUR(B3892)&gt;=6,HOUR(B3892)&lt;18),"Day Shift","Night Shift")</f>
        <v/>
      </c>
      <c r="F3892" s="11">
        <f>INT(B3892)</f>
        <v/>
      </c>
      <c r="G3892" s="11">
        <f>INT(C3892)</f>
        <v/>
      </c>
    </row>
    <row r="3893">
      <c r="A3893" s="2" t="inlineStr">
        <is>
          <t>EXD409</t>
        </is>
      </c>
      <c r="B3893" s="3" t="n">
        <v>46096.25</v>
      </c>
      <c r="C3893" s="3" t="n">
        <v>46096.60445601852</v>
      </c>
      <c r="D3893" s="4">
        <f>(C3893-B3893)*24</f>
        <v/>
      </c>
      <c r="E3893" s="5">
        <f>IF(AND(HOUR(B3893)&gt;=6,HOUR(B3893)&lt;18),"Day Shift","Night Shift")</f>
        <v/>
      </c>
      <c r="F3893" s="6">
        <f>INT(B3893)</f>
        <v/>
      </c>
      <c r="G3893" s="6">
        <f>INT(C3893)</f>
        <v/>
      </c>
    </row>
    <row r="3894">
      <c r="A3894" s="7" t="inlineStr">
        <is>
          <t>EXD100</t>
        </is>
      </c>
      <c r="B3894" s="8" t="n">
        <v>46095.14025462963</v>
      </c>
      <c r="C3894" s="8" t="n">
        <v>46095.25</v>
      </c>
      <c r="D3894" s="9">
        <f>(C3894-B3894)*24</f>
        <v/>
      </c>
      <c r="E3894" s="10">
        <f>IF(AND(HOUR(B3894)&gt;=6,HOUR(B3894)&lt;18),"Day Shift","Night Shift")</f>
        <v/>
      </c>
      <c r="F3894" s="11">
        <f>INT(B3894)</f>
        <v/>
      </c>
      <c r="G3894" s="11">
        <f>INT(C3894)</f>
        <v/>
      </c>
    </row>
    <row r="3895">
      <c r="A3895" s="2" t="inlineStr">
        <is>
          <t>EXD100</t>
        </is>
      </c>
      <c r="B3895" s="3" t="n">
        <v>46095.25</v>
      </c>
      <c r="C3895" s="3" t="n">
        <v>46095.75</v>
      </c>
      <c r="D3895" s="4">
        <f>(C3895-B3895)*24</f>
        <v/>
      </c>
      <c r="E3895" s="5">
        <f>IF(AND(HOUR(B3895)&gt;=6,HOUR(B3895)&lt;18),"Day Shift","Night Shift")</f>
        <v/>
      </c>
      <c r="F3895" s="6">
        <f>INT(B3895)</f>
        <v/>
      </c>
      <c r="G3895" s="6">
        <f>INT(C3895)</f>
        <v/>
      </c>
    </row>
    <row r="3896">
      <c r="A3896" s="7" t="inlineStr">
        <is>
          <t>EXD100</t>
        </is>
      </c>
      <c r="B3896" s="8" t="n">
        <v>46095.75</v>
      </c>
      <c r="C3896" s="8" t="n">
        <v>46095.84278935185</v>
      </c>
      <c r="D3896" s="9">
        <f>(C3896-B3896)*24</f>
        <v/>
      </c>
      <c r="E3896" s="10">
        <f>IF(AND(HOUR(B3896)&gt;=6,HOUR(B3896)&lt;18),"Day Shift","Night Shift")</f>
        <v/>
      </c>
      <c r="F3896" s="11">
        <f>INT(B3896)</f>
        <v/>
      </c>
      <c r="G3896" s="11">
        <f>INT(C3896)</f>
        <v/>
      </c>
    </row>
    <row r="3897">
      <c r="A3897" s="7" t="inlineStr">
        <is>
          <t>EDD175;EDD1932;EDD2134;EDD2541;EDD812</t>
        </is>
      </c>
      <c r="B3897" s="8" t="n">
        <v>46095.1859375</v>
      </c>
      <c r="C3897" s="8" t="n">
        <v>46095.25</v>
      </c>
      <c r="D3897" s="9">
        <f>(C3897-B3897)*24</f>
        <v/>
      </c>
      <c r="E3897" s="10">
        <f>IF(AND(HOUR(B3897)&gt;=6,HOUR(B3897)&lt;18),"Day Shift","Night Shift")</f>
        <v/>
      </c>
      <c r="F3897" s="11">
        <f>INT(B3897)</f>
        <v/>
      </c>
      <c r="G3897" s="11">
        <f>INT(C3897)</f>
        <v/>
      </c>
    </row>
    <row r="3898">
      <c r="A3898" s="2" t="inlineStr">
        <is>
          <t>EDD175;EDD1932;EDD2134;EDD2541;EDD812</t>
        </is>
      </c>
      <c r="B3898" s="3" t="n">
        <v>46095.25</v>
      </c>
      <c r="C3898" s="3" t="n">
        <v>46095.52502314815</v>
      </c>
      <c r="D3898" s="4">
        <f>(C3898-B3898)*24</f>
        <v/>
      </c>
      <c r="E3898" s="5">
        <f>IF(AND(HOUR(B3898)&gt;=6,HOUR(B3898)&lt;18),"Day Shift","Night Shift")</f>
        <v/>
      </c>
      <c r="F3898" s="6">
        <f>INT(B3898)</f>
        <v/>
      </c>
      <c r="G3898" s="6">
        <f>INT(C3898)</f>
        <v/>
      </c>
    </row>
    <row r="3899">
      <c r="A3899" s="7" t="inlineStr">
        <is>
          <t>SHE36</t>
        </is>
      </c>
      <c r="B3899" s="8" t="n">
        <v>46095.22817129629</v>
      </c>
      <c r="C3899" s="8" t="n">
        <v>46095.25</v>
      </c>
      <c r="D3899" s="9">
        <f>(C3899-B3899)*24</f>
        <v/>
      </c>
      <c r="E3899" s="10">
        <f>IF(AND(HOUR(B3899)&gt;=6,HOUR(B3899)&lt;18),"Day Shift","Night Shift")</f>
        <v/>
      </c>
      <c r="F3899" s="11">
        <f>INT(B3899)</f>
        <v/>
      </c>
      <c r="G3899" s="11">
        <f>INT(C3899)</f>
        <v/>
      </c>
    </row>
    <row r="3900">
      <c r="A3900" s="2" t="inlineStr">
        <is>
          <t>SHE36</t>
        </is>
      </c>
      <c r="B3900" s="3" t="n">
        <v>46095.25</v>
      </c>
      <c r="C3900" s="3" t="n">
        <v>46095.47599537037</v>
      </c>
      <c r="D3900" s="4">
        <f>(C3900-B3900)*24</f>
        <v/>
      </c>
      <c r="E3900" s="5">
        <f>IF(AND(HOUR(B3900)&gt;=6,HOUR(B3900)&lt;18),"Day Shift","Night Shift")</f>
        <v/>
      </c>
      <c r="F3900" s="6">
        <f>INT(B3900)</f>
        <v/>
      </c>
      <c r="G3900" s="6">
        <f>INT(C3900)</f>
        <v/>
      </c>
    </row>
    <row r="3901">
      <c r="A3901" s="2" t="inlineStr">
        <is>
          <t>Blast Crew DS</t>
        </is>
      </c>
      <c r="B3901" s="3" t="n">
        <v>46095.35668981481</v>
      </c>
      <c r="C3901" s="3" t="n">
        <v>46095.48637731482</v>
      </c>
      <c r="D3901" s="4">
        <f>(C3901-B3901)*24</f>
        <v/>
      </c>
      <c r="E3901" s="5">
        <f>IF(AND(HOUR(B3901)&gt;=6,HOUR(B3901)&lt;18),"Day Shift","Night Shift")</f>
        <v/>
      </c>
      <c r="F3901" s="6">
        <f>INT(B3901)</f>
        <v/>
      </c>
      <c r="G3901" s="6">
        <f>INT(C3901)</f>
        <v/>
      </c>
    </row>
    <row r="3902">
      <c r="A3902" s="2" t="inlineStr">
        <is>
          <t>Sprint 1</t>
        </is>
      </c>
      <c r="B3902" s="3" t="n">
        <v>46095.48211805556</v>
      </c>
      <c r="C3902" s="3" t="n">
        <v>46095.75</v>
      </c>
      <c r="D3902" s="4">
        <f>(C3902-B3902)*24</f>
        <v/>
      </c>
      <c r="E3902" s="5">
        <f>IF(AND(HOUR(B3902)&gt;=6,HOUR(B3902)&lt;18),"Day Shift","Night Shift")</f>
        <v/>
      </c>
      <c r="F3902" s="6">
        <f>INT(B3902)</f>
        <v/>
      </c>
      <c r="G3902" s="6">
        <f>INT(C3902)</f>
        <v/>
      </c>
    </row>
    <row r="3903">
      <c r="A3903" s="7" t="inlineStr">
        <is>
          <t>Sprint 1</t>
        </is>
      </c>
      <c r="B3903" s="8" t="n">
        <v>46095.75</v>
      </c>
      <c r="C3903" s="8" t="n">
        <v>46095.79886574074</v>
      </c>
      <c r="D3903" s="9">
        <f>(C3903-B3903)*24</f>
        <v/>
      </c>
      <c r="E3903" s="10">
        <f>IF(AND(HOUR(B3903)&gt;=6,HOUR(B3903)&lt;18),"Day Shift","Night Shift")</f>
        <v/>
      </c>
      <c r="F3903" s="11">
        <f>INT(B3903)</f>
        <v/>
      </c>
      <c r="G3903" s="11">
        <f>INT(C3903)</f>
        <v/>
      </c>
    </row>
    <row r="3904">
      <c r="A3904" s="2" t="inlineStr">
        <is>
          <t>Blast Crew DS</t>
        </is>
      </c>
      <c r="B3904" s="3" t="n">
        <v>46095.48637731482</v>
      </c>
      <c r="C3904" s="3" t="n">
        <v>46095.61078703704</v>
      </c>
      <c r="D3904" s="4">
        <f>(C3904-B3904)*24</f>
        <v/>
      </c>
      <c r="E3904" s="5">
        <f>IF(AND(HOUR(B3904)&gt;=6,HOUR(B3904)&lt;18),"Day Shift","Night Shift")</f>
        <v/>
      </c>
      <c r="F3904" s="6">
        <f>INT(B3904)</f>
        <v/>
      </c>
      <c r="G3904" s="6">
        <f>INT(C3904)</f>
        <v/>
      </c>
    </row>
    <row r="3905">
      <c r="A3905" s="2" t="inlineStr">
        <is>
          <t>EDD2134</t>
        </is>
      </c>
      <c r="B3905" s="3" t="n">
        <v>46095.5</v>
      </c>
      <c r="C3905" s="3" t="n">
        <v>46095.75</v>
      </c>
      <c r="D3905" s="4">
        <f>(C3905-B3905)*24</f>
        <v/>
      </c>
      <c r="E3905" s="5">
        <f>IF(AND(HOUR(B3905)&gt;=6,HOUR(B3905)&lt;18),"Day Shift","Night Shift")</f>
        <v/>
      </c>
      <c r="F3905" s="6">
        <f>INT(B3905)</f>
        <v/>
      </c>
      <c r="G3905" s="6">
        <f>INT(C3905)</f>
        <v/>
      </c>
    </row>
    <row r="3906">
      <c r="A3906" s="7" t="inlineStr">
        <is>
          <t>EDD2134</t>
        </is>
      </c>
      <c r="B3906" s="8" t="n">
        <v>46095.75</v>
      </c>
      <c r="C3906" s="8" t="n">
        <v>46095.94722222222</v>
      </c>
      <c r="D3906" s="9">
        <f>(C3906-B3906)*24</f>
        <v/>
      </c>
      <c r="E3906" s="10">
        <f>IF(AND(HOUR(B3906)&gt;=6,HOUR(B3906)&lt;18),"Day Shift","Night Shift")</f>
        <v/>
      </c>
      <c r="F3906" s="11">
        <f>INT(B3906)</f>
        <v/>
      </c>
      <c r="G3906" s="11">
        <f>INT(C3906)</f>
        <v/>
      </c>
    </row>
    <row r="3907">
      <c r="A3907" s="2" t="inlineStr">
        <is>
          <t>EXD51</t>
        </is>
      </c>
      <c r="B3907" s="3" t="n">
        <v>46095.51991898148</v>
      </c>
      <c r="C3907" s="3" t="n">
        <v>46095.75</v>
      </c>
      <c r="D3907" s="4">
        <f>(C3907-B3907)*24</f>
        <v/>
      </c>
      <c r="E3907" s="5">
        <f>IF(AND(HOUR(B3907)&gt;=6,HOUR(B3907)&lt;18),"Day Shift","Night Shift")</f>
        <v/>
      </c>
      <c r="F3907" s="6">
        <f>INT(B3907)</f>
        <v/>
      </c>
      <c r="G3907" s="6">
        <f>INT(C3907)</f>
        <v/>
      </c>
    </row>
    <row r="3908">
      <c r="A3908" s="7" t="inlineStr">
        <is>
          <t>EXD51</t>
        </is>
      </c>
      <c r="B3908" s="8" t="n">
        <v>46095.75</v>
      </c>
      <c r="C3908" s="8" t="n">
        <v>46096.25</v>
      </c>
      <c r="D3908" s="9">
        <f>(C3908-B3908)*24</f>
        <v/>
      </c>
      <c r="E3908" s="10">
        <f>IF(AND(HOUR(B3908)&gt;=6,HOUR(B3908)&lt;18),"Day Shift","Night Shift")</f>
        <v/>
      </c>
      <c r="F3908" s="11">
        <f>INT(B3908)</f>
        <v/>
      </c>
      <c r="G3908" s="11">
        <f>INT(C3908)</f>
        <v/>
      </c>
    </row>
    <row r="3909">
      <c r="A3909" s="2" t="inlineStr">
        <is>
          <t>EXD51</t>
        </is>
      </c>
      <c r="B3909" s="3" t="n">
        <v>46096.25</v>
      </c>
      <c r="C3909" s="3" t="n">
        <v>46096.75</v>
      </c>
      <c r="D3909" s="4">
        <f>(C3909-B3909)*24</f>
        <v/>
      </c>
      <c r="E3909" s="5">
        <f>IF(AND(HOUR(B3909)&gt;=6,HOUR(B3909)&lt;18),"Day Shift","Night Shift")</f>
        <v/>
      </c>
      <c r="F3909" s="6">
        <f>INT(B3909)</f>
        <v/>
      </c>
      <c r="G3909" s="6">
        <f>INT(C3909)</f>
        <v/>
      </c>
    </row>
    <row r="3910">
      <c r="A3910" s="7" t="inlineStr">
        <is>
          <t>EXD51</t>
        </is>
      </c>
      <c r="B3910" s="8" t="n">
        <v>46096.75</v>
      </c>
      <c r="C3910" s="8" t="n">
        <v>46096.926875</v>
      </c>
      <c r="D3910" s="9">
        <f>(C3910-B3910)*24</f>
        <v/>
      </c>
      <c r="E3910" s="10">
        <f>IF(AND(HOUR(B3910)&gt;=6,HOUR(B3910)&lt;18),"Day Shift","Night Shift")</f>
        <v/>
      </c>
      <c r="F3910" s="11">
        <f>INT(B3910)</f>
        <v/>
      </c>
      <c r="G3910" s="11">
        <f>INT(C3910)</f>
        <v/>
      </c>
    </row>
    <row r="3911">
      <c r="A3911" s="2" t="inlineStr">
        <is>
          <t>EDD175;EDD1932;EDD2541;EDD812</t>
        </is>
      </c>
      <c r="B3911" s="3" t="n">
        <v>46095.52502314815</v>
      </c>
      <c r="C3911" s="3" t="n">
        <v>46095.75</v>
      </c>
      <c r="D3911" s="4">
        <f>(C3911-B3911)*24</f>
        <v/>
      </c>
      <c r="E3911" s="5">
        <f>IF(AND(HOUR(B3911)&gt;=6,HOUR(B3911)&lt;18),"Day Shift","Night Shift")</f>
        <v/>
      </c>
      <c r="F3911" s="6">
        <f>INT(B3911)</f>
        <v/>
      </c>
      <c r="G3911" s="6">
        <f>INT(C3911)</f>
        <v/>
      </c>
    </row>
    <row r="3912">
      <c r="A3912" s="7" t="inlineStr">
        <is>
          <t>EDD175;EDD1932;EDD2541;EDD812</t>
        </is>
      </c>
      <c r="B3912" s="8" t="n">
        <v>46095.75</v>
      </c>
      <c r="C3912" s="8" t="n">
        <v>46095.83556712963</v>
      </c>
      <c r="D3912" s="9">
        <f>(C3912-B3912)*24</f>
        <v/>
      </c>
      <c r="E3912" s="10">
        <f>IF(AND(HOUR(B3912)&gt;=6,HOUR(B3912)&lt;18),"Day Shift","Night Shift")</f>
        <v/>
      </c>
      <c r="F3912" s="11">
        <f>INT(B3912)</f>
        <v/>
      </c>
      <c r="G3912" s="11">
        <f>INT(C3912)</f>
        <v/>
      </c>
    </row>
    <row r="3913">
      <c r="A3913" s="2" t="inlineStr">
        <is>
          <t>Blast</t>
        </is>
      </c>
      <c r="B3913" s="3" t="n">
        <v>46095.52909722222</v>
      </c>
      <c r="C3913" s="3" t="n">
        <v>46095.52917824074</v>
      </c>
      <c r="D3913" s="4">
        <f>(C3913-B3913)*24</f>
        <v/>
      </c>
      <c r="E3913" s="5">
        <f>IF(AND(HOUR(B3913)&gt;=6,HOUR(B3913)&lt;18),"Day Shift","Night Shift")</f>
        <v/>
      </c>
      <c r="F3913" s="6">
        <f>INT(B3913)</f>
        <v/>
      </c>
      <c r="G3913" s="6">
        <f>INT(C3913)</f>
        <v/>
      </c>
    </row>
    <row r="3914">
      <c r="A3914" s="2" t="inlineStr">
        <is>
          <t>Blast</t>
        </is>
      </c>
      <c r="B3914" s="3" t="n">
        <v>46095.52917824074</v>
      </c>
      <c r="C3914" s="3" t="n">
        <v>46095.52928240741</v>
      </c>
      <c r="D3914" s="4">
        <f>(C3914-B3914)*24</f>
        <v/>
      </c>
      <c r="E3914" s="5">
        <f>IF(AND(HOUR(B3914)&gt;=6,HOUR(B3914)&lt;18),"Day Shift","Night Shift")</f>
        <v/>
      </c>
      <c r="F3914" s="6">
        <f>INT(B3914)</f>
        <v/>
      </c>
      <c r="G3914" s="6">
        <f>INT(C3914)</f>
        <v/>
      </c>
    </row>
    <row r="3915">
      <c r="A3915" s="2" t="inlineStr">
        <is>
          <t>Blast</t>
        </is>
      </c>
      <c r="B3915" s="3" t="n">
        <v>46095.52928240741</v>
      </c>
      <c r="C3915" s="3" t="n">
        <v>46095.52939814814</v>
      </c>
      <c r="D3915" s="4">
        <f>(C3915-B3915)*24</f>
        <v/>
      </c>
      <c r="E3915" s="5">
        <f>IF(AND(HOUR(B3915)&gt;=6,HOUR(B3915)&lt;18),"Day Shift","Night Shift")</f>
        <v/>
      </c>
      <c r="F3915" s="6">
        <f>INT(B3915)</f>
        <v/>
      </c>
      <c r="G3915" s="6">
        <f>INT(C3915)</f>
        <v/>
      </c>
    </row>
    <row r="3916">
      <c r="A3916" s="2" t="inlineStr">
        <is>
          <t>Blast</t>
        </is>
      </c>
      <c r="B3916" s="3" t="n">
        <v>46095.52939814814</v>
      </c>
      <c r="C3916" s="3" t="n">
        <v>46095.52951388889</v>
      </c>
      <c r="D3916" s="4">
        <f>(C3916-B3916)*24</f>
        <v/>
      </c>
      <c r="E3916" s="5">
        <f>IF(AND(HOUR(B3916)&gt;=6,HOUR(B3916)&lt;18),"Day Shift","Night Shift")</f>
        <v/>
      </c>
      <c r="F3916" s="6">
        <f>INT(B3916)</f>
        <v/>
      </c>
      <c r="G3916" s="6">
        <f>INT(C3916)</f>
        <v/>
      </c>
    </row>
    <row r="3917">
      <c r="A3917" s="2" t="inlineStr">
        <is>
          <t>Blast</t>
        </is>
      </c>
      <c r="B3917" s="3" t="n">
        <v>46095.52951388889</v>
      </c>
      <c r="C3917" s="3" t="n">
        <v>46095.52960648148</v>
      </c>
      <c r="D3917" s="4">
        <f>(C3917-B3917)*24</f>
        <v/>
      </c>
      <c r="E3917" s="5">
        <f>IF(AND(HOUR(B3917)&gt;=6,HOUR(B3917)&lt;18),"Day Shift","Night Shift")</f>
        <v/>
      </c>
      <c r="F3917" s="6">
        <f>INT(B3917)</f>
        <v/>
      </c>
      <c r="G3917" s="6">
        <f>INT(C3917)</f>
        <v/>
      </c>
    </row>
    <row r="3918">
      <c r="A3918" s="2" t="inlineStr">
        <is>
          <t>Blast</t>
        </is>
      </c>
      <c r="B3918" s="3" t="n">
        <v>46095.52960648148</v>
      </c>
      <c r="C3918" s="3" t="n">
        <v>46095.52969907408</v>
      </c>
      <c r="D3918" s="4">
        <f>(C3918-B3918)*24</f>
        <v/>
      </c>
      <c r="E3918" s="5">
        <f>IF(AND(HOUR(B3918)&gt;=6,HOUR(B3918)&lt;18),"Day Shift","Night Shift")</f>
        <v/>
      </c>
      <c r="F3918" s="6">
        <f>INT(B3918)</f>
        <v/>
      </c>
      <c r="G3918" s="6">
        <f>INT(C3918)</f>
        <v/>
      </c>
    </row>
    <row r="3919">
      <c r="A3919" s="2" t="inlineStr">
        <is>
          <t>Blast</t>
        </is>
      </c>
      <c r="B3919" s="3" t="n">
        <v>46095.52969907408</v>
      </c>
      <c r="C3919" s="3" t="n">
        <v>46095.52976851852</v>
      </c>
      <c r="D3919" s="4">
        <f>(C3919-B3919)*24</f>
        <v/>
      </c>
      <c r="E3919" s="5">
        <f>IF(AND(HOUR(B3919)&gt;=6,HOUR(B3919)&lt;18),"Day Shift","Night Shift")</f>
        <v/>
      </c>
      <c r="F3919" s="6">
        <f>INT(B3919)</f>
        <v/>
      </c>
      <c r="G3919" s="6">
        <f>INT(C3919)</f>
        <v/>
      </c>
    </row>
    <row r="3920">
      <c r="A3920" s="2" t="inlineStr">
        <is>
          <t>Blast</t>
        </is>
      </c>
      <c r="B3920" s="3" t="n">
        <v>46095.52976851852</v>
      </c>
      <c r="C3920" s="3" t="n">
        <v>46095.52984953704</v>
      </c>
      <c r="D3920" s="4">
        <f>(C3920-B3920)*24</f>
        <v/>
      </c>
      <c r="E3920" s="5">
        <f>IF(AND(HOUR(B3920)&gt;=6,HOUR(B3920)&lt;18),"Day Shift","Night Shift")</f>
        <v/>
      </c>
      <c r="F3920" s="6">
        <f>INT(B3920)</f>
        <v/>
      </c>
      <c r="G3920" s="6">
        <f>INT(C3920)</f>
        <v/>
      </c>
    </row>
    <row r="3921">
      <c r="A3921" s="2" t="inlineStr">
        <is>
          <t>Blast</t>
        </is>
      </c>
      <c r="B3921" s="3" t="n">
        <v>46095.52984953704</v>
      </c>
      <c r="C3921" s="3" t="n">
        <v>46095.52989583334</v>
      </c>
      <c r="D3921" s="4">
        <f>(C3921-B3921)*24</f>
        <v/>
      </c>
      <c r="E3921" s="5">
        <f>IF(AND(HOUR(B3921)&gt;=6,HOUR(B3921)&lt;18),"Day Shift","Night Shift")</f>
        <v/>
      </c>
      <c r="F3921" s="6">
        <f>INT(B3921)</f>
        <v/>
      </c>
      <c r="G3921" s="6">
        <f>INT(C3921)</f>
        <v/>
      </c>
    </row>
    <row r="3922">
      <c r="A3922" s="2" t="inlineStr">
        <is>
          <t>Blast</t>
        </is>
      </c>
      <c r="B3922" s="3" t="n">
        <v>46095.52989583334</v>
      </c>
      <c r="C3922" s="3" t="n">
        <v>46095.52990740741</v>
      </c>
      <c r="D3922" s="4">
        <f>(C3922-B3922)*24</f>
        <v/>
      </c>
      <c r="E3922" s="5">
        <f>IF(AND(HOUR(B3922)&gt;=6,HOUR(B3922)&lt;18),"Day Shift","Night Shift")</f>
        <v/>
      </c>
      <c r="F3922" s="6">
        <f>INT(B3922)</f>
        <v/>
      </c>
      <c r="G3922" s="6">
        <f>INT(C3922)</f>
        <v/>
      </c>
    </row>
    <row r="3923">
      <c r="A3923" s="2" t="inlineStr">
        <is>
          <t>Blast</t>
        </is>
      </c>
      <c r="B3923" s="3" t="n">
        <v>46095.52990740741</v>
      </c>
      <c r="C3923" s="3" t="n">
        <v>46095.53001157408</v>
      </c>
      <c r="D3923" s="4">
        <f>(C3923-B3923)*24</f>
        <v/>
      </c>
      <c r="E3923" s="5">
        <f>IF(AND(HOUR(B3923)&gt;=6,HOUR(B3923)&lt;18),"Day Shift","Night Shift")</f>
        <v/>
      </c>
      <c r="F3923" s="6">
        <f>INT(B3923)</f>
        <v/>
      </c>
      <c r="G3923" s="6">
        <f>INT(C3923)</f>
        <v/>
      </c>
    </row>
    <row r="3924">
      <c r="A3924" s="2" t="inlineStr">
        <is>
          <t>Blast</t>
        </is>
      </c>
      <c r="B3924" s="3" t="n">
        <v>46095.53001157408</v>
      </c>
      <c r="C3924" s="3" t="n">
        <v>46095.53011574074</v>
      </c>
      <c r="D3924" s="4">
        <f>(C3924-B3924)*24</f>
        <v/>
      </c>
      <c r="E3924" s="5">
        <f>IF(AND(HOUR(B3924)&gt;=6,HOUR(B3924)&lt;18),"Day Shift","Night Shift")</f>
        <v/>
      </c>
      <c r="F3924" s="6">
        <f>INT(B3924)</f>
        <v/>
      </c>
      <c r="G3924" s="6">
        <f>INT(C3924)</f>
        <v/>
      </c>
    </row>
    <row r="3925">
      <c r="A3925" s="2" t="inlineStr">
        <is>
          <t>Blast</t>
        </is>
      </c>
      <c r="B3925" s="3" t="n">
        <v>46095.53011574074</v>
      </c>
      <c r="C3925" s="3" t="n">
        <v>46095.53024305555</v>
      </c>
      <c r="D3925" s="4">
        <f>(C3925-B3925)*24</f>
        <v/>
      </c>
      <c r="E3925" s="5">
        <f>IF(AND(HOUR(B3925)&gt;=6,HOUR(B3925)&lt;18),"Day Shift","Night Shift")</f>
        <v/>
      </c>
      <c r="F3925" s="6">
        <f>INT(B3925)</f>
        <v/>
      </c>
      <c r="G3925" s="6">
        <f>INT(C3925)</f>
        <v/>
      </c>
    </row>
    <row r="3926">
      <c r="A3926" s="2" t="inlineStr">
        <is>
          <t>Blast</t>
        </is>
      </c>
      <c r="B3926" s="3" t="n">
        <v>46095.53024305555</v>
      </c>
      <c r="C3926" s="3" t="n">
        <v>46095.53037037037</v>
      </c>
      <c r="D3926" s="4">
        <f>(C3926-B3926)*24</f>
        <v/>
      </c>
      <c r="E3926" s="5">
        <f>IF(AND(HOUR(B3926)&gt;=6,HOUR(B3926)&lt;18),"Day Shift","Night Shift")</f>
        <v/>
      </c>
      <c r="F3926" s="6">
        <f>INT(B3926)</f>
        <v/>
      </c>
      <c r="G3926" s="6">
        <f>INT(C3926)</f>
        <v/>
      </c>
    </row>
    <row r="3927">
      <c r="A3927" s="2" t="inlineStr">
        <is>
          <t>Blast</t>
        </is>
      </c>
      <c r="B3927" s="3" t="n">
        <v>46095.53037037037</v>
      </c>
      <c r="C3927" s="3" t="n">
        <v>46095.53047453704</v>
      </c>
      <c r="D3927" s="4">
        <f>(C3927-B3927)*24</f>
        <v/>
      </c>
      <c r="E3927" s="5">
        <f>IF(AND(HOUR(B3927)&gt;=6,HOUR(B3927)&lt;18),"Day Shift","Night Shift")</f>
        <v/>
      </c>
      <c r="F3927" s="6">
        <f>INT(B3927)</f>
        <v/>
      </c>
      <c r="G3927" s="6">
        <f>INT(C3927)</f>
        <v/>
      </c>
    </row>
    <row r="3928">
      <c r="A3928" s="2" t="inlineStr">
        <is>
          <t>Blast</t>
        </is>
      </c>
      <c r="B3928" s="3" t="n">
        <v>46095.53047453704</v>
      </c>
      <c r="C3928" s="3" t="n">
        <v>46095.53059027778</v>
      </c>
      <c r="D3928" s="4">
        <f>(C3928-B3928)*24</f>
        <v/>
      </c>
      <c r="E3928" s="5">
        <f>IF(AND(HOUR(B3928)&gt;=6,HOUR(B3928)&lt;18),"Day Shift","Night Shift")</f>
        <v/>
      </c>
      <c r="F3928" s="6">
        <f>INT(B3928)</f>
        <v/>
      </c>
      <c r="G3928" s="6">
        <f>INT(C3928)</f>
        <v/>
      </c>
    </row>
    <row r="3929">
      <c r="A3929" s="2" t="inlineStr">
        <is>
          <t>Blast</t>
        </is>
      </c>
      <c r="B3929" s="3" t="n">
        <v>46095.53059027778</v>
      </c>
      <c r="C3929" s="3" t="n">
        <v>46095.53069444445</v>
      </c>
      <c r="D3929" s="4">
        <f>(C3929-B3929)*24</f>
        <v/>
      </c>
      <c r="E3929" s="5">
        <f>IF(AND(HOUR(B3929)&gt;=6,HOUR(B3929)&lt;18),"Day Shift","Night Shift")</f>
        <v/>
      </c>
      <c r="F3929" s="6">
        <f>INT(B3929)</f>
        <v/>
      </c>
      <c r="G3929" s="6">
        <f>INT(C3929)</f>
        <v/>
      </c>
    </row>
    <row r="3930">
      <c r="A3930" s="2" t="inlineStr">
        <is>
          <t>Blast</t>
        </is>
      </c>
      <c r="B3930" s="3" t="n">
        <v>46095.53069444445</v>
      </c>
      <c r="C3930" s="3" t="n">
        <v>46095.53079861111</v>
      </c>
      <c r="D3930" s="4">
        <f>(C3930-B3930)*24</f>
        <v/>
      </c>
      <c r="E3930" s="5">
        <f>IF(AND(HOUR(B3930)&gt;=6,HOUR(B3930)&lt;18),"Day Shift","Night Shift")</f>
        <v/>
      </c>
      <c r="F3930" s="6">
        <f>INT(B3930)</f>
        <v/>
      </c>
      <c r="G3930" s="6">
        <f>INT(C3930)</f>
        <v/>
      </c>
    </row>
    <row r="3931">
      <c r="A3931" s="2" t="inlineStr">
        <is>
          <t>Blast</t>
        </is>
      </c>
      <c r="B3931" s="3" t="n">
        <v>46095.53079861111</v>
      </c>
      <c r="C3931" s="3" t="n">
        <v>46095.53085648148</v>
      </c>
      <c r="D3931" s="4">
        <f>(C3931-B3931)*24</f>
        <v/>
      </c>
      <c r="E3931" s="5">
        <f>IF(AND(HOUR(B3931)&gt;=6,HOUR(B3931)&lt;18),"Day Shift","Night Shift")</f>
        <v/>
      </c>
      <c r="F3931" s="6">
        <f>INT(B3931)</f>
        <v/>
      </c>
      <c r="G3931" s="6">
        <f>INT(C3931)</f>
        <v/>
      </c>
    </row>
    <row r="3932">
      <c r="A3932" s="2" t="inlineStr">
        <is>
          <t>Blast</t>
        </is>
      </c>
      <c r="B3932" s="3" t="n">
        <v>46095.53085648148</v>
      </c>
      <c r="C3932" s="3" t="n">
        <v>46095.53089120371</v>
      </c>
      <c r="D3932" s="4">
        <f>(C3932-B3932)*24</f>
        <v/>
      </c>
      <c r="E3932" s="5">
        <f>IF(AND(HOUR(B3932)&gt;=6,HOUR(B3932)&lt;18),"Day Shift","Night Shift")</f>
        <v/>
      </c>
      <c r="F3932" s="6">
        <f>INT(B3932)</f>
        <v/>
      </c>
      <c r="G3932" s="6">
        <f>INT(C3932)</f>
        <v/>
      </c>
    </row>
    <row r="3933">
      <c r="A3933" s="2" t="inlineStr">
        <is>
          <t>Blast</t>
        </is>
      </c>
      <c r="B3933" s="3" t="n">
        <v>46095.53089120371</v>
      </c>
      <c r="C3933" s="3" t="n">
        <v>46095.5309837963</v>
      </c>
      <c r="D3933" s="4">
        <f>(C3933-B3933)*24</f>
        <v/>
      </c>
      <c r="E3933" s="5">
        <f>IF(AND(HOUR(B3933)&gt;=6,HOUR(B3933)&lt;18),"Day Shift","Night Shift")</f>
        <v/>
      </c>
      <c r="F3933" s="6">
        <f>INT(B3933)</f>
        <v/>
      </c>
      <c r="G3933" s="6">
        <f>INT(C3933)</f>
        <v/>
      </c>
    </row>
    <row r="3934">
      <c r="A3934" s="2" t="inlineStr">
        <is>
          <t>Blast</t>
        </is>
      </c>
      <c r="B3934" s="3" t="n">
        <v>46095.5309837963</v>
      </c>
      <c r="C3934" s="3" t="n">
        <v>46095.53109953704</v>
      </c>
      <c r="D3934" s="4">
        <f>(C3934-B3934)*24</f>
        <v/>
      </c>
      <c r="E3934" s="5">
        <f>IF(AND(HOUR(B3934)&gt;=6,HOUR(B3934)&lt;18),"Day Shift","Night Shift")</f>
        <v/>
      </c>
      <c r="F3934" s="6">
        <f>INT(B3934)</f>
        <v/>
      </c>
      <c r="G3934" s="6">
        <f>INT(C3934)</f>
        <v/>
      </c>
    </row>
    <row r="3935">
      <c r="A3935" s="2" t="inlineStr">
        <is>
          <t>Blast</t>
        </is>
      </c>
      <c r="B3935" s="3" t="n">
        <v>46095.53109953704</v>
      </c>
      <c r="C3935" s="3" t="n">
        <v>46095.53121527778</v>
      </c>
      <c r="D3935" s="4">
        <f>(C3935-B3935)*24</f>
        <v/>
      </c>
      <c r="E3935" s="5">
        <f>IF(AND(HOUR(B3935)&gt;=6,HOUR(B3935)&lt;18),"Day Shift","Night Shift")</f>
        <v/>
      </c>
      <c r="F3935" s="6">
        <f>INT(B3935)</f>
        <v/>
      </c>
      <c r="G3935" s="6">
        <f>INT(C3935)</f>
        <v/>
      </c>
    </row>
    <row r="3936">
      <c r="A3936" s="2" t="inlineStr">
        <is>
          <t>Blast</t>
        </is>
      </c>
      <c r="B3936" s="3" t="n">
        <v>46095.53121527778</v>
      </c>
      <c r="C3936" s="3" t="n">
        <v>46095.53134259259</v>
      </c>
      <c r="D3936" s="4">
        <f>(C3936-B3936)*24</f>
        <v/>
      </c>
      <c r="E3936" s="5">
        <f>IF(AND(HOUR(B3936)&gt;=6,HOUR(B3936)&lt;18),"Day Shift","Night Shift")</f>
        <v/>
      </c>
      <c r="F3936" s="6">
        <f>INT(B3936)</f>
        <v/>
      </c>
      <c r="G3936" s="6">
        <f>INT(C3936)</f>
        <v/>
      </c>
    </row>
    <row r="3937">
      <c r="A3937" s="2" t="inlineStr">
        <is>
          <t>Blast</t>
        </is>
      </c>
      <c r="B3937" s="3" t="n">
        <v>46095.53134259259</v>
      </c>
      <c r="C3937" s="3" t="n">
        <v>46095.53145833333</v>
      </c>
      <c r="D3937" s="4">
        <f>(C3937-B3937)*24</f>
        <v/>
      </c>
      <c r="E3937" s="5">
        <f>IF(AND(HOUR(B3937)&gt;=6,HOUR(B3937)&lt;18),"Day Shift","Night Shift")</f>
        <v/>
      </c>
      <c r="F3937" s="6">
        <f>INT(B3937)</f>
        <v/>
      </c>
      <c r="G3937" s="6">
        <f>INT(C3937)</f>
        <v/>
      </c>
    </row>
    <row r="3938">
      <c r="A3938" s="2" t="inlineStr">
        <is>
          <t>Blast</t>
        </is>
      </c>
      <c r="B3938" s="3" t="n">
        <v>46095.53145833333</v>
      </c>
      <c r="C3938" s="3" t="n">
        <v>46095.5315625</v>
      </c>
      <c r="D3938" s="4">
        <f>(C3938-B3938)*24</f>
        <v/>
      </c>
      <c r="E3938" s="5">
        <f>IF(AND(HOUR(B3938)&gt;=6,HOUR(B3938)&lt;18),"Day Shift","Night Shift")</f>
        <v/>
      </c>
      <c r="F3938" s="6">
        <f>INT(B3938)</f>
        <v/>
      </c>
      <c r="G3938" s="6">
        <f>INT(C3938)</f>
        <v/>
      </c>
    </row>
    <row r="3939">
      <c r="A3939" s="2" t="inlineStr">
        <is>
          <t>Blast</t>
        </is>
      </c>
      <c r="B3939" s="3" t="n">
        <v>46095.5315625</v>
      </c>
      <c r="C3939" s="3" t="n">
        <v>46095.53165509259</v>
      </c>
      <c r="D3939" s="4">
        <f>(C3939-B3939)*24</f>
        <v/>
      </c>
      <c r="E3939" s="5">
        <f>IF(AND(HOUR(B3939)&gt;=6,HOUR(B3939)&lt;18),"Day Shift","Night Shift")</f>
        <v/>
      </c>
      <c r="F3939" s="6">
        <f>INT(B3939)</f>
        <v/>
      </c>
      <c r="G3939" s="6">
        <f>INT(C3939)</f>
        <v/>
      </c>
    </row>
    <row r="3940">
      <c r="A3940" s="2" t="inlineStr">
        <is>
          <t>Blast</t>
        </is>
      </c>
      <c r="B3940" s="3" t="n">
        <v>46095.53165509259</v>
      </c>
      <c r="C3940" s="3" t="n">
        <v>46095.53174768519</v>
      </c>
      <c r="D3940" s="4">
        <f>(C3940-B3940)*24</f>
        <v/>
      </c>
      <c r="E3940" s="5">
        <f>IF(AND(HOUR(B3940)&gt;=6,HOUR(B3940)&lt;18),"Day Shift","Night Shift")</f>
        <v/>
      </c>
      <c r="F3940" s="6">
        <f>INT(B3940)</f>
        <v/>
      </c>
      <c r="G3940" s="6">
        <f>INT(C3940)</f>
        <v/>
      </c>
    </row>
    <row r="3941">
      <c r="A3941" s="2" t="inlineStr">
        <is>
          <t>Blast</t>
        </is>
      </c>
      <c r="B3941" s="3" t="n">
        <v>46095.53174768519</v>
      </c>
      <c r="C3941" s="3" t="n">
        <v>46095.53175925926</v>
      </c>
      <c r="D3941" s="4">
        <f>(C3941-B3941)*24</f>
        <v/>
      </c>
      <c r="E3941" s="5">
        <f>IF(AND(HOUR(B3941)&gt;=6,HOUR(B3941)&lt;18),"Day Shift","Night Shift")</f>
        <v/>
      </c>
      <c r="F3941" s="6">
        <f>INT(B3941)</f>
        <v/>
      </c>
      <c r="G3941" s="6">
        <f>INT(C3941)</f>
        <v/>
      </c>
    </row>
    <row r="3942">
      <c r="A3942" s="2" t="inlineStr">
        <is>
          <t>Blast</t>
        </is>
      </c>
      <c r="B3942" s="3" t="n">
        <v>46095.53175925926</v>
      </c>
      <c r="C3942" s="3" t="n">
        <v>46095.53178240741</v>
      </c>
      <c r="D3942" s="4">
        <f>(C3942-B3942)*24</f>
        <v/>
      </c>
      <c r="E3942" s="5">
        <f>IF(AND(HOUR(B3942)&gt;=6,HOUR(B3942)&lt;18),"Day Shift","Night Shift")</f>
        <v/>
      </c>
      <c r="F3942" s="6">
        <f>INT(B3942)</f>
        <v/>
      </c>
      <c r="G3942" s="6">
        <f>INT(C3942)</f>
        <v/>
      </c>
    </row>
    <row r="3943">
      <c r="A3943" s="2" t="inlineStr">
        <is>
          <t>Blast</t>
        </is>
      </c>
      <c r="B3943" s="3" t="n">
        <v>46095.53178240741</v>
      </c>
      <c r="C3943" s="3" t="n">
        <v>46095.531875</v>
      </c>
      <c r="D3943" s="4">
        <f>(C3943-B3943)*24</f>
        <v/>
      </c>
      <c r="E3943" s="5">
        <f>IF(AND(HOUR(B3943)&gt;=6,HOUR(B3943)&lt;18),"Day Shift","Night Shift")</f>
        <v/>
      </c>
      <c r="F3943" s="6">
        <f>INT(B3943)</f>
        <v/>
      </c>
      <c r="G3943" s="6">
        <f>INT(C3943)</f>
        <v/>
      </c>
    </row>
    <row r="3944">
      <c r="A3944" s="2" t="inlineStr">
        <is>
          <t>Blast</t>
        </is>
      </c>
      <c r="B3944" s="3" t="n">
        <v>46095.531875</v>
      </c>
      <c r="C3944" s="3" t="n">
        <v>46095.53199074074</v>
      </c>
      <c r="D3944" s="4">
        <f>(C3944-B3944)*24</f>
        <v/>
      </c>
      <c r="E3944" s="5">
        <f>IF(AND(HOUR(B3944)&gt;=6,HOUR(B3944)&lt;18),"Day Shift","Night Shift")</f>
        <v/>
      </c>
      <c r="F3944" s="6">
        <f>INT(B3944)</f>
        <v/>
      </c>
      <c r="G3944" s="6">
        <f>INT(C3944)</f>
        <v/>
      </c>
    </row>
    <row r="3945">
      <c r="A3945" s="2" t="inlineStr">
        <is>
          <t>Blast</t>
        </is>
      </c>
      <c r="B3945" s="3" t="n">
        <v>46095.53199074074</v>
      </c>
      <c r="C3945" s="3" t="n">
        <v>46095.53211805555</v>
      </c>
      <c r="D3945" s="4">
        <f>(C3945-B3945)*24</f>
        <v/>
      </c>
      <c r="E3945" s="5">
        <f>IF(AND(HOUR(B3945)&gt;=6,HOUR(B3945)&lt;18),"Day Shift","Night Shift")</f>
        <v/>
      </c>
      <c r="F3945" s="6">
        <f>INT(B3945)</f>
        <v/>
      </c>
      <c r="G3945" s="6">
        <f>INT(C3945)</f>
        <v/>
      </c>
    </row>
    <row r="3946">
      <c r="A3946" s="2" t="inlineStr">
        <is>
          <t>Blast</t>
        </is>
      </c>
      <c r="B3946" s="3" t="n">
        <v>46095.53211805555</v>
      </c>
      <c r="C3946" s="3" t="n">
        <v>46095.53223379629</v>
      </c>
      <c r="D3946" s="4">
        <f>(C3946-B3946)*24</f>
        <v/>
      </c>
      <c r="E3946" s="5">
        <f>IF(AND(HOUR(B3946)&gt;=6,HOUR(B3946)&lt;18),"Day Shift","Night Shift")</f>
        <v/>
      </c>
      <c r="F3946" s="6">
        <f>INT(B3946)</f>
        <v/>
      </c>
      <c r="G3946" s="6">
        <f>INT(C3946)</f>
        <v/>
      </c>
    </row>
    <row r="3947">
      <c r="A3947" s="2" t="inlineStr">
        <is>
          <t>Blast</t>
        </is>
      </c>
      <c r="B3947" s="3" t="n">
        <v>46095.53223379629</v>
      </c>
      <c r="C3947" s="3" t="n">
        <v>46095.53233796296</v>
      </c>
      <c r="D3947" s="4">
        <f>(C3947-B3947)*24</f>
        <v/>
      </c>
      <c r="E3947" s="5">
        <f>IF(AND(HOUR(B3947)&gt;=6,HOUR(B3947)&lt;18),"Day Shift","Night Shift")</f>
        <v/>
      </c>
      <c r="F3947" s="6">
        <f>INT(B3947)</f>
        <v/>
      </c>
      <c r="G3947" s="6">
        <f>INT(C3947)</f>
        <v/>
      </c>
    </row>
    <row r="3948">
      <c r="A3948" s="2" t="inlineStr">
        <is>
          <t>Blast</t>
        </is>
      </c>
      <c r="B3948" s="3" t="n">
        <v>46095.53233796296</v>
      </c>
      <c r="C3948" s="3" t="n">
        <v>46095.53244212963</v>
      </c>
      <c r="D3948" s="4">
        <f>(C3948-B3948)*24</f>
        <v/>
      </c>
      <c r="E3948" s="5">
        <f>IF(AND(HOUR(B3948)&gt;=6,HOUR(B3948)&lt;18),"Day Shift","Night Shift")</f>
        <v/>
      </c>
      <c r="F3948" s="6">
        <f>INT(B3948)</f>
        <v/>
      </c>
      <c r="G3948" s="6">
        <f>INT(C3948)</f>
        <v/>
      </c>
    </row>
    <row r="3949">
      <c r="A3949" s="2" t="inlineStr">
        <is>
          <t>Blast</t>
        </is>
      </c>
      <c r="B3949" s="3" t="n">
        <v>46095.53244212963</v>
      </c>
      <c r="C3949" s="3" t="n">
        <v>46095.53254629629</v>
      </c>
      <c r="D3949" s="4">
        <f>(C3949-B3949)*24</f>
        <v/>
      </c>
      <c r="E3949" s="5">
        <f>IF(AND(HOUR(B3949)&gt;=6,HOUR(B3949)&lt;18),"Day Shift","Night Shift")</f>
        <v/>
      </c>
      <c r="F3949" s="6">
        <f>INT(B3949)</f>
        <v/>
      </c>
      <c r="G3949" s="6">
        <f>INT(C3949)</f>
        <v/>
      </c>
    </row>
    <row r="3950">
      <c r="A3950" s="2" t="inlineStr">
        <is>
          <t>Blast</t>
        </is>
      </c>
      <c r="B3950" s="3" t="n">
        <v>46095.53254629629</v>
      </c>
      <c r="C3950" s="3" t="n">
        <v>46095.53262731482</v>
      </c>
      <c r="D3950" s="4">
        <f>(C3950-B3950)*24</f>
        <v/>
      </c>
      <c r="E3950" s="5">
        <f>IF(AND(HOUR(B3950)&gt;=6,HOUR(B3950)&lt;18),"Day Shift","Night Shift")</f>
        <v/>
      </c>
      <c r="F3950" s="6">
        <f>INT(B3950)</f>
        <v/>
      </c>
      <c r="G3950" s="6">
        <f>INT(C3950)</f>
        <v/>
      </c>
    </row>
    <row r="3951">
      <c r="A3951" s="2" t="inlineStr">
        <is>
          <t>Blast</t>
        </is>
      </c>
      <c r="B3951" s="3" t="n">
        <v>46095.53262731482</v>
      </c>
      <c r="C3951" s="3" t="n">
        <v>46095.53263888889</v>
      </c>
      <c r="D3951" s="4">
        <f>(C3951-B3951)*24</f>
        <v/>
      </c>
      <c r="E3951" s="5">
        <f>IF(AND(HOUR(B3951)&gt;=6,HOUR(B3951)&lt;18),"Day Shift","Night Shift")</f>
        <v/>
      </c>
      <c r="F3951" s="6">
        <f>INT(B3951)</f>
        <v/>
      </c>
      <c r="G3951" s="6">
        <f>INT(C3951)</f>
        <v/>
      </c>
    </row>
    <row r="3952">
      <c r="A3952" s="2" t="inlineStr">
        <is>
          <t>Blast</t>
        </is>
      </c>
      <c r="B3952" s="3" t="n">
        <v>46095.53263888889</v>
      </c>
      <c r="C3952" s="3" t="n">
        <v>46095.53269675926</v>
      </c>
      <c r="D3952" s="4">
        <f>(C3952-B3952)*24</f>
        <v/>
      </c>
      <c r="E3952" s="5">
        <f>IF(AND(HOUR(B3952)&gt;=6,HOUR(B3952)&lt;18),"Day Shift","Night Shift")</f>
        <v/>
      </c>
      <c r="F3952" s="6">
        <f>INT(B3952)</f>
        <v/>
      </c>
      <c r="G3952" s="6">
        <f>INT(C3952)</f>
        <v/>
      </c>
    </row>
    <row r="3953">
      <c r="A3953" s="2" t="inlineStr">
        <is>
          <t>Blast</t>
        </is>
      </c>
      <c r="B3953" s="3" t="n">
        <v>46095.53269675926</v>
      </c>
      <c r="C3953" s="3" t="n">
        <v>46095.53280092592</v>
      </c>
      <c r="D3953" s="4">
        <f>(C3953-B3953)*24</f>
        <v/>
      </c>
      <c r="E3953" s="5">
        <f>IF(AND(HOUR(B3953)&gt;=6,HOUR(B3953)&lt;18),"Day Shift","Night Shift")</f>
        <v/>
      </c>
      <c r="F3953" s="6">
        <f>INT(B3953)</f>
        <v/>
      </c>
      <c r="G3953" s="6">
        <f>INT(C3953)</f>
        <v/>
      </c>
    </row>
    <row r="3954">
      <c r="A3954" s="2" t="inlineStr">
        <is>
          <t>Blast</t>
        </is>
      </c>
      <c r="B3954" s="3" t="n">
        <v>46095.53280092592</v>
      </c>
      <c r="C3954" s="3" t="n">
        <v>46095.53292824074</v>
      </c>
      <c r="D3954" s="4">
        <f>(C3954-B3954)*24</f>
        <v/>
      </c>
      <c r="E3954" s="5">
        <f>IF(AND(HOUR(B3954)&gt;=6,HOUR(B3954)&lt;18),"Day Shift","Night Shift")</f>
        <v/>
      </c>
      <c r="F3954" s="6">
        <f>INT(B3954)</f>
        <v/>
      </c>
      <c r="G3954" s="6">
        <f>INT(C3954)</f>
        <v/>
      </c>
    </row>
    <row r="3955">
      <c r="A3955" s="2" t="inlineStr">
        <is>
          <t>Blast</t>
        </is>
      </c>
      <c r="B3955" s="3" t="n">
        <v>46095.53292824074</v>
      </c>
      <c r="C3955" s="3" t="n">
        <v>46095.53306712963</v>
      </c>
      <c r="D3955" s="4">
        <f>(C3955-B3955)*24</f>
        <v/>
      </c>
      <c r="E3955" s="5">
        <f>IF(AND(HOUR(B3955)&gt;=6,HOUR(B3955)&lt;18),"Day Shift","Night Shift")</f>
        <v/>
      </c>
      <c r="F3955" s="6">
        <f>INT(B3955)</f>
        <v/>
      </c>
      <c r="G3955" s="6">
        <f>INT(C3955)</f>
        <v/>
      </c>
    </row>
    <row r="3956">
      <c r="A3956" s="2" t="inlineStr">
        <is>
          <t>Blast</t>
        </is>
      </c>
      <c r="B3956" s="3" t="n">
        <v>46095.53306712963</v>
      </c>
      <c r="C3956" s="3" t="n">
        <v>46095.53318287037</v>
      </c>
      <c r="D3956" s="4">
        <f>(C3956-B3956)*24</f>
        <v/>
      </c>
      <c r="E3956" s="5">
        <f>IF(AND(HOUR(B3956)&gt;=6,HOUR(B3956)&lt;18),"Day Shift","Night Shift")</f>
        <v/>
      </c>
      <c r="F3956" s="6">
        <f>INT(B3956)</f>
        <v/>
      </c>
      <c r="G3956" s="6">
        <f>INT(C3956)</f>
        <v/>
      </c>
    </row>
    <row r="3957">
      <c r="A3957" s="2" t="inlineStr">
        <is>
          <t>Blast</t>
        </is>
      </c>
      <c r="B3957" s="3" t="n">
        <v>46095.53318287037</v>
      </c>
      <c r="C3957" s="3" t="n">
        <v>46095.53328703704</v>
      </c>
      <c r="D3957" s="4">
        <f>(C3957-B3957)*24</f>
        <v/>
      </c>
      <c r="E3957" s="5">
        <f>IF(AND(HOUR(B3957)&gt;=6,HOUR(B3957)&lt;18),"Day Shift","Night Shift")</f>
        <v/>
      </c>
      <c r="F3957" s="6">
        <f>INT(B3957)</f>
        <v/>
      </c>
      <c r="G3957" s="6">
        <f>INT(C3957)</f>
        <v/>
      </c>
    </row>
    <row r="3958">
      <c r="A3958" s="2" t="inlineStr">
        <is>
          <t>Blast</t>
        </is>
      </c>
      <c r="B3958" s="3" t="n">
        <v>46095.53328703704</v>
      </c>
      <c r="C3958" s="3" t="n">
        <v>46095.53337962963</v>
      </c>
      <c r="D3958" s="4">
        <f>(C3958-B3958)*24</f>
        <v/>
      </c>
      <c r="E3958" s="5">
        <f>IF(AND(HOUR(B3958)&gt;=6,HOUR(B3958)&lt;18),"Day Shift","Night Shift")</f>
        <v/>
      </c>
      <c r="F3958" s="6">
        <f>INT(B3958)</f>
        <v/>
      </c>
      <c r="G3958" s="6">
        <f>INT(C3958)</f>
        <v/>
      </c>
    </row>
    <row r="3959">
      <c r="A3959" s="2" t="inlineStr">
        <is>
          <t>Blast</t>
        </is>
      </c>
      <c r="B3959" s="3" t="n">
        <v>46095.53337962963</v>
      </c>
      <c r="C3959" s="3" t="n">
        <v>46095.53348379629</v>
      </c>
      <c r="D3959" s="4">
        <f>(C3959-B3959)*24</f>
        <v/>
      </c>
      <c r="E3959" s="5">
        <f>IF(AND(HOUR(B3959)&gt;=6,HOUR(B3959)&lt;18),"Day Shift","Night Shift")</f>
        <v/>
      </c>
      <c r="F3959" s="6">
        <f>INT(B3959)</f>
        <v/>
      </c>
      <c r="G3959" s="6">
        <f>INT(C3959)</f>
        <v/>
      </c>
    </row>
    <row r="3960">
      <c r="A3960" s="2" t="inlineStr">
        <is>
          <t>Blast</t>
        </is>
      </c>
      <c r="B3960" s="3" t="n">
        <v>46095.53348379629</v>
      </c>
      <c r="C3960" s="3" t="n">
        <v>46095.53353009259</v>
      </c>
      <c r="D3960" s="4">
        <f>(C3960-B3960)*24</f>
        <v/>
      </c>
      <c r="E3960" s="5">
        <f>IF(AND(HOUR(B3960)&gt;=6,HOUR(B3960)&lt;18),"Day Shift","Night Shift")</f>
        <v/>
      </c>
      <c r="F3960" s="6">
        <f>INT(B3960)</f>
        <v/>
      </c>
      <c r="G3960" s="6">
        <f>INT(C3960)</f>
        <v/>
      </c>
    </row>
    <row r="3961">
      <c r="A3961" s="2" t="inlineStr">
        <is>
          <t>Blast</t>
        </is>
      </c>
      <c r="B3961" s="3" t="n">
        <v>46095.53353009259</v>
      </c>
      <c r="C3961" s="3" t="n">
        <v>46095.53354166666</v>
      </c>
      <c r="D3961" s="4">
        <f>(C3961-B3961)*24</f>
        <v/>
      </c>
      <c r="E3961" s="5">
        <f>IF(AND(HOUR(B3961)&gt;=6,HOUR(B3961)&lt;18),"Day Shift","Night Shift")</f>
        <v/>
      </c>
      <c r="F3961" s="6">
        <f>INT(B3961)</f>
        <v/>
      </c>
      <c r="G3961" s="6">
        <f>INT(C3961)</f>
        <v/>
      </c>
    </row>
    <row r="3962">
      <c r="A3962" s="2" t="inlineStr">
        <is>
          <t>Blast</t>
        </is>
      </c>
      <c r="B3962" s="3" t="n">
        <v>46095.53354166666</v>
      </c>
      <c r="C3962" s="3" t="n">
        <v>46095.53362268519</v>
      </c>
      <c r="D3962" s="4">
        <f>(C3962-B3962)*24</f>
        <v/>
      </c>
      <c r="E3962" s="5">
        <f>IF(AND(HOUR(B3962)&gt;=6,HOUR(B3962)&lt;18),"Day Shift","Night Shift")</f>
        <v/>
      </c>
      <c r="F3962" s="6">
        <f>INT(B3962)</f>
        <v/>
      </c>
      <c r="G3962" s="6">
        <f>INT(C3962)</f>
        <v/>
      </c>
    </row>
    <row r="3963">
      <c r="A3963" s="2" t="inlineStr">
        <is>
          <t>Blast</t>
        </is>
      </c>
      <c r="B3963" s="3" t="n">
        <v>46095.53362268519</v>
      </c>
      <c r="C3963" s="3" t="n">
        <v>46095.53375</v>
      </c>
      <c r="D3963" s="4">
        <f>(C3963-B3963)*24</f>
        <v/>
      </c>
      <c r="E3963" s="5">
        <f>IF(AND(HOUR(B3963)&gt;=6,HOUR(B3963)&lt;18),"Day Shift","Night Shift")</f>
        <v/>
      </c>
      <c r="F3963" s="6">
        <f>INT(B3963)</f>
        <v/>
      </c>
      <c r="G3963" s="6">
        <f>INT(C3963)</f>
        <v/>
      </c>
    </row>
    <row r="3964">
      <c r="A3964" s="2" t="inlineStr">
        <is>
          <t>Blast</t>
        </is>
      </c>
      <c r="B3964" s="3" t="n">
        <v>46095.53375</v>
      </c>
      <c r="C3964" s="3" t="n">
        <v>46095.53390046296</v>
      </c>
      <c r="D3964" s="4">
        <f>(C3964-B3964)*24</f>
        <v/>
      </c>
      <c r="E3964" s="5">
        <f>IF(AND(HOUR(B3964)&gt;=6,HOUR(B3964)&lt;18),"Day Shift","Night Shift")</f>
        <v/>
      </c>
      <c r="F3964" s="6">
        <f>INT(B3964)</f>
        <v/>
      </c>
      <c r="G3964" s="6">
        <f>INT(C3964)</f>
        <v/>
      </c>
    </row>
    <row r="3965">
      <c r="A3965" s="2" t="inlineStr">
        <is>
          <t>Blast</t>
        </is>
      </c>
      <c r="B3965" s="3" t="n">
        <v>46095.53390046296</v>
      </c>
      <c r="C3965" s="3" t="n">
        <v>46095.53402777778</v>
      </c>
      <c r="D3965" s="4">
        <f>(C3965-B3965)*24</f>
        <v/>
      </c>
      <c r="E3965" s="5">
        <f>IF(AND(HOUR(B3965)&gt;=6,HOUR(B3965)&lt;18),"Day Shift","Night Shift")</f>
        <v/>
      </c>
      <c r="F3965" s="6">
        <f>INT(B3965)</f>
        <v/>
      </c>
      <c r="G3965" s="6">
        <f>INT(C3965)</f>
        <v/>
      </c>
    </row>
    <row r="3966">
      <c r="A3966" s="2" t="inlineStr">
        <is>
          <t>Blast</t>
        </is>
      </c>
      <c r="B3966" s="3" t="n">
        <v>46095.53402777778</v>
      </c>
      <c r="C3966" s="3" t="n">
        <v>46095.5341550926</v>
      </c>
      <c r="D3966" s="4">
        <f>(C3966-B3966)*24</f>
        <v/>
      </c>
      <c r="E3966" s="5">
        <f>IF(AND(HOUR(B3966)&gt;=6,HOUR(B3966)&lt;18),"Day Shift","Night Shift")</f>
        <v/>
      </c>
      <c r="F3966" s="6">
        <f>INT(B3966)</f>
        <v/>
      </c>
      <c r="G3966" s="6">
        <f>INT(C3966)</f>
        <v/>
      </c>
    </row>
    <row r="3967">
      <c r="A3967" s="2" t="inlineStr">
        <is>
          <t>Blast</t>
        </is>
      </c>
      <c r="B3967" s="3" t="n">
        <v>46095.5341550926</v>
      </c>
      <c r="C3967" s="3" t="n">
        <v>46095.53429398148</v>
      </c>
      <c r="D3967" s="4">
        <f>(C3967-B3967)*24</f>
        <v/>
      </c>
      <c r="E3967" s="5">
        <f>IF(AND(HOUR(B3967)&gt;=6,HOUR(B3967)&lt;18),"Day Shift","Night Shift")</f>
        <v/>
      </c>
      <c r="F3967" s="6">
        <f>INT(B3967)</f>
        <v/>
      </c>
      <c r="G3967" s="6">
        <f>INT(C3967)</f>
        <v/>
      </c>
    </row>
    <row r="3968">
      <c r="A3968" s="2" t="inlineStr">
        <is>
          <t>Blast</t>
        </is>
      </c>
      <c r="B3968" s="3" t="n">
        <v>46095.53429398148</v>
      </c>
      <c r="C3968" s="3" t="n">
        <v>46095.53440972222</v>
      </c>
      <c r="D3968" s="4">
        <f>(C3968-B3968)*24</f>
        <v/>
      </c>
      <c r="E3968" s="5">
        <f>IF(AND(HOUR(B3968)&gt;=6,HOUR(B3968)&lt;18),"Day Shift","Night Shift")</f>
        <v/>
      </c>
      <c r="F3968" s="6">
        <f>INT(B3968)</f>
        <v/>
      </c>
      <c r="G3968" s="6">
        <f>INT(C3968)</f>
        <v/>
      </c>
    </row>
    <row r="3969">
      <c r="A3969" s="2" t="inlineStr">
        <is>
          <t>Blast</t>
        </is>
      </c>
      <c r="B3969" s="3" t="n">
        <v>46095.53440972222</v>
      </c>
      <c r="C3969" s="3" t="n">
        <v>46095.53450231482</v>
      </c>
      <c r="D3969" s="4">
        <f>(C3969-B3969)*24</f>
        <v/>
      </c>
      <c r="E3969" s="5">
        <f>IF(AND(HOUR(B3969)&gt;=6,HOUR(B3969)&lt;18),"Day Shift","Night Shift")</f>
        <v/>
      </c>
      <c r="F3969" s="6">
        <f>INT(B3969)</f>
        <v/>
      </c>
      <c r="G3969" s="6">
        <f>INT(C3969)</f>
        <v/>
      </c>
    </row>
    <row r="3970">
      <c r="A3970" s="2" t="inlineStr">
        <is>
          <t>Blast</t>
        </is>
      </c>
      <c r="B3970" s="3" t="n">
        <v>46095.53450231482</v>
      </c>
      <c r="C3970" s="3" t="n">
        <v>46095.53454861111</v>
      </c>
      <c r="D3970" s="4">
        <f>(C3970-B3970)*24</f>
        <v/>
      </c>
      <c r="E3970" s="5">
        <f>IF(AND(HOUR(B3970)&gt;=6,HOUR(B3970)&lt;18),"Day Shift","Night Shift")</f>
        <v/>
      </c>
      <c r="F3970" s="6">
        <f>INT(B3970)</f>
        <v/>
      </c>
      <c r="G3970" s="6">
        <f>INT(C3970)</f>
        <v/>
      </c>
    </row>
    <row r="3971">
      <c r="A3971" s="2" t="inlineStr">
        <is>
          <t>Blast Crew DS</t>
        </is>
      </c>
      <c r="B3971" s="3" t="n">
        <v>46095.61078703704</v>
      </c>
      <c r="C3971" s="3" t="n">
        <v>46095.75</v>
      </c>
      <c r="D3971" s="4">
        <f>(C3971-B3971)*24</f>
        <v/>
      </c>
      <c r="E3971" s="5">
        <f>IF(AND(HOUR(B3971)&gt;=6,HOUR(B3971)&lt;18),"Day Shift","Night Shift")</f>
        <v/>
      </c>
      <c r="F3971" s="6">
        <f>INT(B3971)</f>
        <v/>
      </c>
      <c r="G3971" s="6">
        <f>INT(C3971)</f>
        <v/>
      </c>
    </row>
    <row r="3972">
      <c r="A3972" s="7" t="inlineStr">
        <is>
          <t>Blast Crew DS</t>
        </is>
      </c>
      <c r="B3972" s="8" t="n">
        <v>46095.75</v>
      </c>
      <c r="C3972" s="8" t="n">
        <v>46096.25</v>
      </c>
      <c r="D3972" s="9">
        <f>(C3972-B3972)*24</f>
        <v/>
      </c>
      <c r="E3972" s="10">
        <f>IF(AND(HOUR(B3972)&gt;=6,HOUR(B3972)&lt;18),"Day Shift","Night Shift")</f>
        <v/>
      </c>
      <c r="F3972" s="11">
        <f>INT(B3972)</f>
        <v/>
      </c>
      <c r="G3972" s="11">
        <f>INT(C3972)</f>
        <v/>
      </c>
    </row>
    <row r="3973">
      <c r="A3973" s="2" t="inlineStr">
        <is>
          <t>Blast Crew DS</t>
        </is>
      </c>
      <c r="B3973" s="3" t="n">
        <v>46096.25</v>
      </c>
      <c r="C3973" s="3" t="n">
        <v>46096.28266203704</v>
      </c>
      <c r="D3973" s="4">
        <f>(C3973-B3973)*24</f>
        <v/>
      </c>
      <c r="E3973" s="5">
        <f>IF(AND(HOUR(B3973)&gt;=6,HOUR(B3973)&lt;18),"Day Shift","Night Shift")</f>
        <v/>
      </c>
      <c r="F3973" s="6">
        <f>INT(B3973)</f>
        <v/>
      </c>
      <c r="G3973" s="6">
        <f>INT(C3973)</f>
        <v/>
      </c>
    </row>
    <row r="3974">
      <c r="A3974" s="2" t="inlineStr">
        <is>
          <t>EXD55</t>
        </is>
      </c>
      <c r="B3974" s="3" t="n">
        <v>46095.63515046296</v>
      </c>
      <c r="C3974" s="3" t="n">
        <v>46095.75</v>
      </c>
      <c r="D3974" s="4">
        <f>(C3974-B3974)*24</f>
        <v/>
      </c>
      <c r="E3974" s="5">
        <f>IF(AND(HOUR(B3974)&gt;=6,HOUR(B3974)&lt;18),"Day Shift","Night Shift")</f>
        <v/>
      </c>
      <c r="F3974" s="6">
        <f>INT(B3974)</f>
        <v/>
      </c>
      <c r="G3974" s="6">
        <f>INT(C3974)</f>
        <v/>
      </c>
    </row>
    <row r="3975">
      <c r="A3975" s="7" t="inlineStr">
        <is>
          <t>EXD55</t>
        </is>
      </c>
      <c r="B3975" s="8" t="n">
        <v>46095.75</v>
      </c>
      <c r="C3975" s="8" t="n">
        <v>46096.25</v>
      </c>
      <c r="D3975" s="9">
        <f>(C3975-B3975)*24</f>
        <v/>
      </c>
      <c r="E3975" s="10">
        <f>IF(AND(HOUR(B3975)&gt;=6,HOUR(B3975)&lt;18),"Day Shift","Night Shift")</f>
        <v/>
      </c>
      <c r="F3975" s="11">
        <f>INT(B3975)</f>
        <v/>
      </c>
      <c r="G3975" s="11">
        <f>INT(C3975)</f>
        <v/>
      </c>
    </row>
    <row r="3976">
      <c r="A3976" s="2" t="inlineStr">
        <is>
          <t>EXD55</t>
        </is>
      </c>
      <c r="B3976" s="3" t="n">
        <v>46096.25</v>
      </c>
      <c r="C3976" s="3" t="n">
        <v>46096.36798611111</v>
      </c>
      <c r="D3976" s="4">
        <f>(C3976-B3976)*24</f>
        <v/>
      </c>
      <c r="E3976" s="5">
        <f>IF(AND(HOUR(B3976)&gt;=6,HOUR(B3976)&lt;18),"Day Shift","Night Shift")</f>
        <v/>
      </c>
      <c r="F3976" s="6">
        <f>INT(B3976)</f>
        <v/>
      </c>
      <c r="G3976" s="6">
        <f>INT(C3976)</f>
        <v/>
      </c>
    </row>
    <row r="3977">
      <c r="A3977" s="2" t="inlineStr">
        <is>
          <t>SHE36</t>
        </is>
      </c>
      <c r="B3977" s="3" t="n">
        <v>46095.64052083333</v>
      </c>
      <c r="C3977" s="3" t="n">
        <v>46095.75</v>
      </c>
      <c r="D3977" s="4">
        <f>(C3977-B3977)*24</f>
        <v/>
      </c>
      <c r="E3977" s="5">
        <f>IF(AND(HOUR(B3977)&gt;=6,HOUR(B3977)&lt;18),"Day Shift","Night Shift")</f>
        <v/>
      </c>
      <c r="F3977" s="6">
        <f>INT(B3977)</f>
        <v/>
      </c>
      <c r="G3977" s="6">
        <f>INT(C3977)</f>
        <v/>
      </c>
    </row>
    <row r="3978">
      <c r="A3978" s="7" t="inlineStr">
        <is>
          <t>SHE36</t>
        </is>
      </c>
      <c r="B3978" s="8" t="n">
        <v>46095.75</v>
      </c>
      <c r="C3978" s="8" t="n">
        <v>46095.83085648148</v>
      </c>
      <c r="D3978" s="9">
        <f>(C3978-B3978)*24</f>
        <v/>
      </c>
      <c r="E3978" s="10">
        <f>IF(AND(HOUR(B3978)&gt;=6,HOUR(B3978)&lt;18),"Day Shift","Night Shift")</f>
        <v/>
      </c>
      <c r="F3978" s="11">
        <f>INT(B3978)</f>
        <v/>
      </c>
      <c r="G3978" s="11">
        <f>INT(C3978)</f>
        <v/>
      </c>
    </row>
    <row r="3979">
      <c r="A3979" s="7" t="inlineStr">
        <is>
          <t>EXD52</t>
        </is>
      </c>
      <c r="B3979" s="8" t="n">
        <v>46095.76387731481</v>
      </c>
      <c r="C3979" s="8" t="n">
        <v>46096.10047453704</v>
      </c>
      <c r="D3979" s="9">
        <f>(C3979-B3979)*24</f>
        <v/>
      </c>
      <c r="E3979" s="10">
        <f>IF(AND(HOUR(B3979)&gt;=6,HOUR(B3979)&lt;18),"Day Shift","Night Shift")</f>
        <v/>
      </c>
      <c r="F3979" s="11">
        <f>INT(B3979)</f>
        <v/>
      </c>
      <c r="G3979" s="11">
        <f>INT(C3979)</f>
        <v/>
      </c>
    </row>
    <row r="3980">
      <c r="A3980" s="7" t="inlineStr">
        <is>
          <t>EXD73</t>
        </is>
      </c>
      <c r="B3980" s="8" t="n">
        <v>46095.79476851852</v>
      </c>
      <c r="C3980" s="8" t="n">
        <v>46096.25</v>
      </c>
      <c r="D3980" s="9">
        <f>(C3980-B3980)*24</f>
        <v/>
      </c>
      <c r="E3980" s="10">
        <f>IF(AND(HOUR(B3980)&gt;=6,HOUR(B3980)&lt;18),"Day Shift","Night Shift")</f>
        <v/>
      </c>
      <c r="F3980" s="11">
        <f>INT(B3980)</f>
        <v/>
      </c>
      <c r="G3980" s="11">
        <f>INT(C3980)</f>
        <v/>
      </c>
    </row>
    <row r="3981">
      <c r="A3981" s="2" t="inlineStr">
        <is>
          <t>EXD73</t>
        </is>
      </c>
      <c r="B3981" s="3" t="n">
        <v>46096.25</v>
      </c>
      <c r="C3981" s="3" t="n">
        <v>46096.75</v>
      </c>
      <c r="D3981" s="4">
        <f>(C3981-B3981)*24</f>
        <v/>
      </c>
      <c r="E3981" s="5">
        <f>IF(AND(HOUR(B3981)&gt;=6,HOUR(B3981)&lt;18),"Day Shift","Night Shift")</f>
        <v/>
      </c>
      <c r="F3981" s="6">
        <f>INT(B3981)</f>
        <v/>
      </c>
      <c r="G3981" s="6">
        <f>INT(C3981)</f>
        <v/>
      </c>
    </row>
    <row r="3982">
      <c r="A3982" s="7" t="inlineStr">
        <is>
          <t>EXD73</t>
        </is>
      </c>
      <c r="B3982" s="8" t="n">
        <v>46096.75</v>
      </c>
      <c r="C3982" s="8" t="n">
        <v>46096.77679398148</v>
      </c>
      <c r="D3982" s="9">
        <f>(C3982-B3982)*24</f>
        <v/>
      </c>
      <c r="E3982" s="10">
        <f>IF(AND(HOUR(B3982)&gt;=6,HOUR(B3982)&lt;18),"Day Shift","Night Shift")</f>
        <v/>
      </c>
      <c r="F3982" s="11">
        <f>INT(B3982)</f>
        <v/>
      </c>
      <c r="G3982" s="11">
        <f>INT(C3982)</f>
        <v/>
      </c>
    </row>
    <row r="3983">
      <c r="A3983" s="7" t="inlineStr">
        <is>
          <t>Sprint 1</t>
        </is>
      </c>
      <c r="B3983" s="8" t="n">
        <v>46095.79886574074</v>
      </c>
      <c r="C3983" s="8" t="n">
        <v>46096.06127314815</v>
      </c>
      <c r="D3983" s="9">
        <f>(C3983-B3983)*24</f>
        <v/>
      </c>
      <c r="E3983" s="10">
        <f>IF(AND(HOUR(B3983)&gt;=6,HOUR(B3983)&lt;18),"Day Shift","Night Shift")</f>
        <v/>
      </c>
      <c r="F3983" s="11">
        <f>INT(B3983)</f>
        <v/>
      </c>
      <c r="G3983" s="11">
        <f>INT(C3983)</f>
        <v/>
      </c>
    </row>
    <row r="3984">
      <c r="A3984" s="7" t="inlineStr">
        <is>
          <t>EXD101</t>
        </is>
      </c>
      <c r="B3984" s="8" t="n">
        <v>46095.80438657408</v>
      </c>
      <c r="C3984" s="8" t="n">
        <v>46096.25</v>
      </c>
      <c r="D3984" s="9">
        <f>(C3984-B3984)*24</f>
        <v/>
      </c>
      <c r="E3984" s="10">
        <f>IF(AND(HOUR(B3984)&gt;=6,HOUR(B3984)&lt;18),"Day Shift","Night Shift")</f>
        <v/>
      </c>
      <c r="F3984" s="11">
        <f>INT(B3984)</f>
        <v/>
      </c>
      <c r="G3984" s="11">
        <f>INT(C3984)</f>
        <v/>
      </c>
    </row>
    <row r="3985">
      <c r="A3985" s="2" t="inlineStr">
        <is>
          <t>EXD101</t>
        </is>
      </c>
      <c r="B3985" s="3" t="n">
        <v>46096.25</v>
      </c>
      <c r="C3985" s="3" t="n">
        <v>46096.70289351852</v>
      </c>
      <c r="D3985" s="4">
        <f>(C3985-B3985)*24</f>
        <v/>
      </c>
      <c r="E3985" s="5">
        <f>IF(AND(HOUR(B3985)&gt;=6,HOUR(B3985)&lt;18),"Day Shift","Night Shift")</f>
        <v/>
      </c>
      <c r="F3985" s="6">
        <f>INT(B3985)</f>
        <v/>
      </c>
      <c r="G3985" s="6">
        <f>INT(C3985)</f>
        <v/>
      </c>
    </row>
    <row r="3986">
      <c r="A3986" s="7" t="inlineStr">
        <is>
          <t>EXD98</t>
        </is>
      </c>
      <c r="B3986" s="8" t="n">
        <v>46095.82243055556</v>
      </c>
      <c r="C3986" s="8" t="n">
        <v>46096.25</v>
      </c>
      <c r="D3986" s="9">
        <f>(C3986-B3986)*24</f>
        <v/>
      </c>
      <c r="E3986" s="10">
        <f>IF(AND(HOUR(B3986)&gt;=6,HOUR(B3986)&lt;18),"Day Shift","Night Shift")</f>
        <v/>
      </c>
      <c r="F3986" s="11">
        <f>INT(B3986)</f>
        <v/>
      </c>
      <c r="G3986" s="11">
        <f>INT(C3986)</f>
        <v/>
      </c>
    </row>
    <row r="3987">
      <c r="A3987" s="2" t="inlineStr">
        <is>
          <t>EXD98</t>
        </is>
      </c>
      <c r="B3987" s="3" t="n">
        <v>46096.25</v>
      </c>
      <c r="C3987" s="3" t="n">
        <v>46096.36603009259</v>
      </c>
      <c r="D3987" s="4">
        <f>(C3987-B3987)*24</f>
        <v/>
      </c>
      <c r="E3987" s="5">
        <f>IF(AND(HOUR(B3987)&gt;=6,HOUR(B3987)&lt;18),"Day Shift","Night Shift")</f>
        <v/>
      </c>
      <c r="F3987" s="6">
        <f>INT(B3987)</f>
        <v/>
      </c>
      <c r="G3987" s="6">
        <f>INT(C3987)</f>
        <v/>
      </c>
    </row>
    <row r="3988">
      <c r="A3988" s="7" t="inlineStr">
        <is>
          <t>EDD175;EDD1932;EDD2541;EDD812</t>
        </is>
      </c>
      <c r="B3988" s="8" t="n">
        <v>46095.83556712963</v>
      </c>
      <c r="C3988" s="8" t="n">
        <v>46096.20653935185</v>
      </c>
      <c r="D3988" s="9">
        <f>(C3988-B3988)*24</f>
        <v/>
      </c>
      <c r="E3988" s="10">
        <f>IF(AND(HOUR(B3988)&gt;=6,HOUR(B3988)&lt;18),"Day Shift","Night Shift")</f>
        <v/>
      </c>
      <c r="F3988" s="11">
        <f>INT(B3988)</f>
        <v/>
      </c>
      <c r="G3988" s="11">
        <f>INT(C3988)</f>
        <v/>
      </c>
    </row>
    <row r="3989">
      <c r="A3989" s="7" t="inlineStr">
        <is>
          <t>DRE12</t>
        </is>
      </c>
      <c r="B3989" s="8" t="n">
        <v>46095.93038194445</v>
      </c>
      <c r="C3989" s="8" t="n">
        <v>46096.25</v>
      </c>
      <c r="D3989" s="9">
        <f>(C3989-B3989)*24</f>
        <v/>
      </c>
      <c r="E3989" s="10">
        <f>IF(AND(HOUR(B3989)&gt;=6,HOUR(B3989)&lt;18),"Day Shift","Night Shift")</f>
        <v/>
      </c>
      <c r="F3989" s="11">
        <f>INT(B3989)</f>
        <v/>
      </c>
      <c r="G3989" s="11">
        <f>INT(C3989)</f>
        <v/>
      </c>
    </row>
    <row r="3990">
      <c r="A3990" s="2" t="inlineStr">
        <is>
          <t>DRE12</t>
        </is>
      </c>
      <c r="B3990" s="3" t="n">
        <v>46096.25</v>
      </c>
      <c r="C3990" s="3" t="n">
        <v>46096.75</v>
      </c>
      <c r="D3990" s="4">
        <f>(C3990-B3990)*24</f>
        <v/>
      </c>
      <c r="E3990" s="5">
        <f>IF(AND(HOUR(B3990)&gt;=6,HOUR(B3990)&lt;18),"Day Shift","Night Shift")</f>
        <v/>
      </c>
      <c r="F3990" s="6">
        <f>INT(B3990)</f>
        <v/>
      </c>
      <c r="G3990" s="6">
        <f>INT(C3990)</f>
        <v/>
      </c>
    </row>
    <row r="3991">
      <c r="A3991" s="7" t="inlineStr">
        <is>
          <t>DRE12</t>
        </is>
      </c>
      <c r="B3991" s="8" t="n">
        <v>46096.75</v>
      </c>
      <c r="C3991" s="8" t="n">
        <v>46097.25</v>
      </c>
      <c r="D3991" s="9">
        <f>(C3991-B3991)*24</f>
        <v/>
      </c>
      <c r="E3991" s="10">
        <f>IF(AND(HOUR(B3991)&gt;=6,HOUR(B3991)&lt;18),"Day Shift","Night Shift")</f>
        <v/>
      </c>
      <c r="F3991" s="11">
        <f>INT(B3991)</f>
        <v/>
      </c>
      <c r="G3991" s="11">
        <f>INT(C3991)</f>
        <v/>
      </c>
    </row>
    <row r="3992">
      <c r="A3992" s="2" t="inlineStr">
        <is>
          <t>DRE12</t>
        </is>
      </c>
      <c r="B3992" s="3" t="n">
        <v>46097.25</v>
      </c>
      <c r="C3992" s="3" t="n">
        <v>46097.75</v>
      </c>
      <c r="D3992" s="4">
        <f>(C3992-B3992)*24</f>
        <v/>
      </c>
      <c r="E3992" s="5">
        <f>IF(AND(HOUR(B3992)&gt;=6,HOUR(B3992)&lt;18),"Day Shift","Night Shift")</f>
        <v/>
      </c>
      <c r="F3992" s="6">
        <f>INT(B3992)</f>
        <v/>
      </c>
      <c r="G3992" s="6">
        <f>INT(C3992)</f>
        <v/>
      </c>
    </row>
    <row r="3993">
      <c r="A3993" s="7" t="inlineStr">
        <is>
          <t>DRE12</t>
        </is>
      </c>
      <c r="B3993" s="8" t="n">
        <v>46097.75</v>
      </c>
      <c r="C3993" s="8" t="n">
        <v>46098.25</v>
      </c>
      <c r="D3993" s="9">
        <f>(C3993-B3993)*24</f>
        <v/>
      </c>
      <c r="E3993" s="10">
        <f>IF(AND(HOUR(B3993)&gt;=6,HOUR(B3993)&lt;18),"Day Shift","Night Shift")</f>
        <v/>
      </c>
      <c r="F3993" s="11">
        <f>INT(B3993)</f>
        <v/>
      </c>
      <c r="G3993" s="11">
        <f>INT(C3993)</f>
        <v/>
      </c>
    </row>
    <row r="3994">
      <c r="A3994" s="2" t="inlineStr">
        <is>
          <t>DRE12</t>
        </is>
      </c>
      <c r="B3994" s="3" t="n">
        <v>46098.25</v>
      </c>
      <c r="C3994" s="3" t="n">
        <v>46098.75</v>
      </c>
      <c r="D3994" s="4">
        <f>(C3994-B3994)*24</f>
        <v/>
      </c>
      <c r="E3994" s="5">
        <f>IF(AND(HOUR(B3994)&gt;=6,HOUR(B3994)&lt;18),"Day Shift","Night Shift")</f>
        <v/>
      </c>
      <c r="F3994" s="6">
        <f>INT(B3994)</f>
        <v/>
      </c>
      <c r="G3994" s="6">
        <f>INT(C3994)</f>
        <v/>
      </c>
    </row>
    <row r="3995">
      <c r="A3995" s="7" t="inlineStr">
        <is>
          <t>DRE12</t>
        </is>
      </c>
      <c r="B3995" s="8" t="n">
        <v>46098.75</v>
      </c>
      <c r="C3995" s="8" t="n">
        <v>46099.25</v>
      </c>
      <c r="D3995" s="9">
        <f>(C3995-B3995)*24</f>
        <v/>
      </c>
      <c r="E3995" s="10">
        <f>IF(AND(HOUR(B3995)&gt;=6,HOUR(B3995)&lt;18),"Day Shift","Night Shift")</f>
        <v/>
      </c>
      <c r="F3995" s="11">
        <f>INT(B3995)</f>
        <v/>
      </c>
      <c r="G3995" s="11">
        <f>INT(C3995)</f>
        <v/>
      </c>
    </row>
    <row r="3996">
      <c r="A3996" s="2" t="inlineStr">
        <is>
          <t>DRE12</t>
        </is>
      </c>
      <c r="B3996" s="3" t="n">
        <v>46099.25</v>
      </c>
      <c r="C3996" s="3" t="n">
        <v>46099.75</v>
      </c>
      <c r="D3996" s="4">
        <f>(C3996-B3996)*24</f>
        <v/>
      </c>
      <c r="E3996" s="5">
        <f>IF(AND(HOUR(B3996)&gt;=6,HOUR(B3996)&lt;18),"Day Shift","Night Shift")</f>
        <v/>
      </c>
      <c r="F3996" s="6">
        <f>INT(B3996)</f>
        <v/>
      </c>
      <c r="G3996" s="6">
        <f>INT(C3996)</f>
        <v/>
      </c>
    </row>
    <row r="3997">
      <c r="A3997" s="7" t="inlineStr">
        <is>
          <t>DRE12</t>
        </is>
      </c>
      <c r="B3997" s="8" t="n">
        <v>46099.75</v>
      </c>
      <c r="C3997" s="8" t="n">
        <v>46100.25</v>
      </c>
      <c r="D3997" s="9">
        <f>(C3997-B3997)*24</f>
        <v/>
      </c>
      <c r="E3997" s="10">
        <f>IF(AND(HOUR(B3997)&gt;=6,HOUR(B3997)&lt;18),"Day Shift","Night Shift")</f>
        <v/>
      </c>
      <c r="F3997" s="11">
        <f>INT(B3997)</f>
        <v/>
      </c>
      <c r="G3997" s="11">
        <f>INT(C3997)</f>
        <v/>
      </c>
    </row>
    <row r="3998">
      <c r="A3998" s="2" t="inlineStr">
        <is>
          <t>DRE12</t>
        </is>
      </c>
      <c r="B3998" s="3" t="n">
        <v>46100.25</v>
      </c>
      <c r="C3998" s="3" t="n">
        <v>46100.75</v>
      </c>
      <c r="D3998" s="4">
        <f>(C3998-B3998)*24</f>
        <v/>
      </c>
      <c r="E3998" s="5">
        <f>IF(AND(HOUR(B3998)&gt;=6,HOUR(B3998)&lt;18),"Day Shift","Night Shift")</f>
        <v/>
      </c>
      <c r="F3998" s="6">
        <f>INT(B3998)</f>
        <v/>
      </c>
      <c r="G3998" s="6">
        <f>INT(C3998)</f>
        <v/>
      </c>
    </row>
    <row r="3999">
      <c r="A3999" s="7" t="inlineStr">
        <is>
          <t>DRE12</t>
        </is>
      </c>
      <c r="B3999" s="8" t="n">
        <v>46100.75</v>
      </c>
      <c r="C3999" s="8" t="n">
        <v>46101.25</v>
      </c>
      <c r="D3999" s="9">
        <f>(C3999-B3999)*24</f>
        <v/>
      </c>
      <c r="E3999" s="10">
        <f>IF(AND(HOUR(B3999)&gt;=6,HOUR(B3999)&lt;18),"Day Shift","Night Shift")</f>
        <v/>
      </c>
      <c r="F3999" s="11">
        <f>INT(B3999)</f>
        <v/>
      </c>
      <c r="G3999" s="11">
        <f>INT(C3999)</f>
        <v/>
      </c>
    </row>
    <row r="4000">
      <c r="A4000" s="2" t="inlineStr">
        <is>
          <t>DRE12</t>
        </is>
      </c>
      <c r="B4000" s="3" t="n">
        <v>46101.25</v>
      </c>
      <c r="C4000" s="3" t="n">
        <v>46101.75</v>
      </c>
      <c r="D4000" s="4">
        <f>(C4000-B4000)*24</f>
        <v/>
      </c>
      <c r="E4000" s="5">
        <f>IF(AND(HOUR(B4000)&gt;=6,HOUR(B4000)&lt;18),"Day Shift","Night Shift")</f>
        <v/>
      </c>
      <c r="F4000" s="6">
        <f>INT(B4000)</f>
        <v/>
      </c>
      <c r="G4000" s="6">
        <f>INT(C4000)</f>
        <v/>
      </c>
    </row>
    <row r="4001">
      <c r="A4001" s="7" t="inlineStr">
        <is>
          <t>DRE12</t>
        </is>
      </c>
      <c r="B4001" s="8" t="n">
        <v>46101.75</v>
      </c>
      <c r="C4001" s="8" t="n">
        <v>46101.84398148148</v>
      </c>
      <c r="D4001" s="9">
        <f>(C4001-B4001)*24</f>
        <v/>
      </c>
      <c r="E4001" s="10">
        <f>IF(AND(HOUR(B4001)&gt;=6,HOUR(B4001)&lt;18),"Day Shift","Night Shift")</f>
        <v/>
      </c>
      <c r="F4001" s="11">
        <f>INT(B4001)</f>
        <v/>
      </c>
      <c r="G4001" s="11">
        <f>INT(C4001)</f>
        <v/>
      </c>
    </row>
    <row r="4002">
      <c r="A4002" s="7" t="inlineStr">
        <is>
          <t>EDD2134</t>
        </is>
      </c>
      <c r="B4002" s="8" t="n">
        <v>46095.94722222222</v>
      </c>
      <c r="C4002" s="8" t="n">
        <v>46096.25</v>
      </c>
      <c r="D4002" s="9">
        <f>(C4002-B4002)*24</f>
        <v/>
      </c>
      <c r="E4002" s="10">
        <f>IF(AND(HOUR(B4002)&gt;=6,HOUR(B4002)&lt;18),"Day Shift","Night Shift")</f>
        <v/>
      </c>
      <c r="F4002" s="11">
        <f>INT(B4002)</f>
        <v/>
      </c>
      <c r="G4002" s="11">
        <f>INT(C4002)</f>
        <v/>
      </c>
    </row>
    <row r="4003">
      <c r="A4003" s="2" t="inlineStr">
        <is>
          <t>EDD2134</t>
        </is>
      </c>
      <c r="B4003" s="3" t="n">
        <v>46096.25</v>
      </c>
      <c r="C4003" s="3" t="n">
        <v>46096.42965277778</v>
      </c>
      <c r="D4003" s="4">
        <f>(C4003-B4003)*24</f>
        <v/>
      </c>
      <c r="E4003" s="5">
        <f>IF(AND(HOUR(B4003)&gt;=6,HOUR(B4003)&lt;18),"Day Shift","Night Shift")</f>
        <v/>
      </c>
      <c r="F4003" s="6">
        <f>INT(B4003)</f>
        <v/>
      </c>
      <c r="G4003" s="6">
        <f>INT(C4003)</f>
        <v/>
      </c>
    </row>
    <row r="4004">
      <c r="A4004" s="7" t="inlineStr">
        <is>
          <t>EXD100</t>
        </is>
      </c>
      <c r="B4004" s="8" t="n">
        <v>46095.99142361111</v>
      </c>
      <c r="C4004" s="8" t="n">
        <v>46096.25</v>
      </c>
      <c r="D4004" s="9">
        <f>(C4004-B4004)*24</f>
        <v/>
      </c>
      <c r="E4004" s="10">
        <f>IF(AND(HOUR(B4004)&gt;=6,HOUR(B4004)&lt;18),"Day Shift","Night Shift")</f>
        <v/>
      </c>
      <c r="F4004" s="11">
        <f>INT(B4004)</f>
        <v/>
      </c>
      <c r="G4004" s="11">
        <f>INT(C4004)</f>
        <v/>
      </c>
    </row>
    <row r="4005">
      <c r="A4005" s="2" t="inlineStr">
        <is>
          <t>EXD100</t>
        </is>
      </c>
      <c r="B4005" s="3" t="n">
        <v>46096.25</v>
      </c>
      <c r="C4005" s="3" t="n">
        <v>46096.75</v>
      </c>
      <c r="D4005" s="4">
        <f>(C4005-B4005)*24</f>
        <v/>
      </c>
      <c r="E4005" s="5">
        <f>IF(AND(HOUR(B4005)&gt;=6,HOUR(B4005)&lt;18),"Day Shift","Night Shift")</f>
        <v/>
      </c>
      <c r="F4005" s="6">
        <f>INT(B4005)</f>
        <v/>
      </c>
      <c r="G4005" s="6">
        <f>INT(C4005)</f>
        <v/>
      </c>
    </row>
    <row r="4006">
      <c r="A4006" s="7" t="inlineStr">
        <is>
          <t>EXD100</t>
        </is>
      </c>
      <c r="B4006" s="8" t="n">
        <v>46096.75</v>
      </c>
      <c r="C4006" s="8" t="n">
        <v>46097.02543981482</v>
      </c>
      <c r="D4006" s="9">
        <f>(C4006-B4006)*24</f>
        <v/>
      </c>
      <c r="E4006" s="10">
        <f>IF(AND(HOUR(B4006)&gt;=6,HOUR(B4006)&lt;18),"Day Shift","Night Shift")</f>
        <v/>
      </c>
      <c r="F4006" s="11">
        <f>INT(B4006)</f>
        <v/>
      </c>
      <c r="G4006" s="11">
        <f>INT(C4006)</f>
        <v/>
      </c>
    </row>
    <row r="4007">
      <c r="A4007" s="7" t="inlineStr">
        <is>
          <t>EXD407;EXD408</t>
        </is>
      </c>
      <c r="B4007" s="8" t="n">
        <v>46096.05814814815</v>
      </c>
      <c r="C4007" s="8" t="n">
        <v>46096.25</v>
      </c>
      <c r="D4007" s="9">
        <f>(C4007-B4007)*24</f>
        <v/>
      </c>
      <c r="E4007" s="10">
        <f>IF(AND(HOUR(B4007)&gt;=6,HOUR(B4007)&lt;18),"Day Shift","Night Shift")</f>
        <v/>
      </c>
      <c r="F4007" s="11">
        <f>INT(B4007)</f>
        <v/>
      </c>
      <c r="G4007" s="11">
        <f>INT(C4007)</f>
        <v/>
      </c>
    </row>
    <row r="4008">
      <c r="A4008" s="2" t="inlineStr">
        <is>
          <t>EXD407;EXD408</t>
        </is>
      </c>
      <c r="B4008" s="3" t="n">
        <v>46096.25</v>
      </c>
      <c r="C4008" s="3" t="n">
        <v>46096.75</v>
      </c>
      <c r="D4008" s="4">
        <f>(C4008-B4008)*24</f>
        <v/>
      </c>
      <c r="E4008" s="5">
        <f>IF(AND(HOUR(B4008)&gt;=6,HOUR(B4008)&lt;18),"Day Shift","Night Shift")</f>
        <v/>
      </c>
      <c r="F4008" s="6">
        <f>INT(B4008)</f>
        <v/>
      </c>
      <c r="G4008" s="6">
        <f>INT(C4008)</f>
        <v/>
      </c>
    </row>
    <row r="4009">
      <c r="A4009" s="7" t="inlineStr">
        <is>
          <t>EXD407;EXD408</t>
        </is>
      </c>
      <c r="B4009" s="8" t="n">
        <v>46096.75</v>
      </c>
      <c r="C4009" s="8" t="n">
        <v>46096.76368055555</v>
      </c>
      <c r="D4009" s="9">
        <f>(C4009-B4009)*24</f>
        <v/>
      </c>
      <c r="E4009" s="10">
        <f>IF(AND(HOUR(B4009)&gt;=6,HOUR(B4009)&lt;18),"Day Shift","Night Shift")</f>
        <v/>
      </c>
      <c r="F4009" s="11">
        <f>INT(B4009)</f>
        <v/>
      </c>
      <c r="G4009" s="11">
        <f>INT(C4009)</f>
        <v/>
      </c>
    </row>
    <row r="4010">
      <c r="A4010" s="7" t="inlineStr">
        <is>
          <t>Sprint 1</t>
        </is>
      </c>
      <c r="B4010" s="8" t="n">
        <v>46096.06127314815</v>
      </c>
      <c r="C4010" s="8" t="n">
        <v>46096.25</v>
      </c>
      <c r="D4010" s="9">
        <f>(C4010-B4010)*24</f>
        <v/>
      </c>
      <c r="E4010" s="10">
        <f>IF(AND(HOUR(B4010)&gt;=6,HOUR(B4010)&lt;18),"Day Shift","Night Shift")</f>
        <v/>
      </c>
      <c r="F4010" s="11">
        <f>INT(B4010)</f>
        <v/>
      </c>
      <c r="G4010" s="11">
        <f>INT(C4010)</f>
        <v/>
      </c>
    </row>
    <row r="4011">
      <c r="A4011" s="2" t="inlineStr">
        <is>
          <t>Sprint 1</t>
        </is>
      </c>
      <c r="B4011" s="3" t="n">
        <v>46096.25</v>
      </c>
      <c r="C4011" s="3" t="n">
        <v>46096.57231481482</v>
      </c>
      <c r="D4011" s="4">
        <f>(C4011-B4011)*24</f>
        <v/>
      </c>
      <c r="E4011" s="5">
        <f>IF(AND(HOUR(B4011)&gt;=6,HOUR(B4011)&lt;18),"Day Shift","Night Shift")</f>
        <v/>
      </c>
      <c r="F4011" s="6">
        <f>INT(B4011)</f>
        <v/>
      </c>
      <c r="G4011" s="6">
        <f>INT(C4011)</f>
        <v/>
      </c>
    </row>
    <row r="4012">
      <c r="A4012" s="7" t="inlineStr">
        <is>
          <t>EXD52</t>
        </is>
      </c>
      <c r="B4012" s="8" t="n">
        <v>46096.10047453704</v>
      </c>
      <c r="C4012" s="8" t="n">
        <v>46096.25</v>
      </c>
      <c r="D4012" s="9">
        <f>(C4012-B4012)*24</f>
        <v/>
      </c>
      <c r="E4012" s="10">
        <f>IF(AND(HOUR(B4012)&gt;=6,HOUR(B4012)&lt;18),"Day Shift","Night Shift")</f>
        <v/>
      </c>
      <c r="F4012" s="11">
        <f>INT(B4012)</f>
        <v/>
      </c>
      <c r="G4012" s="11">
        <f>INT(C4012)</f>
        <v/>
      </c>
    </row>
    <row r="4013">
      <c r="A4013" s="2" t="inlineStr">
        <is>
          <t>EXD52</t>
        </is>
      </c>
      <c r="B4013" s="3" t="n">
        <v>46096.25</v>
      </c>
      <c r="C4013" s="3" t="n">
        <v>46096.75</v>
      </c>
      <c r="D4013" s="4">
        <f>(C4013-B4013)*24</f>
        <v/>
      </c>
      <c r="E4013" s="5">
        <f>IF(AND(HOUR(B4013)&gt;=6,HOUR(B4013)&lt;18),"Day Shift","Night Shift")</f>
        <v/>
      </c>
      <c r="F4013" s="6">
        <f>INT(B4013)</f>
        <v/>
      </c>
      <c r="G4013" s="6">
        <f>INT(C4013)</f>
        <v/>
      </c>
    </row>
    <row r="4014">
      <c r="A4014" s="7" t="inlineStr">
        <is>
          <t>EXD52</t>
        </is>
      </c>
      <c r="B4014" s="8" t="n">
        <v>46096.75</v>
      </c>
      <c r="C4014" s="8" t="n">
        <v>46096.78702546296</v>
      </c>
      <c r="D4014" s="9">
        <f>(C4014-B4014)*24</f>
        <v/>
      </c>
      <c r="E4014" s="10">
        <f>IF(AND(HOUR(B4014)&gt;=6,HOUR(B4014)&lt;18),"Day Shift","Night Shift")</f>
        <v/>
      </c>
      <c r="F4014" s="11">
        <f>INT(B4014)</f>
        <v/>
      </c>
      <c r="G4014" s="11">
        <f>INT(C4014)</f>
        <v/>
      </c>
    </row>
    <row r="4015">
      <c r="A4015" s="7" t="inlineStr">
        <is>
          <t>SHE36</t>
        </is>
      </c>
      <c r="B4015" s="8" t="n">
        <v>46096.10819444444</v>
      </c>
      <c r="C4015" s="8" t="n">
        <v>46096.25</v>
      </c>
      <c r="D4015" s="9">
        <f>(C4015-B4015)*24</f>
        <v/>
      </c>
      <c r="E4015" s="10">
        <f>IF(AND(HOUR(B4015)&gt;=6,HOUR(B4015)&lt;18),"Day Shift","Night Shift")</f>
        <v/>
      </c>
      <c r="F4015" s="11">
        <f>INT(B4015)</f>
        <v/>
      </c>
      <c r="G4015" s="11">
        <f>INT(C4015)</f>
        <v/>
      </c>
    </row>
    <row r="4016">
      <c r="A4016" s="2" t="inlineStr">
        <is>
          <t>SHE36</t>
        </is>
      </c>
      <c r="B4016" s="3" t="n">
        <v>46096.25</v>
      </c>
      <c r="C4016" s="3" t="n">
        <v>46096.29038194445</v>
      </c>
      <c r="D4016" s="4">
        <f>(C4016-B4016)*24</f>
        <v/>
      </c>
      <c r="E4016" s="5">
        <f>IF(AND(HOUR(B4016)&gt;=6,HOUR(B4016)&lt;18),"Day Shift","Night Shift")</f>
        <v/>
      </c>
      <c r="F4016" s="6">
        <f>INT(B4016)</f>
        <v/>
      </c>
      <c r="G4016" s="6">
        <f>INT(C4016)</f>
        <v/>
      </c>
    </row>
    <row r="4017">
      <c r="A4017" s="7" t="inlineStr">
        <is>
          <t>DRE09</t>
        </is>
      </c>
      <c r="B4017" s="8" t="n">
        <v>46096.12424768518</v>
      </c>
      <c r="C4017" s="8" t="n">
        <v>46096.25</v>
      </c>
      <c r="D4017" s="9">
        <f>(C4017-B4017)*24</f>
        <v/>
      </c>
      <c r="E4017" s="10">
        <f>IF(AND(HOUR(B4017)&gt;=6,HOUR(B4017)&lt;18),"Day Shift","Night Shift")</f>
        <v/>
      </c>
      <c r="F4017" s="11">
        <f>INT(B4017)</f>
        <v/>
      </c>
      <c r="G4017" s="11">
        <f>INT(C4017)</f>
        <v/>
      </c>
    </row>
    <row r="4018">
      <c r="A4018" s="2" t="inlineStr">
        <is>
          <t>DRE09</t>
        </is>
      </c>
      <c r="B4018" s="3" t="n">
        <v>46096.25</v>
      </c>
      <c r="C4018" s="3" t="n">
        <v>46096.75</v>
      </c>
      <c r="D4018" s="4">
        <f>(C4018-B4018)*24</f>
        <v/>
      </c>
      <c r="E4018" s="5">
        <f>IF(AND(HOUR(B4018)&gt;=6,HOUR(B4018)&lt;18),"Day Shift","Night Shift")</f>
        <v/>
      </c>
      <c r="F4018" s="6">
        <f>INT(B4018)</f>
        <v/>
      </c>
      <c r="G4018" s="6">
        <f>INT(C4018)</f>
        <v/>
      </c>
    </row>
    <row r="4019">
      <c r="A4019" s="7" t="inlineStr">
        <is>
          <t>DRE09</t>
        </is>
      </c>
      <c r="B4019" s="8" t="n">
        <v>46096.75</v>
      </c>
      <c r="C4019" s="8" t="n">
        <v>46097.25</v>
      </c>
      <c r="D4019" s="9">
        <f>(C4019-B4019)*24</f>
        <v/>
      </c>
      <c r="E4019" s="10">
        <f>IF(AND(HOUR(B4019)&gt;=6,HOUR(B4019)&lt;18),"Day Shift","Night Shift")</f>
        <v/>
      </c>
      <c r="F4019" s="11">
        <f>INT(B4019)</f>
        <v/>
      </c>
      <c r="G4019" s="11">
        <f>INT(C4019)</f>
        <v/>
      </c>
    </row>
    <row r="4020">
      <c r="A4020" s="2" t="inlineStr">
        <is>
          <t>DRE09</t>
        </is>
      </c>
      <c r="B4020" s="3" t="n">
        <v>46097.25</v>
      </c>
      <c r="C4020" s="3" t="n">
        <v>46097.75</v>
      </c>
      <c r="D4020" s="4">
        <f>(C4020-B4020)*24</f>
        <v/>
      </c>
      <c r="E4020" s="5">
        <f>IF(AND(HOUR(B4020)&gt;=6,HOUR(B4020)&lt;18),"Day Shift","Night Shift")</f>
        <v/>
      </c>
      <c r="F4020" s="6">
        <f>INT(B4020)</f>
        <v/>
      </c>
      <c r="G4020" s="6">
        <f>INT(C4020)</f>
        <v/>
      </c>
    </row>
    <row r="4021">
      <c r="A4021" s="7" t="inlineStr">
        <is>
          <t>DRE09</t>
        </is>
      </c>
      <c r="B4021" s="8" t="n">
        <v>46097.75</v>
      </c>
      <c r="C4021" s="8" t="n">
        <v>46098.25</v>
      </c>
      <c r="D4021" s="9">
        <f>(C4021-B4021)*24</f>
        <v/>
      </c>
      <c r="E4021" s="10">
        <f>IF(AND(HOUR(B4021)&gt;=6,HOUR(B4021)&lt;18),"Day Shift","Night Shift")</f>
        <v/>
      </c>
      <c r="F4021" s="11">
        <f>INT(B4021)</f>
        <v/>
      </c>
      <c r="G4021" s="11">
        <f>INT(C4021)</f>
        <v/>
      </c>
    </row>
    <row r="4022">
      <c r="A4022" s="2" t="inlineStr">
        <is>
          <t>DRE09</t>
        </is>
      </c>
      <c r="B4022" s="3" t="n">
        <v>46098.25</v>
      </c>
      <c r="C4022" s="3" t="n">
        <v>46098.75</v>
      </c>
      <c r="D4022" s="4">
        <f>(C4022-B4022)*24</f>
        <v/>
      </c>
      <c r="E4022" s="5">
        <f>IF(AND(HOUR(B4022)&gt;=6,HOUR(B4022)&lt;18),"Day Shift","Night Shift")</f>
        <v/>
      </c>
      <c r="F4022" s="6">
        <f>INT(B4022)</f>
        <v/>
      </c>
      <c r="G4022" s="6">
        <f>INT(C4022)</f>
        <v/>
      </c>
    </row>
    <row r="4023">
      <c r="A4023" s="7" t="inlineStr">
        <is>
          <t>DRE09</t>
        </is>
      </c>
      <c r="B4023" s="8" t="n">
        <v>46098.75</v>
      </c>
      <c r="C4023" s="8" t="n">
        <v>46099.25</v>
      </c>
      <c r="D4023" s="9">
        <f>(C4023-B4023)*24</f>
        <v/>
      </c>
      <c r="E4023" s="10">
        <f>IF(AND(HOUR(B4023)&gt;=6,HOUR(B4023)&lt;18),"Day Shift","Night Shift")</f>
        <v/>
      </c>
      <c r="F4023" s="11">
        <f>INT(B4023)</f>
        <v/>
      </c>
      <c r="G4023" s="11">
        <f>INT(C4023)</f>
        <v/>
      </c>
    </row>
    <row r="4024">
      <c r="A4024" s="2" t="inlineStr">
        <is>
          <t>DRE09</t>
        </is>
      </c>
      <c r="B4024" s="3" t="n">
        <v>46099.25</v>
      </c>
      <c r="C4024" s="3" t="n">
        <v>46099.75</v>
      </c>
      <c r="D4024" s="4">
        <f>(C4024-B4024)*24</f>
        <v/>
      </c>
      <c r="E4024" s="5">
        <f>IF(AND(HOUR(B4024)&gt;=6,HOUR(B4024)&lt;18),"Day Shift","Night Shift")</f>
        <v/>
      </c>
      <c r="F4024" s="6">
        <f>INT(B4024)</f>
        <v/>
      </c>
      <c r="G4024" s="6">
        <f>INT(C4024)</f>
        <v/>
      </c>
    </row>
    <row r="4025">
      <c r="A4025" s="7" t="inlineStr">
        <is>
          <t>DRE09</t>
        </is>
      </c>
      <c r="B4025" s="8" t="n">
        <v>46099.75</v>
      </c>
      <c r="C4025" s="8" t="n">
        <v>46100.25</v>
      </c>
      <c r="D4025" s="9">
        <f>(C4025-B4025)*24</f>
        <v/>
      </c>
      <c r="E4025" s="10">
        <f>IF(AND(HOUR(B4025)&gt;=6,HOUR(B4025)&lt;18),"Day Shift","Night Shift")</f>
        <v/>
      </c>
      <c r="F4025" s="11">
        <f>INT(B4025)</f>
        <v/>
      </c>
      <c r="G4025" s="11">
        <f>INT(C4025)</f>
        <v/>
      </c>
    </row>
    <row r="4026">
      <c r="A4026" s="2" t="inlineStr">
        <is>
          <t>DRE09</t>
        </is>
      </c>
      <c r="B4026" s="3" t="n">
        <v>46100.25</v>
      </c>
      <c r="C4026" s="3" t="n">
        <v>46100.75</v>
      </c>
      <c r="D4026" s="4">
        <f>(C4026-B4026)*24</f>
        <v/>
      </c>
      <c r="E4026" s="5">
        <f>IF(AND(HOUR(B4026)&gt;=6,HOUR(B4026)&lt;18),"Day Shift","Night Shift")</f>
        <v/>
      </c>
      <c r="F4026" s="6">
        <f>INT(B4026)</f>
        <v/>
      </c>
      <c r="G4026" s="6">
        <f>INT(C4026)</f>
        <v/>
      </c>
    </row>
    <row r="4027">
      <c r="A4027" s="7" t="inlineStr">
        <is>
          <t>DRE09</t>
        </is>
      </c>
      <c r="B4027" s="8" t="n">
        <v>46100.75</v>
      </c>
      <c r="C4027" s="8" t="n">
        <v>46101.25</v>
      </c>
      <c r="D4027" s="9">
        <f>(C4027-B4027)*24</f>
        <v/>
      </c>
      <c r="E4027" s="10">
        <f>IF(AND(HOUR(B4027)&gt;=6,HOUR(B4027)&lt;18),"Day Shift","Night Shift")</f>
        <v/>
      </c>
      <c r="F4027" s="11">
        <f>INT(B4027)</f>
        <v/>
      </c>
      <c r="G4027" s="11">
        <f>INT(C4027)</f>
        <v/>
      </c>
    </row>
    <row r="4028">
      <c r="A4028" s="2" t="inlineStr">
        <is>
          <t>DRE09</t>
        </is>
      </c>
      <c r="B4028" s="3" t="n">
        <v>46101.25</v>
      </c>
      <c r="C4028" s="3" t="n">
        <v>46101.75</v>
      </c>
      <c r="D4028" s="4">
        <f>(C4028-B4028)*24</f>
        <v/>
      </c>
      <c r="E4028" s="5">
        <f>IF(AND(HOUR(B4028)&gt;=6,HOUR(B4028)&lt;18),"Day Shift","Night Shift")</f>
        <v/>
      </c>
      <c r="F4028" s="6">
        <f>INT(B4028)</f>
        <v/>
      </c>
      <c r="G4028" s="6">
        <f>INT(C4028)</f>
        <v/>
      </c>
    </row>
    <row r="4029">
      <c r="A4029" s="7" t="inlineStr">
        <is>
          <t>DRE09</t>
        </is>
      </c>
      <c r="B4029" s="8" t="n">
        <v>46101.75</v>
      </c>
      <c r="C4029" s="8" t="n">
        <v>46102.25</v>
      </c>
      <c r="D4029" s="9">
        <f>(C4029-B4029)*24</f>
        <v/>
      </c>
      <c r="E4029" s="10">
        <f>IF(AND(HOUR(B4029)&gt;=6,HOUR(B4029)&lt;18),"Day Shift","Night Shift")</f>
        <v/>
      </c>
      <c r="F4029" s="11">
        <f>INT(B4029)</f>
        <v/>
      </c>
      <c r="G4029" s="11">
        <f>INT(C4029)</f>
        <v/>
      </c>
    </row>
    <row r="4030">
      <c r="A4030" s="2" t="inlineStr">
        <is>
          <t>DRE09</t>
        </is>
      </c>
      <c r="B4030" s="3" t="n">
        <v>46102.25</v>
      </c>
      <c r="C4030" s="3" t="n">
        <v>46102.75</v>
      </c>
      <c r="D4030" s="4">
        <f>(C4030-B4030)*24</f>
        <v/>
      </c>
      <c r="E4030" s="5">
        <f>IF(AND(HOUR(B4030)&gt;=6,HOUR(B4030)&lt;18),"Day Shift","Night Shift")</f>
        <v/>
      </c>
      <c r="F4030" s="6">
        <f>INT(B4030)</f>
        <v/>
      </c>
      <c r="G4030" s="6">
        <f>INT(C4030)</f>
        <v/>
      </c>
    </row>
    <row r="4031">
      <c r="A4031" s="7" t="inlineStr">
        <is>
          <t>DRE09</t>
        </is>
      </c>
      <c r="B4031" s="8" t="n">
        <v>46102.75</v>
      </c>
      <c r="C4031" s="8" t="n">
        <v>46103.25</v>
      </c>
      <c r="D4031" s="9">
        <f>(C4031-B4031)*24</f>
        <v/>
      </c>
      <c r="E4031" s="10">
        <f>IF(AND(HOUR(B4031)&gt;=6,HOUR(B4031)&lt;18),"Day Shift","Night Shift")</f>
        <v/>
      </c>
      <c r="F4031" s="11">
        <f>INT(B4031)</f>
        <v/>
      </c>
      <c r="G4031" s="11">
        <f>INT(C4031)</f>
        <v/>
      </c>
    </row>
    <row r="4032">
      <c r="A4032" s="2" t="inlineStr">
        <is>
          <t>DRE09</t>
        </is>
      </c>
      <c r="B4032" s="3" t="n">
        <v>46103.25</v>
      </c>
      <c r="C4032" s="3" t="n">
        <v>46103.75</v>
      </c>
      <c r="D4032" s="4">
        <f>(C4032-B4032)*24</f>
        <v/>
      </c>
      <c r="E4032" s="5">
        <f>IF(AND(HOUR(B4032)&gt;=6,HOUR(B4032)&lt;18),"Day Shift","Night Shift")</f>
        <v/>
      </c>
      <c r="F4032" s="6">
        <f>INT(B4032)</f>
        <v/>
      </c>
      <c r="G4032" s="6">
        <f>INT(C4032)</f>
        <v/>
      </c>
    </row>
    <row r="4033">
      <c r="A4033" s="7" t="inlineStr">
        <is>
          <t>DRE09</t>
        </is>
      </c>
      <c r="B4033" s="8" t="n">
        <v>46103.75</v>
      </c>
      <c r="C4033" s="8" t="n">
        <v>46104.25</v>
      </c>
      <c r="D4033" s="9">
        <f>(C4033-B4033)*24</f>
        <v/>
      </c>
      <c r="E4033" s="10">
        <f>IF(AND(HOUR(B4033)&gt;=6,HOUR(B4033)&lt;18),"Day Shift","Night Shift")</f>
        <v/>
      </c>
      <c r="F4033" s="11">
        <f>INT(B4033)</f>
        <v/>
      </c>
      <c r="G4033" s="11">
        <f>INT(C4033)</f>
        <v/>
      </c>
    </row>
    <row r="4034">
      <c r="A4034" s="2" t="inlineStr">
        <is>
          <t>DRE09</t>
        </is>
      </c>
      <c r="B4034" s="3" t="n">
        <v>46104.25</v>
      </c>
      <c r="C4034" s="3" t="n">
        <v>46104.75</v>
      </c>
      <c r="D4034" s="4">
        <f>(C4034-B4034)*24</f>
        <v/>
      </c>
      <c r="E4034" s="5">
        <f>IF(AND(HOUR(B4034)&gt;=6,HOUR(B4034)&lt;18),"Day Shift","Night Shift")</f>
        <v/>
      </c>
      <c r="F4034" s="6">
        <f>INT(B4034)</f>
        <v/>
      </c>
      <c r="G4034" s="6">
        <f>INT(C4034)</f>
        <v/>
      </c>
    </row>
    <row r="4035">
      <c r="A4035" s="7" t="inlineStr">
        <is>
          <t>DRE09</t>
        </is>
      </c>
      <c r="B4035" s="8" t="n">
        <v>46104.75</v>
      </c>
      <c r="C4035" s="8" t="n">
        <v>46105.25</v>
      </c>
      <c r="D4035" s="9">
        <f>(C4035-B4035)*24</f>
        <v/>
      </c>
      <c r="E4035" s="10">
        <f>IF(AND(HOUR(B4035)&gt;=6,HOUR(B4035)&lt;18),"Day Shift","Night Shift")</f>
        <v/>
      </c>
      <c r="F4035" s="11">
        <f>INT(B4035)</f>
        <v/>
      </c>
      <c r="G4035" s="11">
        <f>INT(C4035)</f>
        <v/>
      </c>
    </row>
    <row r="4036">
      <c r="A4036" s="2" t="inlineStr">
        <is>
          <t>DRE09</t>
        </is>
      </c>
      <c r="B4036" s="3" t="n">
        <v>46105.25</v>
      </c>
      <c r="C4036" s="3" t="n">
        <v>46105.75</v>
      </c>
      <c r="D4036" s="4">
        <f>(C4036-B4036)*24</f>
        <v/>
      </c>
      <c r="E4036" s="5">
        <f>IF(AND(HOUR(B4036)&gt;=6,HOUR(B4036)&lt;18),"Day Shift","Night Shift")</f>
        <v/>
      </c>
      <c r="F4036" s="6">
        <f>INT(B4036)</f>
        <v/>
      </c>
      <c r="G4036" s="6">
        <f>INT(C4036)</f>
        <v/>
      </c>
    </row>
    <row r="4037">
      <c r="A4037" s="7" t="inlineStr">
        <is>
          <t>DRE09</t>
        </is>
      </c>
      <c r="B4037" s="8" t="n">
        <v>46105.75</v>
      </c>
      <c r="C4037" s="8" t="n">
        <v>46106.25</v>
      </c>
      <c r="D4037" s="9">
        <f>(C4037-B4037)*24</f>
        <v/>
      </c>
      <c r="E4037" s="10">
        <f>IF(AND(HOUR(B4037)&gt;=6,HOUR(B4037)&lt;18),"Day Shift","Night Shift")</f>
        <v/>
      </c>
      <c r="F4037" s="11">
        <f>INT(B4037)</f>
        <v/>
      </c>
      <c r="G4037" s="11">
        <f>INT(C4037)</f>
        <v/>
      </c>
    </row>
    <row r="4038">
      <c r="A4038" s="2" t="inlineStr">
        <is>
          <t>DRE09</t>
        </is>
      </c>
      <c r="B4038" s="3" t="n">
        <v>46106.25</v>
      </c>
      <c r="C4038" s="3" t="n">
        <v>46106.75</v>
      </c>
      <c r="D4038" s="4">
        <f>(C4038-B4038)*24</f>
        <v/>
      </c>
      <c r="E4038" s="5">
        <f>IF(AND(HOUR(B4038)&gt;=6,HOUR(B4038)&lt;18),"Day Shift","Night Shift")</f>
        <v/>
      </c>
      <c r="F4038" s="6">
        <f>INT(B4038)</f>
        <v/>
      </c>
      <c r="G4038" s="6">
        <f>INT(C4038)</f>
        <v/>
      </c>
    </row>
    <row r="4039">
      <c r="A4039" s="7" t="inlineStr">
        <is>
          <t>DRE09</t>
        </is>
      </c>
      <c r="B4039" s="8" t="n">
        <v>46106.75</v>
      </c>
      <c r="C4039" s="8" t="n">
        <v>46107.22401620371</v>
      </c>
      <c r="D4039" s="9">
        <f>(C4039-B4039)*24</f>
        <v/>
      </c>
      <c r="E4039" s="10">
        <f>IF(AND(HOUR(B4039)&gt;=6,HOUR(B4039)&lt;18),"Day Shift","Night Shift")</f>
        <v/>
      </c>
      <c r="F4039" s="11">
        <f>INT(B4039)</f>
        <v/>
      </c>
      <c r="G4039" s="11">
        <f>INT(C4039)</f>
        <v/>
      </c>
    </row>
    <row r="4040">
      <c r="A4040" s="7" t="inlineStr">
        <is>
          <t>EXD60</t>
        </is>
      </c>
      <c r="B4040" s="8" t="n">
        <v>46096.19398148148</v>
      </c>
      <c r="C4040" s="8" t="n">
        <v>46096.25</v>
      </c>
      <c r="D4040" s="9">
        <f>(C4040-B4040)*24</f>
        <v/>
      </c>
      <c r="E4040" s="10">
        <f>IF(AND(HOUR(B4040)&gt;=6,HOUR(B4040)&lt;18),"Day Shift","Night Shift")</f>
        <v/>
      </c>
      <c r="F4040" s="11">
        <f>INT(B4040)</f>
        <v/>
      </c>
      <c r="G4040" s="11">
        <f>INT(C4040)</f>
        <v/>
      </c>
    </row>
    <row r="4041">
      <c r="A4041" s="2" t="inlineStr">
        <is>
          <t>EXD60</t>
        </is>
      </c>
      <c r="B4041" s="3" t="n">
        <v>46096.25</v>
      </c>
      <c r="C4041" s="3" t="n">
        <v>46096.75</v>
      </c>
      <c r="D4041" s="4">
        <f>(C4041-B4041)*24</f>
        <v/>
      </c>
      <c r="E4041" s="5">
        <f>IF(AND(HOUR(B4041)&gt;=6,HOUR(B4041)&lt;18),"Day Shift","Night Shift")</f>
        <v/>
      </c>
      <c r="F4041" s="6">
        <f>INT(B4041)</f>
        <v/>
      </c>
      <c r="G4041" s="6">
        <f>INT(C4041)</f>
        <v/>
      </c>
    </row>
    <row r="4042">
      <c r="A4042" s="7" t="inlineStr">
        <is>
          <t>EXD60</t>
        </is>
      </c>
      <c r="B4042" s="8" t="n">
        <v>46096.75</v>
      </c>
      <c r="C4042" s="8" t="n">
        <v>46097.25</v>
      </c>
      <c r="D4042" s="9">
        <f>(C4042-B4042)*24</f>
        <v/>
      </c>
      <c r="E4042" s="10">
        <f>IF(AND(HOUR(B4042)&gt;=6,HOUR(B4042)&lt;18),"Day Shift","Night Shift")</f>
        <v/>
      </c>
      <c r="F4042" s="11">
        <f>INT(B4042)</f>
        <v/>
      </c>
      <c r="G4042" s="11">
        <f>INT(C4042)</f>
        <v/>
      </c>
    </row>
    <row r="4043">
      <c r="A4043" s="2" t="inlineStr">
        <is>
          <t>EXD60</t>
        </is>
      </c>
      <c r="B4043" s="3" t="n">
        <v>46097.25</v>
      </c>
      <c r="C4043" s="3" t="n">
        <v>46097.75</v>
      </c>
      <c r="D4043" s="4">
        <f>(C4043-B4043)*24</f>
        <v/>
      </c>
      <c r="E4043" s="5">
        <f>IF(AND(HOUR(B4043)&gt;=6,HOUR(B4043)&lt;18),"Day Shift","Night Shift")</f>
        <v/>
      </c>
      <c r="F4043" s="6">
        <f>INT(B4043)</f>
        <v/>
      </c>
      <c r="G4043" s="6">
        <f>INT(C4043)</f>
        <v/>
      </c>
    </row>
    <row r="4044">
      <c r="A4044" s="7" t="inlineStr">
        <is>
          <t>EXD60</t>
        </is>
      </c>
      <c r="B4044" s="8" t="n">
        <v>46097.75</v>
      </c>
      <c r="C4044" s="8" t="n">
        <v>46098.25</v>
      </c>
      <c r="D4044" s="9">
        <f>(C4044-B4044)*24</f>
        <v/>
      </c>
      <c r="E4044" s="10">
        <f>IF(AND(HOUR(B4044)&gt;=6,HOUR(B4044)&lt;18),"Day Shift","Night Shift")</f>
        <v/>
      </c>
      <c r="F4044" s="11">
        <f>INT(B4044)</f>
        <v/>
      </c>
      <c r="G4044" s="11">
        <f>INT(C4044)</f>
        <v/>
      </c>
    </row>
    <row r="4045">
      <c r="A4045" s="2" t="inlineStr">
        <is>
          <t>EXD60</t>
        </is>
      </c>
      <c r="B4045" s="3" t="n">
        <v>46098.25</v>
      </c>
      <c r="C4045" s="3" t="n">
        <v>46098.75</v>
      </c>
      <c r="D4045" s="4">
        <f>(C4045-B4045)*24</f>
        <v/>
      </c>
      <c r="E4045" s="5">
        <f>IF(AND(HOUR(B4045)&gt;=6,HOUR(B4045)&lt;18),"Day Shift","Night Shift")</f>
        <v/>
      </c>
      <c r="F4045" s="6">
        <f>INT(B4045)</f>
        <v/>
      </c>
      <c r="G4045" s="6">
        <f>INT(C4045)</f>
        <v/>
      </c>
    </row>
    <row r="4046">
      <c r="A4046" s="7" t="inlineStr">
        <is>
          <t>EXD60</t>
        </is>
      </c>
      <c r="B4046" s="8" t="n">
        <v>46098.75</v>
      </c>
      <c r="C4046" s="8" t="n">
        <v>46098.78798611111</v>
      </c>
      <c r="D4046" s="9">
        <f>(C4046-B4046)*24</f>
        <v/>
      </c>
      <c r="E4046" s="10">
        <f>IF(AND(HOUR(B4046)&gt;=6,HOUR(B4046)&lt;18),"Day Shift","Night Shift")</f>
        <v/>
      </c>
      <c r="F4046" s="11">
        <f>INT(B4046)</f>
        <v/>
      </c>
      <c r="G4046" s="11">
        <f>INT(C4046)</f>
        <v/>
      </c>
    </row>
    <row r="4047">
      <c r="A4047" s="7" t="inlineStr">
        <is>
          <t>DRE42</t>
        </is>
      </c>
      <c r="B4047" s="8" t="n">
        <v>46096.19894675926</v>
      </c>
      <c r="C4047" s="8" t="n">
        <v>46096.25</v>
      </c>
      <c r="D4047" s="9">
        <f>(C4047-B4047)*24</f>
        <v/>
      </c>
      <c r="E4047" s="10">
        <f>IF(AND(HOUR(B4047)&gt;=6,HOUR(B4047)&lt;18),"Day Shift","Night Shift")</f>
        <v/>
      </c>
      <c r="F4047" s="11">
        <f>INT(B4047)</f>
        <v/>
      </c>
      <c r="G4047" s="11">
        <f>INT(C4047)</f>
        <v/>
      </c>
    </row>
    <row r="4048">
      <c r="A4048" s="2" t="inlineStr">
        <is>
          <t>DRE42</t>
        </is>
      </c>
      <c r="B4048" s="3" t="n">
        <v>46096.25</v>
      </c>
      <c r="C4048" s="3" t="n">
        <v>46096.75</v>
      </c>
      <c r="D4048" s="4">
        <f>(C4048-B4048)*24</f>
        <v/>
      </c>
      <c r="E4048" s="5">
        <f>IF(AND(HOUR(B4048)&gt;=6,HOUR(B4048)&lt;18),"Day Shift","Night Shift")</f>
        <v/>
      </c>
      <c r="F4048" s="6">
        <f>INT(B4048)</f>
        <v/>
      </c>
      <c r="G4048" s="6">
        <f>INT(C4048)</f>
        <v/>
      </c>
    </row>
    <row r="4049">
      <c r="A4049" s="7" t="inlineStr">
        <is>
          <t>DRE42</t>
        </is>
      </c>
      <c r="B4049" s="8" t="n">
        <v>46096.75</v>
      </c>
      <c r="C4049" s="8" t="n">
        <v>46097.25</v>
      </c>
      <c r="D4049" s="9">
        <f>(C4049-B4049)*24</f>
        <v/>
      </c>
      <c r="E4049" s="10">
        <f>IF(AND(HOUR(B4049)&gt;=6,HOUR(B4049)&lt;18),"Day Shift","Night Shift")</f>
        <v/>
      </c>
      <c r="F4049" s="11">
        <f>INT(B4049)</f>
        <v/>
      </c>
      <c r="G4049" s="11">
        <f>INT(C4049)</f>
        <v/>
      </c>
    </row>
    <row r="4050">
      <c r="A4050" s="2" t="inlineStr">
        <is>
          <t>DRE42</t>
        </is>
      </c>
      <c r="B4050" s="3" t="n">
        <v>46097.25</v>
      </c>
      <c r="C4050" s="3" t="n">
        <v>46097.75</v>
      </c>
      <c r="D4050" s="4">
        <f>(C4050-B4050)*24</f>
        <v/>
      </c>
      <c r="E4050" s="5">
        <f>IF(AND(HOUR(B4050)&gt;=6,HOUR(B4050)&lt;18),"Day Shift","Night Shift")</f>
        <v/>
      </c>
      <c r="F4050" s="6">
        <f>INT(B4050)</f>
        <v/>
      </c>
      <c r="G4050" s="6">
        <f>INT(C4050)</f>
        <v/>
      </c>
    </row>
    <row r="4051">
      <c r="A4051" s="7" t="inlineStr">
        <is>
          <t>DRE42</t>
        </is>
      </c>
      <c r="B4051" s="8" t="n">
        <v>46097.75</v>
      </c>
      <c r="C4051" s="8" t="n">
        <v>46098.25</v>
      </c>
      <c r="D4051" s="9">
        <f>(C4051-B4051)*24</f>
        <v/>
      </c>
      <c r="E4051" s="10">
        <f>IF(AND(HOUR(B4051)&gt;=6,HOUR(B4051)&lt;18),"Day Shift","Night Shift")</f>
        <v/>
      </c>
      <c r="F4051" s="11">
        <f>INT(B4051)</f>
        <v/>
      </c>
      <c r="G4051" s="11">
        <f>INT(C4051)</f>
        <v/>
      </c>
    </row>
    <row r="4052">
      <c r="A4052" s="2" t="inlineStr">
        <is>
          <t>DRE42</t>
        </is>
      </c>
      <c r="B4052" s="3" t="n">
        <v>46098.25</v>
      </c>
      <c r="C4052" s="3" t="n">
        <v>46098.75</v>
      </c>
      <c r="D4052" s="4">
        <f>(C4052-B4052)*24</f>
        <v/>
      </c>
      <c r="E4052" s="5">
        <f>IF(AND(HOUR(B4052)&gt;=6,HOUR(B4052)&lt;18),"Day Shift","Night Shift")</f>
        <v/>
      </c>
      <c r="F4052" s="6">
        <f>INT(B4052)</f>
        <v/>
      </c>
      <c r="G4052" s="6">
        <f>INT(C4052)</f>
        <v/>
      </c>
    </row>
    <row r="4053">
      <c r="A4053" s="7" t="inlineStr">
        <is>
          <t>DRE42</t>
        </is>
      </c>
      <c r="B4053" s="8" t="n">
        <v>46098.75</v>
      </c>
      <c r="C4053" s="8" t="n">
        <v>46099.25</v>
      </c>
      <c r="D4053" s="9">
        <f>(C4053-B4053)*24</f>
        <v/>
      </c>
      <c r="E4053" s="10">
        <f>IF(AND(HOUR(B4053)&gt;=6,HOUR(B4053)&lt;18),"Day Shift","Night Shift")</f>
        <v/>
      </c>
      <c r="F4053" s="11">
        <f>INT(B4053)</f>
        <v/>
      </c>
      <c r="G4053" s="11">
        <f>INT(C4053)</f>
        <v/>
      </c>
    </row>
    <row r="4054">
      <c r="A4054" s="2" t="inlineStr">
        <is>
          <t>DRE42</t>
        </is>
      </c>
      <c r="B4054" s="3" t="n">
        <v>46099.25</v>
      </c>
      <c r="C4054" s="3" t="n">
        <v>46099.75</v>
      </c>
      <c r="D4054" s="4">
        <f>(C4054-B4054)*24</f>
        <v/>
      </c>
      <c r="E4054" s="5">
        <f>IF(AND(HOUR(B4054)&gt;=6,HOUR(B4054)&lt;18),"Day Shift","Night Shift")</f>
        <v/>
      </c>
      <c r="F4054" s="6">
        <f>INT(B4054)</f>
        <v/>
      </c>
      <c r="G4054" s="6">
        <f>INT(C4054)</f>
        <v/>
      </c>
    </row>
    <row r="4055">
      <c r="A4055" s="7" t="inlineStr">
        <is>
          <t>DRE42</t>
        </is>
      </c>
      <c r="B4055" s="8" t="n">
        <v>46099.75</v>
      </c>
      <c r="C4055" s="8" t="n">
        <v>46100.25</v>
      </c>
      <c r="D4055" s="9">
        <f>(C4055-B4055)*24</f>
        <v/>
      </c>
      <c r="E4055" s="10">
        <f>IF(AND(HOUR(B4055)&gt;=6,HOUR(B4055)&lt;18),"Day Shift","Night Shift")</f>
        <v/>
      </c>
      <c r="F4055" s="11">
        <f>INT(B4055)</f>
        <v/>
      </c>
      <c r="G4055" s="11">
        <f>INT(C4055)</f>
        <v/>
      </c>
    </row>
    <row r="4056">
      <c r="A4056" s="2" t="inlineStr">
        <is>
          <t>DRE42</t>
        </is>
      </c>
      <c r="B4056" s="3" t="n">
        <v>46100.25</v>
      </c>
      <c r="C4056" s="3" t="n">
        <v>46100.75</v>
      </c>
      <c r="D4056" s="4">
        <f>(C4056-B4056)*24</f>
        <v/>
      </c>
      <c r="E4056" s="5">
        <f>IF(AND(HOUR(B4056)&gt;=6,HOUR(B4056)&lt;18),"Day Shift","Night Shift")</f>
        <v/>
      </c>
      <c r="F4056" s="6">
        <f>INT(B4056)</f>
        <v/>
      </c>
      <c r="G4056" s="6">
        <f>INT(C4056)</f>
        <v/>
      </c>
    </row>
    <row r="4057">
      <c r="A4057" s="7" t="inlineStr">
        <is>
          <t>DRE42</t>
        </is>
      </c>
      <c r="B4057" s="8" t="n">
        <v>46100.75</v>
      </c>
      <c r="C4057" s="8" t="n">
        <v>46101.25</v>
      </c>
      <c r="D4057" s="9">
        <f>(C4057-B4057)*24</f>
        <v/>
      </c>
      <c r="E4057" s="10">
        <f>IF(AND(HOUR(B4057)&gt;=6,HOUR(B4057)&lt;18),"Day Shift","Night Shift")</f>
        <v/>
      </c>
      <c r="F4057" s="11">
        <f>INT(B4057)</f>
        <v/>
      </c>
      <c r="G4057" s="11">
        <f>INT(C4057)</f>
        <v/>
      </c>
    </row>
    <row r="4058">
      <c r="A4058" s="2" t="inlineStr">
        <is>
          <t>DRE42</t>
        </is>
      </c>
      <c r="B4058" s="3" t="n">
        <v>46101.25</v>
      </c>
      <c r="C4058" s="3" t="n">
        <v>46101.42627314815</v>
      </c>
      <c r="D4058" s="4">
        <f>(C4058-B4058)*24</f>
        <v/>
      </c>
      <c r="E4058" s="5">
        <f>IF(AND(HOUR(B4058)&gt;=6,HOUR(B4058)&lt;18),"Day Shift","Night Shift")</f>
        <v/>
      </c>
      <c r="F4058" s="6">
        <f>INT(B4058)</f>
        <v/>
      </c>
      <c r="G4058" s="6">
        <f>INT(C4058)</f>
        <v/>
      </c>
    </row>
    <row r="4059">
      <c r="A4059" s="7" t="inlineStr">
        <is>
          <t>EDD1932;EDD2541;EDD812;EDD175</t>
        </is>
      </c>
      <c r="B4059" s="8" t="n">
        <v>46096.20653935185</v>
      </c>
      <c r="C4059" s="8" t="n">
        <v>46096.25</v>
      </c>
      <c r="D4059" s="9">
        <f>(C4059-B4059)*24</f>
        <v/>
      </c>
      <c r="E4059" s="10">
        <f>IF(AND(HOUR(B4059)&gt;=6,HOUR(B4059)&lt;18),"Day Shift","Night Shift")</f>
        <v/>
      </c>
      <c r="F4059" s="11">
        <f>INT(B4059)</f>
        <v/>
      </c>
      <c r="G4059" s="11">
        <f>INT(C4059)</f>
        <v/>
      </c>
    </row>
    <row r="4060">
      <c r="A4060" s="2" t="inlineStr">
        <is>
          <t>EDD1932;EDD2541;EDD812;EDD175</t>
        </is>
      </c>
      <c r="B4060" s="3" t="n">
        <v>46096.25</v>
      </c>
      <c r="C4060" s="3" t="n">
        <v>46096.75</v>
      </c>
      <c r="D4060" s="4">
        <f>(C4060-B4060)*24</f>
        <v/>
      </c>
      <c r="E4060" s="5">
        <f>IF(AND(HOUR(B4060)&gt;=6,HOUR(B4060)&lt;18),"Day Shift","Night Shift")</f>
        <v/>
      </c>
      <c r="F4060" s="6">
        <f>INT(B4060)</f>
        <v/>
      </c>
      <c r="G4060" s="6">
        <f>INT(C4060)</f>
        <v/>
      </c>
    </row>
    <row r="4061">
      <c r="A4061" s="7" t="inlineStr">
        <is>
          <t>EDD1932;EDD2541;EDD812;EDD175</t>
        </is>
      </c>
      <c r="B4061" s="8" t="n">
        <v>46096.75</v>
      </c>
      <c r="C4061" s="8" t="n">
        <v>46096.78363425926</v>
      </c>
      <c r="D4061" s="9">
        <f>(C4061-B4061)*24</f>
        <v/>
      </c>
      <c r="E4061" s="10">
        <f>IF(AND(HOUR(B4061)&gt;=6,HOUR(B4061)&lt;18),"Day Shift","Night Shift")</f>
        <v/>
      </c>
      <c r="F4061" s="11">
        <f>INT(B4061)</f>
        <v/>
      </c>
      <c r="G4061" s="11">
        <f>INT(C4061)</f>
        <v/>
      </c>
    </row>
    <row r="4062">
      <c r="A4062" s="2" t="inlineStr">
        <is>
          <t>LDW262</t>
        </is>
      </c>
      <c r="B4062" s="3" t="n">
        <v>46096.28266203704</v>
      </c>
      <c r="C4062" s="3" t="n">
        <v>46096.75</v>
      </c>
      <c r="D4062" s="4">
        <f>(C4062-B4062)*24</f>
        <v/>
      </c>
      <c r="E4062" s="5">
        <f>IF(AND(HOUR(B4062)&gt;=6,HOUR(B4062)&lt;18),"Day Shift","Night Shift")</f>
        <v/>
      </c>
      <c r="F4062" s="6">
        <f>INT(B4062)</f>
        <v/>
      </c>
      <c r="G4062" s="6">
        <f>INT(C4062)</f>
        <v/>
      </c>
    </row>
    <row r="4063">
      <c r="A4063" s="7" t="inlineStr">
        <is>
          <t>LDW262</t>
        </is>
      </c>
      <c r="B4063" s="8" t="n">
        <v>46096.75</v>
      </c>
      <c r="C4063" s="8" t="n">
        <v>46097.25</v>
      </c>
      <c r="D4063" s="9">
        <f>(C4063-B4063)*24</f>
        <v/>
      </c>
      <c r="E4063" s="10">
        <f>IF(AND(HOUR(B4063)&gt;=6,HOUR(B4063)&lt;18),"Day Shift","Night Shift")</f>
        <v/>
      </c>
      <c r="F4063" s="11">
        <f>INT(B4063)</f>
        <v/>
      </c>
      <c r="G4063" s="11">
        <f>INT(C4063)</f>
        <v/>
      </c>
    </row>
    <row r="4064">
      <c r="A4064" s="2" t="inlineStr">
        <is>
          <t>LDW262</t>
        </is>
      </c>
      <c r="B4064" s="3" t="n">
        <v>46097.25</v>
      </c>
      <c r="C4064" s="3" t="n">
        <v>46097.475</v>
      </c>
      <c r="D4064" s="4">
        <f>(C4064-B4064)*24</f>
        <v/>
      </c>
      <c r="E4064" s="5">
        <f>IF(AND(HOUR(B4064)&gt;=6,HOUR(B4064)&lt;18),"Day Shift","Night Shift")</f>
        <v/>
      </c>
      <c r="F4064" s="6">
        <f>INT(B4064)</f>
        <v/>
      </c>
      <c r="G4064" s="6">
        <f>INT(C4064)</f>
        <v/>
      </c>
    </row>
    <row r="4065">
      <c r="A4065" s="2" t="inlineStr">
        <is>
          <t>Blast Crew DS</t>
        </is>
      </c>
      <c r="B4065" s="3" t="n">
        <v>46096.28266203704</v>
      </c>
      <c r="C4065" s="3" t="n">
        <v>46096.31516203703</v>
      </c>
      <c r="D4065" s="4">
        <f>(C4065-B4065)*24</f>
        <v/>
      </c>
      <c r="E4065" s="5">
        <f>IF(AND(HOUR(B4065)&gt;=6,HOUR(B4065)&lt;18),"Day Shift","Night Shift")</f>
        <v/>
      </c>
      <c r="F4065" s="6">
        <f>INT(B4065)</f>
        <v/>
      </c>
      <c r="G4065" s="6">
        <f>INT(C4065)</f>
        <v/>
      </c>
    </row>
    <row r="4066">
      <c r="A4066" s="2" t="inlineStr">
        <is>
          <t>Blast Crew DS</t>
        </is>
      </c>
      <c r="B4066" s="3" t="n">
        <v>46096.31516203703</v>
      </c>
      <c r="C4066" s="3" t="n">
        <v>46096.34627314815</v>
      </c>
      <c r="D4066" s="4">
        <f>(C4066-B4066)*24</f>
        <v/>
      </c>
      <c r="E4066" s="5">
        <f>IF(AND(HOUR(B4066)&gt;=6,HOUR(B4066)&lt;18),"Day Shift","Night Shift")</f>
        <v/>
      </c>
      <c r="F4066" s="6">
        <f>INT(B4066)</f>
        <v/>
      </c>
      <c r="G4066" s="6">
        <f>INT(C4066)</f>
        <v/>
      </c>
    </row>
    <row r="4067">
      <c r="A4067" s="2" t="inlineStr">
        <is>
          <t>Blast Crew DS</t>
        </is>
      </c>
      <c r="B4067" s="3" t="n">
        <v>46096.34627314815</v>
      </c>
      <c r="C4067" s="3" t="n">
        <v>46096.37844907407</v>
      </c>
      <c r="D4067" s="4">
        <f>(C4067-B4067)*24</f>
        <v/>
      </c>
      <c r="E4067" s="5">
        <f>IF(AND(HOUR(B4067)&gt;=6,HOUR(B4067)&lt;18),"Day Shift","Night Shift")</f>
        <v/>
      </c>
      <c r="F4067" s="6">
        <f>INT(B4067)</f>
        <v/>
      </c>
      <c r="G4067" s="6">
        <f>INT(C4067)</f>
        <v/>
      </c>
    </row>
    <row r="4068">
      <c r="A4068" s="2" t="inlineStr">
        <is>
          <t>EXD55</t>
        </is>
      </c>
      <c r="B4068" s="3" t="n">
        <v>46096.36798611111</v>
      </c>
      <c r="C4068" s="3" t="n">
        <v>46096.75</v>
      </c>
      <c r="D4068" s="4">
        <f>(C4068-B4068)*24</f>
        <v/>
      </c>
      <c r="E4068" s="5">
        <f>IF(AND(HOUR(B4068)&gt;=6,HOUR(B4068)&lt;18),"Day Shift","Night Shift")</f>
        <v/>
      </c>
      <c r="F4068" s="6">
        <f>INT(B4068)</f>
        <v/>
      </c>
      <c r="G4068" s="6">
        <f>INT(C4068)</f>
        <v/>
      </c>
    </row>
    <row r="4069">
      <c r="A4069" s="7" t="inlineStr">
        <is>
          <t>EXD55</t>
        </is>
      </c>
      <c r="B4069" s="8" t="n">
        <v>46096.75</v>
      </c>
      <c r="C4069" s="8" t="n">
        <v>46097.12236111111</v>
      </c>
      <c r="D4069" s="9">
        <f>(C4069-B4069)*24</f>
        <v/>
      </c>
      <c r="E4069" s="10">
        <f>IF(AND(HOUR(B4069)&gt;=6,HOUR(B4069)&lt;18),"Day Shift","Night Shift")</f>
        <v/>
      </c>
      <c r="F4069" s="11">
        <f>INT(B4069)</f>
        <v/>
      </c>
      <c r="G4069" s="11">
        <f>INT(C4069)</f>
        <v/>
      </c>
    </row>
    <row r="4070">
      <c r="A4070" s="2" t="inlineStr">
        <is>
          <t>Blast Crew DS</t>
        </is>
      </c>
      <c r="B4070" s="3" t="n">
        <v>46096.37844907407</v>
      </c>
      <c r="C4070" s="3" t="n">
        <v>46096.41207175926</v>
      </c>
      <c r="D4070" s="4">
        <f>(C4070-B4070)*24</f>
        <v/>
      </c>
      <c r="E4070" s="5">
        <f>IF(AND(HOUR(B4070)&gt;=6,HOUR(B4070)&lt;18),"Day Shift","Night Shift")</f>
        <v/>
      </c>
      <c r="F4070" s="6">
        <f>INT(B4070)</f>
        <v/>
      </c>
      <c r="G4070" s="6">
        <f>INT(C4070)</f>
        <v/>
      </c>
    </row>
    <row r="4071">
      <c r="A4071" s="2" t="inlineStr">
        <is>
          <t>EXD98</t>
        </is>
      </c>
      <c r="B4071" s="3" t="n">
        <v>46096.42959490741</v>
      </c>
      <c r="C4071" s="3" t="n">
        <v>46096.75</v>
      </c>
      <c r="D4071" s="4">
        <f>(C4071-B4071)*24</f>
        <v/>
      </c>
      <c r="E4071" s="5">
        <f>IF(AND(HOUR(B4071)&gt;=6,HOUR(B4071)&lt;18),"Day Shift","Night Shift")</f>
        <v/>
      </c>
      <c r="F4071" s="6">
        <f>INT(B4071)</f>
        <v/>
      </c>
      <c r="G4071" s="6">
        <f>INT(C4071)</f>
        <v/>
      </c>
    </row>
    <row r="4072">
      <c r="A4072" s="7" t="inlineStr">
        <is>
          <t>EXD98</t>
        </is>
      </c>
      <c r="B4072" s="8" t="n">
        <v>46096.75</v>
      </c>
      <c r="C4072" s="8" t="n">
        <v>46097.2359375</v>
      </c>
      <c r="D4072" s="9">
        <f>(C4072-B4072)*24</f>
        <v/>
      </c>
      <c r="E4072" s="10">
        <f>IF(AND(HOUR(B4072)&gt;=6,HOUR(B4072)&lt;18),"Day Shift","Night Shift")</f>
        <v/>
      </c>
      <c r="F4072" s="11">
        <f>INT(B4072)</f>
        <v/>
      </c>
      <c r="G4072" s="11">
        <f>INT(C4072)</f>
        <v/>
      </c>
    </row>
    <row r="4073">
      <c r="A4073" s="2" t="inlineStr">
        <is>
          <t>EDD2134</t>
        </is>
      </c>
      <c r="B4073" s="3" t="n">
        <v>46096.42965277778</v>
      </c>
      <c r="C4073" s="3" t="n">
        <v>46096.75</v>
      </c>
      <c r="D4073" s="4">
        <f>(C4073-B4073)*24</f>
        <v/>
      </c>
      <c r="E4073" s="5">
        <f>IF(AND(HOUR(B4073)&gt;=6,HOUR(B4073)&lt;18),"Day Shift","Night Shift")</f>
        <v/>
      </c>
      <c r="F4073" s="6">
        <f>INT(B4073)</f>
        <v/>
      </c>
      <c r="G4073" s="6">
        <f>INT(C4073)</f>
        <v/>
      </c>
    </row>
    <row r="4074">
      <c r="A4074" s="7" t="inlineStr">
        <is>
          <t>EDD2134</t>
        </is>
      </c>
      <c r="B4074" s="8" t="n">
        <v>46096.75</v>
      </c>
      <c r="C4074" s="8" t="n">
        <v>46096.85756944444</v>
      </c>
      <c r="D4074" s="9">
        <f>(C4074-B4074)*24</f>
        <v/>
      </c>
      <c r="E4074" s="10">
        <f>IF(AND(HOUR(B4074)&gt;=6,HOUR(B4074)&lt;18),"Day Shift","Night Shift")</f>
        <v/>
      </c>
      <c r="F4074" s="11">
        <f>INT(B4074)</f>
        <v/>
      </c>
      <c r="G4074" s="11">
        <f>INT(C4074)</f>
        <v/>
      </c>
    </row>
    <row r="4075">
      <c r="A4075" s="2" t="inlineStr">
        <is>
          <t>Sprint 1</t>
        </is>
      </c>
      <c r="B4075" s="3" t="n">
        <v>46096.57231481482</v>
      </c>
      <c r="C4075" s="3" t="n">
        <v>46096.75</v>
      </c>
      <c r="D4075" s="4">
        <f>(C4075-B4075)*24</f>
        <v/>
      </c>
      <c r="E4075" s="5">
        <f>IF(AND(HOUR(B4075)&gt;=6,HOUR(B4075)&lt;18),"Day Shift","Night Shift")</f>
        <v/>
      </c>
      <c r="F4075" s="6">
        <f>INT(B4075)</f>
        <v/>
      </c>
      <c r="G4075" s="6">
        <f>INT(C4075)</f>
        <v/>
      </c>
    </row>
    <row r="4076">
      <c r="A4076" s="7" t="inlineStr">
        <is>
          <t>Sprint 1</t>
        </is>
      </c>
      <c r="B4076" s="8" t="n">
        <v>46096.75</v>
      </c>
      <c r="C4076" s="8" t="n">
        <v>46097.17351851852</v>
      </c>
      <c r="D4076" s="9">
        <f>(C4076-B4076)*24</f>
        <v/>
      </c>
      <c r="E4076" s="10">
        <f>IF(AND(HOUR(B4076)&gt;=6,HOUR(B4076)&lt;18),"Day Shift","Night Shift")</f>
        <v/>
      </c>
      <c r="F4076" s="11">
        <f>INT(B4076)</f>
        <v/>
      </c>
      <c r="G4076" s="11">
        <f>INT(C4076)</f>
        <v/>
      </c>
    </row>
    <row r="4077">
      <c r="A4077" s="2" t="inlineStr">
        <is>
          <t>EXD408</t>
        </is>
      </c>
      <c r="B4077" s="3" t="n">
        <v>46096.58506944445</v>
      </c>
      <c r="C4077" s="3" t="n">
        <v>46096.75</v>
      </c>
      <c r="D4077" s="4">
        <f>(C4077-B4077)*24</f>
        <v/>
      </c>
      <c r="E4077" s="5">
        <f>IF(AND(HOUR(B4077)&gt;=6,HOUR(B4077)&lt;18),"Day Shift","Night Shift")</f>
        <v/>
      </c>
      <c r="F4077" s="6">
        <f>INT(B4077)</f>
        <v/>
      </c>
      <c r="G4077" s="6">
        <f>INT(C4077)</f>
        <v/>
      </c>
    </row>
    <row r="4078">
      <c r="A4078" s="7" t="inlineStr">
        <is>
          <t>EXD408</t>
        </is>
      </c>
      <c r="B4078" s="8" t="n">
        <v>46096.75</v>
      </c>
      <c r="C4078" s="8" t="n">
        <v>46097.25</v>
      </c>
      <c r="D4078" s="9">
        <f>(C4078-B4078)*24</f>
        <v/>
      </c>
      <c r="E4078" s="10">
        <f>IF(AND(HOUR(B4078)&gt;=6,HOUR(B4078)&lt;18),"Day Shift","Night Shift")</f>
        <v/>
      </c>
      <c r="F4078" s="11">
        <f>INT(B4078)</f>
        <v/>
      </c>
      <c r="G4078" s="11">
        <f>INT(C4078)</f>
        <v/>
      </c>
    </row>
    <row r="4079">
      <c r="A4079" s="2" t="inlineStr">
        <is>
          <t>EXD408</t>
        </is>
      </c>
      <c r="B4079" s="3" t="n">
        <v>46097.25</v>
      </c>
      <c r="C4079" s="3" t="n">
        <v>46097.28978009259</v>
      </c>
      <c r="D4079" s="4">
        <f>(C4079-B4079)*24</f>
        <v/>
      </c>
      <c r="E4079" s="5">
        <f>IF(AND(HOUR(B4079)&gt;=6,HOUR(B4079)&lt;18),"Day Shift","Night Shift")</f>
        <v/>
      </c>
      <c r="F4079" s="6">
        <f>INT(B4079)</f>
        <v/>
      </c>
      <c r="G4079" s="6">
        <f>INT(C4079)</f>
        <v/>
      </c>
    </row>
    <row r="4080">
      <c r="A4080" s="2" t="inlineStr">
        <is>
          <t>EXD409</t>
        </is>
      </c>
      <c r="B4080" s="3" t="n">
        <v>46096.60445601852</v>
      </c>
      <c r="C4080" s="3" t="n">
        <v>46096.75</v>
      </c>
      <c r="D4080" s="4">
        <f>(C4080-B4080)*24</f>
        <v/>
      </c>
      <c r="E4080" s="5">
        <f>IF(AND(HOUR(B4080)&gt;=6,HOUR(B4080)&lt;18),"Day Shift","Night Shift")</f>
        <v/>
      </c>
      <c r="F4080" s="6">
        <f>INT(B4080)</f>
        <v/>
      </c>
      <c r="G4080" s="6">
        <f>INT(C4080)</f>
        <v/>
      </c>
    </row>
    <row r="4081">
      <c r="A4081" s="7" t="inlineStr">
        <is>
          <t>EXD409</t>
        </is>
      </c>
      <c r="B4081" s="8" t="n">
        <v>46096.75</v>
      </c>
      <c r="C4081" s="8" t="n">
        <v>46097.25</v>
      </c>
      <c r="D4081" s="9">
        <f>(C4081-B4081)*24</f>
        <v/>
      </c>
      <c r="E4081" s="10">
        <f>IF(AND(HOUR(B4081)&gt;=6,HOUR(B4081)&lt;18),"Day Shift","Night Shift")</f>
        <v/>
      </c>
      <c r="F4081" s="11">
        <f>INT(B4081)</f>
        <v/>
      </c>
      <c r="G4081" s="11">
        <f>INT(C4081)</f>
        <v/>
      </c>
    </row>
    <row r="4082">
      <c r="A4082" s="2" t="inlineStr">
        <is>
          <t>EXD409</t>
        </is>
      </c>
      <c r="B4082" s="3" t="n">
        <v>46097.25</v>
      </c>
      <c r="C4082" s="3" t="n">
        <v>46097.31311342592</v>
      </c>
      <c r="D4082" s="4">
        <f>(C4082-B4082)*24</f>
        <v/>
      </c>
      <c r="E4082" s="5">
        <f>IF(AND(HOUR(B4082)&gt;=6,HOUR(B4082)&lt;18),"Day Shift","Night Shift")</f>
        <v/>
      </c>
      <c r="F4082" s="6">
        <f>INT(B4082)</f>
        <v/>
      </c>
      <c r="G4082" s="6">
        <f>INT(C4082)</f>
        <v/>
      </c>
    </row>
    <row r="4083">
      <c r="A4083" s="2" t="inlineStr">
        <is>
          <t>SHE36</t>
        </is>
      </c>
      <c r="B4083" s="3" t="n">
        <v>46096.65208333333</v>
      </c>
      <c r="C4083" s="3" t="n">
        <v>46096.75</v>
      </c>
      <c r="D4083" s="4">
        <f>(C4083-B4083)*24</f>
        <v/>
      </c>
      <c r="E4083" s="5">
        <f>IF(AND(HOUR(B4083)&gt;=6,HOUR(B4083)&lt;18),"Day Shift","Night Shift")</f>
        <v/>
      </c>
      <c r="F4083" s="6">
        <f>INT(B4083)</f>
        <v/>
      </c>
      <c r="G4083" s="6">
        <f>INT(C4083)</f>
        <v/>
      </c>
    </row>
    <row r="4084">
      <c r="A4084" s="7" t="inlineStr">
        <is>
          <t>SHE36</t>
        </is>
      </c>
      <c r="B4084" s="8" t="n">
        <v>46096.75</v>
      </c>
      <c r="C4084" s="8" t="n">
        <v>46096.86512731481</v>
      </c>
      <c r="D4084" s="9">
        <f>(C4084-B4084)*24</f>
        <v/>
      </c>
      <c r="E4084" s="10">
        <f>IF(AND(HOUR(B4084)&gt;=6,HOUR(B4084)&lt;18),"Day Shift","Night Shift")</f>
        <v/>
      </c>
      <c r="F4084" s="11">
        <f>INT(B4084)</f>
        <v/>
      </c>
      <c r="G4084" s="11">
        <f>INT(C4084)</f>
        <v/>
      </c>
    </row>
    <row r="4085">
      <c r="A4085" s="2" t="inlineStr">
        <is>
          <t>EXD101</t>
        </is>
      </c>
      <c r="B4085" s="3" t="n">
        <v>46096.70289351852</v>
      </c>
      <c r="C4085" s="3" t="n">
        <v>46096.75</v>
      </c>
      <c r="D4085" s="4">
        <f>(C4085-B4085)*24</f>
        <v/>
      </c>
      <c r="E4085" s="5">
        <f>IF(AND(HOUR(B4085)&gt;=6,HOUR(B4085)&lt;18),"Day Shift","Night Shift")</f>
        <v/>
      </c>
      <c r="F4085" s="6">
        <f>INT(B4085)</f>
        <v/>
      </c>
      <c r="G4085" s="6">
        <f>INT(C4085)</f>
        <v/>
      </c>
    </row>
    <row r="4086">
      <c r="A4086" s="7" t="inlineStr">
        <is>
          <t>EXD101</t>
        </is>
      </c>
      <c r="B4086" s="8" t="n">
        <v>46096.75</v>
      </c>
      <c r="C4086" s="8" t="n">
        <v>46097.25</v>
      </c>
      <c r="D4086" s="9">
        <f>(C4086-B4086)*24</f>
        <v/>
      </c>
      <c r="E4086" s="10">
        <f>IF(AND(HOUR(B4086)&gt;=6,HOUR(B4086)&lt;18),"Day Shift","Night Shift")</f>
        <v/>
      </c>
      <c r="F4086" s="11">
        <f>INT(B4086)</f>
        <v/>
      </c>
      <c r="G4086" s="11">
        <f>INT(C4086)</f>
        <v/>
      </c>
    </row>
    <row r="4087">
      <c r="A4087" s="2" t="inlineStr">
        <is>
          <t>EXD101</t>
        </is>
      </c>
      <c r="B4087" s="3" t="n">
        <v>46097.25</v>
      </c>
      <c r="C4087" s="3" t="n">
        <v>46097.54980324074</v>
      </c>
      <c r="D4087" s="4">
        <f>(C4087-B4087)*24</f>
        <v/>
      </c>
      <c r="E4087" s="5">
        <f>IF(AND(HOUR(B4087)&gt;=6,HOUR(B4087)&lt;18),"Day Shift","Night Shift")</f>
        <v/>
      </c>
      <c r="F4087" s="6">
        <f>INT(B4087)</f>
        <v/>
      </c>
      <c r="G4087" s="6">
        <f>INT(C4087)</f>
        <v/>
      </c>
    </row>
    <row r="4088">
      <c r="A4088" s="7" t="inlineStr">
        <is>
          <t>EXD407</t>
        </is>
      </c>
      <c r="B4088" s="8" t="n">
        <v>46096.76368055555</v>
      </c>
      <c r="C4088" s="8" t="n">
        <v>46097.25</v>
      </c>
      <c r="D4088" s="9">
        <f>(C4088-B4088)*24</f>
        <v/>
      </c>
      <c r="E4088" s="10">
        <f>IF(AND(HOUR(B4088)&gt;=6,HOUR(B4088)&lt;18),"Day Shift","Night Shift")</f>
        <v/>
      </c>
      <c r="F4088" s="11">
        <f>INT(B4088)</f>
        <v/>
      </c>
      <c r="G4088" s="11">
        <f>INT(C4088)</f>
        <v/>
      </c>
    </row>
    <row r="4089">
      <c r="A4089" s="2" t="inlineStr">
        <is>
          <t>EXD407</t>
        </is>
      </c>
      <c r="B4089" s="3" t="n">
        <v>46097.25</v>
      </c>
      <c r="C4089" s="3" t="n">
        <v>46097.75</v>
      </c>
      <c r="D4089" s="4">
        <f>(C4089-B4089)*24</f>
        <v/>
      </c>
      <c r="E4089" s="5">
        <f>IF(AND(HOUR(B4089)&gt;=6,HOUR(B4089)&lt;18),"Day Shift","Night Shift")</f>
        <v/>
      </c>
      <c r="F4089" s="6">
        <f>INT(B4089)</f>
        <v/>
      </c>
      <c r="G4089" s="6">
        <f>INT(C4089)</f>
        <v/>
      </c>
    </row>
    <row r="4090">
      <c r="A4090" s="7" t="inlineStr">
        <is>
          <t>EXD407</t>
        </is>
      </c>
      <c r="B4090" s="8" t="n">
        <v>46097.75</v>
      </c>
      <c r="C4090" s="8" t="n">
        <v>46098.25</v>
      </c>
      <c r="D4090" s="9">
        <f>(C4090-B4090)*24</f>
        <v/>
      </c>
      <c r="E4090" s="10">
        <f>IF(AND(HOUR(B4090)&gt;=6,HOUR(B4090)&lt;18),"Day Shift","Night Shift")</f>
        <v/>
      </c>
      <c r="F4090" s="11">
        <f>INT(B4090)</f>
        <v/>
      </c>
      <c r="G4090" s="11">
        <f>INT(C4090)</f>
        <v/>
      </c>
    </row>
    <row r="4091">
      <c r="A4091" s="2" t="inlineStr">
        <is>
          <t>EXD407</t>
        </is>
      </c>
      <c r="B4091" s="3" t="n">
        <v>46098.25</v>
      </c>
      <c r="C4091" s="3" t="n">
        <v>46098.30810185185</v>
      </c>
      <c r="D4091" s="4">
        <f>(C4091-B4091)*24</f>
        <v/>
      </c>
      <c r="E4091" s="5">
        <f>IF(AND(HOUR(B4091)&gt;=6,HOUR(B4091)&lt;18),"Day Shift","Night Shift")</f>
        <v/>
      </c>
      <c r="F4091" s="6">
        <f>INT(B4091)</f>
        <v/>
      </c>
      <c r="G4091" s="6">
        <f>INT(C4091)</f>
        <v/>
      </c>
    </row>
    <row r="4092">
      <c r="A4092" s="7" t="inlineStr">
        <is>
          <t>EXD73</t>
        </is>
      </c>
      <c r="B4092" s="8" t="n">
        <v>46096.77679398148</v>
      </c>
      <c r="C4092" s="8" t="n">
        <v>46097.25</v>
      </c>
      <c r="D4092" s="9">
        <f>(C4092-B4092)*24</f>
        <v/>
      </c>
      <c r="E4092" s="10">
        <f>IF(AND(HOUR(B4092)&gt;=6,HOUR(B4092)&lt;18),"Day Shift","Night Shift")</f>
        <v/>
      </c>
      <c r="F4092" s="11">
        <f>INT(B4092)</f>
        <v/>
      </c>
      <c r="G4092" s="11">
        <f>INT(C4092)</f>
        <v/>
      </c>
    </row>
    <row r="4093">
      <c r="A4093" s="2" t="inlineStr">
        <is>
          <t>EXD73</t>
        </is>
      </c>
      <c r="B4093" s="3" t="n">
        <v>46097.25</v>
      </c>
      <c r="C4093" s="3" t="n">
        <v>46097.75</v>
      </c>
      <c r="D4093" s="4">
        <f>(C4093-B4093)*24</f>
        <v/>
      </c>
      <c r="E4093" s="5">
        <f>IF(AND(HOUR(B4093)&gt;=6,HOUR(B4093)&lt;18),"Day Shift","Night Shift")</f>
        <v/>
      </c>
      <c r="F4093" s="6">
        <f>INT(B4093)</f>
        <v/>
      </c>
      <c r="G4093" s="6">
        <f>INT(C4093)</f>
        <v/>
      </c>
    </row>
    <row r="4094">
      <c r="A4094" s="7" t="inlineStr">
        <is>
          <t>EXD73</t>
        </is>
      </c>
      <c r="B4094" s="8" t="n">
        <v>46097.75</v>
      </c>
      <c r="C4094" s="8" t="n">
        <v>46098.03712962963</v>
      </c>
      <c r="D4094" s="9">
        <f>(C4094-B4094)*24</f>
        <v/>
      </c>
      <c r="E4094" s="10">
        <f>IF(AND(HOUR(B4094)&gt;=6,HOUR(B4094)&lt;18),"Day Shift","Night Shift")</f>
        <v/>
      </c>
      <c r="F4094" s="11">
        <f>INT(B4094)</f>
        <v/>
      </c>
      <c r="G4094" s="11">
        <f>INT(C4094)</f>
        <v/>
      </c>
    </row>
    <row r="4095">
      <c r="A4095" s="7" t="inlineStr">
        <is>
          <t>EDD175;EDD1932;EDD2541;EDD812</t>
        </is>
      </c>
      <c r="B4095" s="8" t="n">
        <v>46096.78363425926</v>
      </c>
      <c r="C4095" s="8" t="n">
        <v>46097.08770833333</v>
      </c>
      <c r="D4095" s="9">
        <f>(C4095-B4095)*24</f>
        <v/>
      </c>
      <c r="E4095" s="10">
        <f>IF(AND(HOUR(B4095)&gt;=6,HOUR(B4095)&lt;18),"Day Shift","Night Shift")</f>
        <v/>
      </c>
      <c r="F4095" s="11">
        <f>INT(B4095)</f>
        <v/>
      </c>
      <c r="G4095" s="11">
        <f>INT(C4095)</f>
        <v/>
      </c>
    </row>
    <row r="4096">
      <c r="A4096" s="7" t="inlineStr">
        <is>
          <t>EXD52</t>
        </is>
      </c>
      <c r="B4096" s="8" t="n">
        <v>46096.78702546296</v>
      </c>
      <c r="C4096" s="8" t="n">
        <v>46097.25</v>
      </c>
      <c r="D4096" s="9">
        <f>(C4096-B4096)*24</f>
        <v/>
      </c>
      <c r="E4096" s="10">
        <f>IF(AND(HOUR(B4096)&gt;=6,HOUR(B4096)&lt;18),"Day Shift","Night Shift")</f>
        <v/>
      </c>
      <c r="F4096" s="11">
        <f>INT(B4096)</f>
        <v/>
      </c>
      <c r="G4096" s="11">
        <f>INT(C4096)</f>
        <v/>
      </c>
    </row>
    <row r="4097">
      <c r="A4097" s="2" t="inlineStr">
        <is>
          <t>EXD52</t>
        </is>
      </c>
      <c r="B4097" s="3" t="n">
        <v>46097.25</v>
      </c>
      <c r="C4097" s="3" t="n">
        <v>46097.53962962963</v>
      </c>
      <c r="D4097" s="4">
        <f>(C4097-B4097)*24</f>
        <v/>
      </c>
      <c r="E4097" s="5">
        <f>IF(AND(HOUR(B4097)&gt;=6,HOUR(B4097)&lt;18),"Day Shift","Night Shift")</f>
        <v/>
      </c>
      <c r="F4097" s="6">
        <f>INT(B4097)</f>
        <v/>
      </c>
      <c r="G4097" s="6">
        <f>INT(C4097)</f>
        <v/>
      </c>
    </row>
    <row r="4098">
      <c r="A4098" s="7" t="inlineStr">
        <is>
          <t>EDD2134;EDD175;EDD1932;EDD812</t>
        </is>
      </c>
      <c r="B4098" s="8" t="n">
        <v>46096.85756944444</v>
      </c>
      <c r="C4098" s="8" t="n">
        <v>46097.13072916667</v>
      </c>
      <c r="D4098" s="9">
        <f>(C4098-B4098)*24</f>
        <v/>
      </c>
      <c r="E4098" s="10">
        <f>IF(AND(HOUR(B4098)&gt;=6,HOUR(B4098)&lt;18),"Day Shift","Night Shift")</f>
        <v/>
      </c>
      <c r="F4098" s="11">
        <f>INT(B4098)</f>
        <v/>
      </c>
      <c r="G4098" s="11">
        <f>INT(C4098)</f>
        <v/>
      </c>
    </row>
    <row r="4099">
      <c r="A4099" s="7" t="inlineStr">
        <is>
          <t>SHE36</t>
        </is>
      </c>
      <c r="B4099" s="8" t="n">
        <v>46096.86512731481</v>
      </c>
      <c r="C4099" s="8" t="n">
        <v>46097.25</v>
      </c>
      <c r="D4099" s="9">
        <f>(C4099-B4099)*24</f>
        <v/>
      </c>
      <c r="E4099" s="10">
        <f>IF(AND(HOUR(B4099)&gt;=6,HOUR(B4099)&lt;18),"Day Shift","Night Shift")</f>
        <v/>
      </c>
      <c r="F4099" s="11">
        <f>INT(B4099)</f>
        <v/>
      </c>
      <c r="G4099" s="11">
        <f>INT(C4099)</f>
        <v/>
      </c>
    </row>
    <row r="4100">
      <c r="A4100" s="2" t="inlineStr">
        <is>
          <t>SHE36</t>
        </is>
      </c>
      <c r="B4100" s="3" t="n">
        <v>46097.25</v>
      </c>
      <c r="C4100" s="3" t="n">
        <v>46097.49305555555</v>
      </c>
      <c r="D4100" s="4">
        <f>(C4100-B4100)*24</f>
        <v/>
      </c>
      <c r="E4100" s="5">
        <f>IF(AND(HOUR(B4100)&gt;=6,HOUR(B4100)&lt;18),"Day Shift","Night Shift")</f>
        <v/>
      </c>
      <c r="F4100" s="6">
        <f>INT(B4100)</f>
        <v/>
      </c>
      <c r="G4100" s="6">
        <f>INT(C4100)</f>
        <v/>
      </c>
    </row>
    <row r="4101">
      <c r="A4101" s="7" t="inlineStr">
        <is>
          <t>DRE08</t>
        </is>
      </c>
      <c r="B4101" s="8" t="n">
        <v>46096.87814814815</v>
      </c>
      <c r="C4101" s="8" t="n">
        <v>46097.25</v>
      </c>
      <c r="D4101" s="9">
        <f>(C4101-B4101)*24</f>
        <v/>
      </c>
      <c r="E4101" s="10">
        <f>IF(AND(HOUR(B4101)&gt;=6,HOUR(B4101)&lt;18),"Day Shift","Night Shift")</f>
        <v/>
      </c>
      <c r="F4101" s="11">
        <f>INT(B4101)</f>
        <v/>
      </c>
      <c r="G4101" s="11">
        <f>INT(C4101)</f>
        <v/>
      </c>
    </row>
    <row r="4102">
      <c r="A4102" s="2" t="inlineStr">
        <is>
          <t>DRE08</t>
        </is>
      </c>
      <c r="B4102" s="3" t="n">
        <v>46097.25</v>
      </c>
      <c r="C4102" s="3" t="n">
        <v>46097.75</v>
      </c>
      <c r="D4102" s="4">
        <f>(C4102-B4102)*24</f>
        <v/>
      </c>
      <c r="E4102" s="5">
        <f>IF(AND(HOUR(B4102)&gt;=6,HOUR(B4102)&lt;18),"Day Shift","Night Shift")</f>
        <v/>
      </c>
      <c r="F4102" s="6">
        <f>INT(B4102)</f>
        <v/>
      </c>
      <c r="G4102" s="6">
        <f>INT(C4102)</f>
        <v/>
      </c>
    </row>
    <row r="4103">
      <c r="A4103" s="7" t="inlineStr">
        <is>
          <t>DRE08</t>
        </is>
      </c>
      <c r="B4103" s="8" t="n">
        <v>46097.75</v>
      </c>
      <c r="C4103" s="8" t="n">
        <v>46098.25</v>
      </c>
      <c r="D4103" s="9">
        <f>(C4103-B4103)*24</f>
        <v/>
      </c>
      <c r="E4103" s="10">
        <f>IF(AND(HOUR(B4103)&gt;=6,HOUR(B4103)&lt;18),"Day Shift","Night Shift")</f>
        <v/>
      </c>
      <c r="F4103" s="11">
        <f>INT(B4103)</f>
        <v/>
      </c>
      <c r="G4103" s="11">
        <f>INT(C4103)</f>
        <v/>
      </c>
    </row>
    <row r="4104">
      <c r="A4104" s="2" t="inlineStr">
        <is>
          <t>DRE08</t>
        </is>
      </c>
      <c r="B4104" s="3" t="n">
        <v>46098.25</v>
      </c>
      <c r="C4104" s="3" t="n">
        <v>46098.75</v>
      </c>
      <c r="D4104" s="4">
        <f>(C4104-B4104)*24</f>
        <v/>
      </c>
      <c r="E4104" s="5">
        <f>IF(AND(HOUR(B4104)&gt;=6,HOUR(B4104)&lt;18),"Day Shift","Night Shift")</f>
        <v/>
      </c>
      <c r="F4104" s="6">
        <f>INT(B4104)</f>
        <v/>
      </c>
      <c r="G4104" s="6">
        <f>INT(C4104)</f>
        <v/>
      </c>
    </row>
    <row r="4105">
      <c r="A4105" s="7" t="inlineStr">
        <is>
          <t>DRE08</t>
        </is>
      </c>
      <c r="B4105" s="8" t="n">
        <v>46098.75</v>
      </c>
      <c r="C4105" s="8" t="n">
        <v>46099.25</v>
      </c>
      <c r="D4105" s="9">
        <f>(C4105-B4105)*24</f>
        <v/>
      </c>
      <c r="E4105" s="10">
        <f>IF(AND(HOUR(B4105)&gt;=6,HOUR(B4105)&lt;18),"Day Shift","Night Shift")</f>
        <v/>
      </c>
      <c r="F4105" s="11">
        <f>INT(B4105)</f>
        <v/>
      </c>
      <c r="G4105" s="11">
        <f>INT(C4105)</f>
        <v/>
      </c>
    </row>
    <row r="4106">
      <c r="A4106" s="2" t="inlineStr">
        <is>
          <t>DRE08</t>
        </is>
      </c>
      <c r="B4106" s="3" t="n">
        <v>46099.25</v>
      </c>
      <c r="C4106" s="3" t="n">
        <v>46099.75</v>
      </c>
      <c r="D4106" s="4">
        <f>(C4106-B4106)*24</f>
        <v/>
      </c>
      <c r="E4106" s="5">
        <f>IF(AND(HOUR(B4106)&gt;=6,HOUR(B4106)&lt;18),"Day Shift","Night Shift")</f>
        <v/>
      </c>
      <c r="F4106" s="6">
        <f>INT(B4106)</f>
        <v/>
      </c>
      <c r="G4106" s="6">
        <f>INT(C4106)</f>
        <v/>
      </c>
    </row>
    <row r="4107">
      <c r="A4107" s="7" t="inlineStr">
        <is>
          <t>DRE08</t>
        </is>
      </c>
      <c r="B4107" s="8" t="n">
        <v>46099.75</v>
      </c>
      <c r="C4107" s="8" t="n">
        <v>46100.25</v>
      </c>
      <c r="D4107" s="9">
        <f>(C4107-B4107)*24</f>
        <v/>
      </c>
      <c r="E4107" s="10">
        <f>IF(AND(HOUR(B4107)&gt;=6,HOUR(B4107)&lt;18),"Day Shift","Night Shift")</f>
        <v/>
      </c>
      <c r="F4107" s="11">
        <f>INT(B4107)</f>
        <v/>
      </c>
      <c r="G4107" s="11">
        <f>INT(C4107)</f>
        <v/>
      </c>
    </row>
    <row r="4108">
      <c r="A4108" s="2" t="inlineStr">
        <is>
          <t>DRE08</t>
        </is>
      </c>
      <c r="B4108" s="3" t="n">
        <v>46100.25</v>
      </c>
      <c r="C4108" s="3" t="n">
        <v>46100.65267361111</v>
      </c>
      <c r="D4108" s="4">
        <f>(C4108-B4108)*24</f>
        <v/>
      </c>
      <c r="E4108" s="5">
        <f>IF(AND(HOUR(B4108)&gt;=6,HOUR(B4108)&lt;18),"Day Shift","Night Shift")</f>
        <v/>
      </c>
      <c r="F4108" s="6">
        <f>INT(B4108)</f>
        <v/>
      </c>
      <c r="G4108" s="6">
        <f>INT(C4108)</f>
        <v/>
      </c>
    </row>
    <row r="4109">
      <c r="A4109" s="7" t="inlineStr">
        <is>
          <t>EXD51</t>
        </is>
      </c>
      <c r="B4109" s="8" t="n">
        <v>46096.926875</v>
      </c>
      <c r="C4109" s="8" t="n">
        <v>46097.25</v>
      </c>
      <c r="D4109" s="9">
        <f>(C4109-B4109)*24</f>
        <v/>
      </c>
      <c r="E4109" s="10">
        <f>IF(AND(HOUR(B4109)&gt;=6,HOUR(B4109)&lt;18),"Day Shift","Night Shift")</f>
        <v/>
      </c>
      <c r="F4109" s="11">
        <f>INT(B4109)</f>
        <v/>
      </c>
      <c r="G4109" s="11">
        <f>INT(C4109)</f>
        <v/>
      </c>
    </row>
    <row r="4110">
      <c r="A4110" s="2" t="inlineStr">
        <is>
          <t>EXD51</t>
        </is>
      </c>
      <c r="B4110" s="3" t="n">
        <v>46097.25</v>
      </c>
      <c r="C4110" s="3" t="n">
        <v>46097.41670138889</v>
      </c>
      <c r="D4110" s="4">
        <f>(C4110-B4110)*24</f>
        <v/>
      </c>
      <c r="E4110" s="5">
        <f>IF(AND(HOUR(B4110)&gt;=6,HOUR(B4110)&lt;18),"Day Shift","Night Shift")</f>
        <v/>
      </c>
      <c r="F4110" s="6">
        <f>INT(B4110)</f>
        <v/>
      </c>
      <c r="G4110" s="6">
        <f>INT(C4110)</f>
        <v/>
      </c>
    </row>
    <row r="4111">
      <c r="A4111" s="7" t="inlineStr">
        <is>
          <t>EXD100</t>
        </is>
      </c>
      <c r="B4111" s="8" t="n">
        <v>46097.02543981482</v>
      </c>
      <c r="C4111" s="8" t="n">
        <v>46097.25</v>
      </c>
      <c r="D4111" s="9">
        <f>(C4111-B4111)*24</f>
        <v/>
      </c>
      <c r="E4111" s="10">
        <f>IF(AND(HOUR(B4111)&gt;=6,HOUR(B4111)&lt;18),"Day Shift","Night Shift")</f>
        <v/>
      </c>
      <c r="F4111" s="11">
        <f>INT(B4111)</f>
        <v/>
      </c>
      <c r="G4111" s="11">
        <f>INT(C4111)</f>
        <v/>
      </c>
    </row>
    <row r="4112">
      <c r="A4112" s="2" t="inlineStr">
        <is>
          <t>EXD100</t>
        </is>
      </c>
      <c r="B4112" s="3" t="n">
        <v>46097.25</v>
      </c>
      <c r="C4112" s="3" t="n">
        <v>46097.75</v>
      </c>
      <c r="D4112" s="4">
        <f>(C4112-B4112)*24</f>
        <v/>
      </c>
      <c r="E4112" s="5">
        <f>IF(AND(HOUR(B4112)&gt;=6,HOUR(B4112)&lt;18),"Day Shift","Night Shift")</f>
        <v/>
      </c>
      <c r="F4112" s="6">
        <f>INT(B4112)</f>
        <v/>
      </c>
      <c r="G4112" s="6">
        <f>INT(C4112)</f>
        <v/>
      </c>
    </row>
    <row r="4113">
      <c r="A4113" s="7" t="inlineStr">
        <is>
          <t>EXD100</t>
        </is>
      </c>
      <c r="B4113" s="8" t="n">
        <v>46097.75</v>
      </c>
      <c r="C4113" s="8" t="n">
        <v>46098.1571412037</v>
      </c>
      <c r="D4113" s="9">
        <f>(C4113-B4113)*24</f>
        <v/>
      </c>
      <c r="E4113" s="10">
        <f>IF(AND(HOUR(B4113)&gt;=6,HOUR(B4113)&lt;18),"Day Shift","Night Shift")</f>
        <v/>
      </c>
      <c r="F4113" s="11">
        <f>INT(B4113)</f>
        <v/>
      </c>
      <c r="G4113" s="11">
        <f>INT(C4113)</f>
        <v/>
      </c>
    </row>
    <row r="4114">
      <c r="A4114" s="7" t="inlineStr">
        <is>
          <t>EDD2541</t>
        </is>
      </c>
      <c r="B4114" s="8" t="n">
        <v>46097.10039351852</v>
      </c>
      <c r="C4114" s="8" t="n">
        <v>46097.25</v>
      </c>
      <c r="D4114" s="9">
        <f>(C4114-B4114)*24</f>
        <v/>
      </c>
      <c r="E4114" s="10">
        <f>IF(AND(HOUR(B4114)&gt;=6,HOUR(B4114)&lt;18),"Day Shift","Night Shift")</f>
        <v/>
      </c>
      <c r="F4114" s="11">
        <f>INT(B4114)</f>
        <v/>
      </c>
      <c r="G4114" s="11">
        <f>INT(C4114)</f>
        <v/>
      </c>
    </row>
    <row r="4115">
      <c r="A4115" s="2" t="inlineStr">
        <is>
          <t>EDD2541</t>
        </is>
      </c>
      <c r="B4115" s="3" t="n">
        <v>46097.25</v>
      </c>
      <c r="C4115" s="3" t="n">
        <v>46097.75</v>
      </c>
      <c r="D4115" s="4">
        <f>(C4115-B4115)*24</f>
        <v/>
      </c>
      <c r="E4115" s="5">
        <f>IF(AND(HOUR(B4115)&gt;=6,HOUR(B4115)&lt;18),"Day Shift","Night Shift")</f>
        <v/>
      </c>
      <c r="F4115" s="6">
        <f>INT(B4115)</f>
        <v/>
      </c>
      <c r="G4115" s="6">
        <f>INT(C4115)</f>
        <v/>
      </c>
    </row>
    <row r="4116">
      <c r="A4116" s="7" t="inlineStr">
        <is>
          <t>EDD2541</t>
        </is>
      </c>
      <c r="B4116" s="8" t="n">
        <v>46097.75</v>
      </c>
      <c r="C4116" s="8" t="n">
        <v>46098.25</v>
      </c>
      <c r="D4116" s="9">
        <f>(C4116-B4116)*24</f>
        <v/>
      </c>
      <c r="E4116" s="10">
        <f>IF(AND(HOUR(B4116)&gt;=6,HOUR(B4116)&lt;18),"Day Shift","Night Shift")</f>
        <v/>
      </c>
      <c r="F4116" s="11">
        <f>INT(B4116)</f>
        <v/>
      </c>
      <c r="G4116" s="11">
        <f>INT(C4116)</f>
        <v/>
      </c>
    </row>
    <row r="4117">
      <c r="A4117" s="2" t="inlineStr">
        <is>
          <t>EDD2541</t>
        </is>
      </c>
      <c r="B4117" s="3" t="n">
        <v>46098.25</v>
      </c>
      <c r="C4117" s="3" t="n">
        <v>46098.75</v>
      </c>
      <c r="D4117" s="4">
        <f>(C4117-B4117)*24</f>
        <v/>
      </c>
      <c r="E4117" s="5">
        <f>IF(AND(HOUR(B4117)&gt;=6,HOUR(B4117)&lt;18),"Day Shift","Night Shift")</f>
        <v/>
      </c>
      <c r="F4117" s="6">
        <f>INT(B4117)</f>
        <v/>
      </c>
      <c r="G4117" s="6">
        <f>INT(C4117)</f>
        <v/>
      </c>
    </row>
    <row r="4118">
      <c r="A4118" s="7" t="inlineStr">
        <is>
          <t>EDD2541</t>
        </is>
      </c>
      <c r="B4118" s="8" t="n">
        <v>46098.75</v>
      </c>
      <c r="C4118" s="8" t="n">
        <v>46099.25</v>
      </c>
      <c r="D4118" s="9">
        <f>(C4118-B4118)*24</f>
        <v/>
      </c>
      <c r="E4118" s="10">
        <f>IF(AND(HOUR(B4118)&gt;=6,HOUR(B4118)&lt;18),"Day Shift","Night Shift")</f>
        <v/>
      </c>
      <c r="F4118" s="11">
        <f>INT(B4118)</f>
        <v/>
      </c>
      <c r="G4118" s="11">
        <f>INT(C4118)</f>
        <v/>
      </c>
    </row>
    <row r="4119">
      <c r="A4119" s="2" t="inlineStr">
        <is>
          <t>EDD2541</t>
        </is>
      </c>
      <c r="B4119" s="3" t="n">
        <v>46099.25</v>
      </c>
      <c r="C4119" s="3" t="n">
        <v>46099.75</v>
      </c>
      <c r="D4119" s="4">
        <f>(C4119-B4119)*24</f>
        <v/>
      </c>
      <c r="E4119" s="5">
        <f>IF(AND(HOUR(B4119)&gt;=6,HOUR(B4119)&lt;18),"Day Shift","Night Shift")</f>
        <v/>
      </c>
      <c r="F4119" s="6">
        <f>INT(B4119)</f>
        <v/>
      </c>
      <c r="G4119" s="6">
        <f>INT(C4119)</f>
        <v/>
      </c>
    </row>
    <row r="4120">
      <c r="A4120" s="7" t="inlineStr">
        <is>
          <t>EDD2541</t>
        </is>
      </c>
      <c r="B4120" s="8" t="n">
        <v>46099.75</v>
      </c>
      <c r="C4120" s="8" t="n">
        <v>46100.25</v>
      </c>
      <c r="D4120" s="9">
        <f>(C4120-B4120)*24</f>
        <v/>
      </c>
      <c r="E4120" s="10">
        <f>IF(AND(HOUR(B4120)&gt;=6,HOUR(B4120)&lt;18),"Day Shift","Night Shift")</f>
        <v/>
      </c>
      <c r="F4120" s="11">
        <f>INT(B4120)</f>
        <v/>
      </c>
      <c r="G4120" s="11">
        <f>INT(C4120)</f>
        <v/>
      </c>
    </row>
    <row r="4121">
      <c r="A4121" s="2" t="inlineStr">
        <is>
          <t>EDD2541</t>
        </is>
      </c>
      <c r="B4121" s="3" t="n">
        <v>46100.25</v>
      </c>
      <c r="C4121" s="3" t="n">
        <v>46100.75</v>
      </c>
      <c r="D4121" s="4">
        <f>(C4121-B4121)*24</f>
        <v/>
      </c>
      <c r="E4121" s="5">
        <f>IF(AND(HOUR(B4121)&gt;=6,HOUR(B4121)&lt;18),"Day Shift","Night Shift")</f>
        <v/>
      </c>
      <c r="F4121" s="6">
        <f>INT(B4121)</f>
        <v/>
      </c>
      <c r="G4121" s="6">
        <f>INT(C4121)</f>
        <v/>
      </c>
    </row>
    <row r="4122">
      <c r="A4122" s="7" t="inlineStr">
        <is>
          <t>EDD2541</t>
        </is>
      </c>
      <c r="B4122" s="8" t="n">
        <v>46100.75</v>
      </c>
      <c r="C4122" s="8" t="n">
        <v>46101.13974537037</v>
      </c>
      <c r="D4122" s="9">
        <f>(C4122-B4122)*24</f>
        <v/>
      </c>
      <c r="E4122" s="10">
        <f>IF(AND(HOUR(B4122)&gt;=6,HOUR(B4122)&lt;18),"Day Shift","Night Shift")</f>
        <v/>
      </c>
      <c r="F4122" s="11">
        <f>INT(B4122)</f>
        <v/>
      </c>
      <c r="G4122" s="11">
        <f>INT(C4122)</f>
        <v/>
      </c>
    </row>
    <row r="4123">
      <c r="A4123" s="7" t="inlineStr">
        <is>
          <t>EXD55</t>
        </is>
      </c>
      <c r="B4123" s="8" t="n">
        <v>46097.12236111111</v>
      </c>
      <c r="C4123" s="8" t="n">
        <v>46097.25</v>
      </c>
      <c r="D4123" s="9">
        <f>(C4123-B4123)*24</f>
        <v/>
      </c>
      <c r="E4123" s="10">
        <f>IF(AND(HOUR(B4123)&gt;=6,HOUR(B4123)&lt;18),"Day Shift","Night Shift")</f>
        <v/>
      </c>
      <c r="F4123" s="11">
        <f>INT(B4123)</f>
        <v/>
      </c>
      <c r="G4123" s="11">
        <f>INT(C4123)</f>
        <v/>
      </c>
    </row>
    <row r="4124">
      <c r="A4124" s="2" t="inlineStr">
        <is>
          <t>EXD55</t>
        </is>
      </c>
      <c r="B4124" s="3" t="n">
        <v>46097.25</v>
      </c>
      <c r="C4124" s="3" t="n">
        <v>46097.75</v>
      </c>
      <c r="D4124" s="4">
        <f>(C4124-B4124)*24</f>
        <v/>
      </c>
      <c r="E4124" s="5">
        <f>IF(AND(HOUR(B4124)&gt;=6,HOUR(B4124)&lt;18),"Day Shift","Night Shift")</f>
        <v/>
      </c>
      <c r="F4124" s="6">
        <f>INT(B4124)</f>
        <v/>
      </c>
      <c r="G4124" s="6">
        <f>INT(C4124)</f>
        <v/>
      </c>
    </row>
    <row r="4125">
      <c r="A4125" s="7" t="inlineStr">
        <is>
          <t>EXD55</t>
        </is>
      </c>
      <c r="B4125" s="8" t="n">
        <v>46097.75</v>
      </c>
      <c r="C4125" s="8" t="n">
        <v>46097.92834490741</v>
      </c>
      <c r="D4125" s="9">
        <f>(C4125-B4125)*24</f>
        <v/>
      </c>
      <c r="E4125" s="10">
        <f>IF(AND(HOUR(B4125)&gt;=6,HOUR(B4125)&lt;18),"Day Shift","Night Shift")</f>
        <v/>
      </c>
      <c r="F4125" s="11">
        <f>INT(B4125)</f>
        <v/>
      </c>
      <c r="G4125" s="11">
        <f>INT(C4125)</f>
        <v/>
      </c>
    </row>
    <row r="4126">
      <c r="A4126" s="7" t="inlineStr">
        <is>
          <t>EDD175;EDD1932;EDD2134;EDD812</t>
        </is>
      </c>
      <c r="B4126" s="8" t="n">
        <v>46097.13072916667</v>
      </c>
      <c r="C4126" s="8" t="n">
        <v>46097.21069444445</v>
      </c>
      <c r="D4126" s="9">
        <f>(C4126-B4126)*24</f>
        <v/>
      </c>
      <c r="E4126" s="10">
        <f>IF(AND(HOUR(B4126)&gt;=6,HOUR(B4126)&lt;18),"Day Shift","Night Shift")</f>
        <v/>
      </c>
      <c r="F4126" s="11">
        <f>INT(B4126)</f>
        <v/>
      </c>
      <c r="G4126" s="11">
        <f>INT(C4126)</f>
        <v/>
      </c>
    </row>
    <row r="4127">
      <c r="A4127" s="7" t="inlineStr">
        <is>
          <t>Sprint 1</t>
        </is>
      </c>
      <c r="B4127" s="8" t="n">
        <v>46097.17351851852</v>
      </c>
      <c r="C4127" s="8" t="n">
        <v>46097.25</v>
      </c>
      <c r="D4127" s="9">
        <f>(C4127-B4127)*24</f>
        <v/>
      </c>
      <c r="E4127" s="10">
        <f>IF(AND(HOUR(B4127)&gt;=6,HOUR(B4127)&lt;18),"Day Shift","Night Shift")</f>
        <v/>
      </c>
      <c r="F4127" s="11">
        <f>INT(B4127)</f>
        <v/>
      </c>
      <c r="G4127" s="11">
        <f>INT(C4127)</f>
        <v/>
      </c>
    </row>
    <row r="4128">
      <c r="A4128" s="2" t="inlineStr">
        <is>
          <t>Sprint 1</t>
        </is>
      </c>
      <c r="B4128" s="3" t="n">
        <v>46097.25</v>
      </c>
      <c r="C4128" s="3" t="n">
        <v>46097.75</v>
      </c>
      <c r="D4128" s="4">
        <f>(C4128-B4128)*24</f>
        <v/>
      </c>
      <c r="E4128" s="5">
        <f>IF(AND(HOUR(B4128)&gt;=6,HOUR(B4128)&lt;18),"Day Shift","Night Shift")</f>
        <v/>
      </c>
      <c r="F4128" s="6">
        <f>INT(B4128)</f>
        <v/>
      </c>
      <c r="G4128" s="6">
        <f>INT(C4128)</f>
        <v/>
      </c>
    </row>
    <row r="4129">
      <c r="A4129" s="7" t="inlineStr">
        <is>
          <t>Sprint 1</t>
        </is>
      </c>
      <c r="B4129" s="8" t="n">
        <v>46097.75</v>
      </c>
      <c r="C4129" s="8" t="n">
        <v>46097.77429398148</v>
      </c>
      <c r="D4129" s="9">
        <f>(C4129-B4129)*24</f>
        <v/>
      </c>
      <c r="E4129" s="10">
        <f>IF(AND(HOUR(B4129)&gt;=6,HOUR(B4129)&lt;18),"Day Shift","Night Shift")</f>
        <v/>
      </c>
      <c r="F4129" s="11">
        <f>INT(B4129)</f>
        <v/>
      </c>
      <c r="G4129" s="11">
        <f>INT(C4129)</f>
        <v/>
      </c>
    </row>
    <row r="4130">
      <c r="A4130" s="7" t="inlineStr">
        <is>
          <t>EDD175;EDD1932;EDD2134;EDD812</t>
        </is>
      </c>
      <c r="B4130" s="8" t="n">
        <v>46097.21069444445</v>
      </c>
      <c r="C4130" s="8" t="n">
        <v>46097.25</v>
      </c>
      <c r="D4130" s="9">
        <f>(C4130-B4130)*24</f>
        <v/>
      </c>
      <c r="E4130" s="10">
        <f>IF(AND(HOUR(B4130)&gt;=6,HOUR(B4130)&lt;18),"Day Shift","Night Shift")</f>
        <v/>
      </c>
      <c r="F4130" s="11">
        <f>INT(B4130)</f>
        <v/>
      </c>
      <c r="G4130" s="11">
        <f>INT(C4130)</f>
        <v/>
      </c>
    </row>
    <row r="4131">
      <c r="A4131" s="2" t="inlineStr">
        <is>
          <t>EDD175;EDD1932;EDD2134;EDD812</t>
        </is>
      </c>
      <c r="B4131" s="3" t="n">
        <v>46097.25</v>
      </c>
      <c r="C4131" s="3" t="n">
        <v>46097.26921296296</v>
      </c>
      <c r="D4131" s="4">
        <f>(C4131-B4131)*24</f>
        <v/>
      </c>
      <c r="E4131" s="5">
        <f>IF(AND(HOUR(B4131)&gt;=6,HOUR(B4131)&lt;18),"Day Shift","Night Shift")</f>
        <v/>
      </c>
      <c r="F4131" s="6">
        <f>INT(B4131)</f>
        <v/>
      </c>
      <c r="G4131" s="6">
        <f>INT(C4131)</f>
        <v/>
      </c>
    </row>
    <row r="4132">
      <c r="A4132" s="7" t="inlineStr">
        <is>
          <t>EXD98</t>
        </is>
      </c>
      <c r="B4132" s="8" t="n">
        <v>46097.2359375</v>
      </c>
      <c r="C4132" s="8" t="n">
        <v>46097.25</v>
      </c>
      <c r="D4132" s="9">
        <f>(C4132-B4132)*24</f>
        <v/>
      </c>
      <c r="E4132" s="10">
        <f>IF(AND(HOUR(B4132)&gt;=6,HOUR(B4132)&lt;18),"Day Shift","Night Shift")</f>
        <v/>
      </c>
      <c r="F4132" s="11">
        <f>INT(B4132)</f>
        <v/>
      </c>
      <c r="G4132" s="11">
        <f>INT(C4132)</f>
        <v/>
      </c>
    </row>
    <row r="4133">
      <c r="A4133" s="2" t="inlineStr">
        <is>
          <t>EXD98</t>
        </is>
      </c>
      <c r="B4133" s="3" t="n">
        <v>46097.25</v>
      </c>
      <c r="C4133" s="3" t="n">
        <v>46097.75</v>
      </c>
      <c r="D4133" s="4">
        <f>(C4133-B4133)*24</f>
        <v/>
      </c>
      <c r="E4133" s="5">
        <f>IF(AND(HOUR(B4133)&gt;=6,HOUR(B4133)&lt;18),"Day Shift","Night Shift")</f>
        <v/>
      </c>
      <c r="F4133" s="6">
        <f>INT(B4133)</f>
        <v/>
      </c>
      <c r="G4133" s="6">
        <f>INT(C4133)</f>
        <v/>
      </c>
    </row>
    <row r="4134">
      <c r="A4134" s="7" t="inlineStr">
        <is>
          <t>EXD98</t>
        </is>
      </c>
      <c r="B4134" s="8" t="n">
        <v>46097.75</v>
      </c>
      <c r="C4134" s="8" t="n">
        <v>46098.13645833333</v>
      </c>
      <c r="D4134" s="9">
        <f>(C4134-B4134)*24</f>
        <v/>
      </c>
      <c r="E4134" s="10">
        <f>IF(AND(HOUR(B4134)&gt;=6,HOUR(B4134)&lt;18),"Day Shift","Night Shift")</f>
        <v/>
      </c>
      <c r="F4134" s="11">
        <f>INT(B4134)</f>
        <v/>
      </c>
      <c r="G4134" s="11">
        <f>INT(C4134)</f>
        <v/>
      </c>
    </row>
    <row r="4135">
      <c r="A4135" s="2" t="inlineStr">
        <is>
          <t>EDD175;EDD1932;EDD2134;EDD812</t>
        </is>
      </c>
      <c r="B4135" s="3" t="n">
        <v>46097.26921296296</v>
      </c>
      <c r="C4135" s="3" t="n">
        <v>46097.32447916667</v>
      </c>
      <c r="D4135" s="4">
        <f>(C4135-B4135)*24</f>
        <v/>
      </c>
      <c r="E4135" s="5">
        <f>IF(AND(HOUR(B4135)&gt;=6,HOUR(B4135)&lt;18),"Day Shift","Night Shift")</f>
        <v/>
      </c>
      <c r="F4135" s="6">
        <f>INT(B4135)</f>
        <v/>
      </c>
      <c r="G4135" s="6">
        <f>INT(C4135)</f>
        <v/>
      </c>
    </row>
    <row r="4136">
      <c r="A4136" s="2" t="inlineStr">
        <is>
          <t>EXD408</t>
        </is>
      </c>
      <c r="B4136" s="3" t="n">
        <v>46097.28978009259</v>
      </c>
      <c r="C4136" s="3" t="n">
        <v>46097.75</v>
      </c>
      <c r="D4136" s="4">
        <f>(C4136-B4136)*24</f>
        <v/>
      </c>
      <c r="E4136" s="5">
        <f>IF(AND(HOUR(B4136)&gt;=6,HOUR(B4136)&lt;18),"Day Shift","Night Shift")</f>
        <v/>
      </c>
      <c r="F4136" s="6">
        <f>INT(B4136)</f>
        <v/>
      </c>
      <c r="G4136" s="6">
        <f>INT(C4136)</f>
        <v/>
      </c>
    </row>
    <row r="4137">
      <c r="A4137" s="7" t="inlineStr">
        <is>
          <t>EXD408</t>
        </is>
      </c>
      <c r="B4137" s="8" t="n">
        <v>46097.75</v>
      </c>
      <c r="C4137" s="8" t="n">
        <v>46097.79356481481</v>
      </c>
      <c r="D4137" s="9">
        <f>(C4137-B4137)*24</f>
        <v/>
      </c>
      <c r="E4137" s="10">
        <f>IF(AND(HOUR(B4137)&gt;=6,HOUR(B4137)&lt;18),"Day Shift","Night Shift")</f>
        <v/>
      </c>
      <c r="F4137" s="11">
        <f>INT(B4137)</f>
        <v/>
      </c>
      <c r="G4137" s="11">
        <f>INT(C4137)</f>
        <v/>
      </c>
    </row>
    <row r="4138">
      <c r="A4138" s="2" t="inlineStr">
        <is>
          <t>EXD409</t>
        </is>
      </c>
      <c r="B4138" s="3" t="n">
        <v>46097.31311342592</v>
      </c>
      <c r="C4138" s="3" t="n">
        <v>46097.75</v>
      </c>
      <c r="D4138" s="4">
        <f>(C4138-B4138)*24</f>
        <v/>
      </c>
      <c r="E4138" s="5">
        <f>IF(AND(HOUR(B4138)&gt;=6,HOUR(B4138)&lt;18),"Day Shift","Night Shift")</f>
        <v/>
      </c>
      <c r="F4138" s="6">
        <f>INT(B4138)</f>
        <v/>
      </c>
      <c r="G4138" s="6">
        <f>INT(C4138)</f>
        <v/>
      </c>
    </row>
    <row r="4139">
      <c r="A4139" s="7" t="inlineStr">
        <is>
          <t>EXD409</t>
        </is>
      </c>
      <c r="B4139" s="8" t="n">
        <v>46097.75</v>
      </c>
      <c r="C4139" s="8" t="n">
        <v>46098.25</v>
      </c>
      <c r="D4139" s="9">
        <f>(C4139-B4139)*24</f>
        <v/>
      </c>
      <c r="E4139" s="10">
        <f>IF(AND(HOUR(B4139)&gt;=6,HOUR(B4139)&lt;18),"Day Shift","Night Shift")</f>
        <v/>
      </c>
      <c r="F4139" s="11">
        <f>INT(B4139)</f>
        <v/>
      </c>
      <c r="G4139" s="11">
        <f>INT(C4139)</f>
        <v/>
      </c>
    </row>
    <row r="4140">
      <c r="A4140" s="2" t="inlineStr">
        <is>
          <t>EXD409</t>
        </is>
      </c>
      <c r="B4140" s="3" t="n">
        <v>46098.25</v>
      </c>
      <c r="C4140" s="3" t="n">
        <v>46098.75</v>
      </c>
      <c r="D4140" s="4">
        <f>(C4140-B4140)*24</f>
        <v/>
      </c>
      <c r="E4140" s="5">
        <f>IF(AND(HOUR(B4140)&gt;=6,HOUR(B4140)&lt;18),"Day Shift","Night Shift")</f>
        <v/>
      </c>
      <c r="F4140" s="6">
        <f>INT(B4140)</f>
        <v/>
      </c>
      <c r="G4140" s="6">
        <f>INT(C4140)</f>
        <v/>
      </c>
    </row>
    <row r="4141">
      <c r="A4141" s="7" t="inlineStr">
        <is>
          <t>EXD409</t>
        </is>
      </c>
      <c r="B4141" s="8" t="n">
        <v>46098.75</v>
      </c>
      <c r="C4141" s="8" t="n">
        <v>46099.25</v>
      </c>
      <c r="D4141" s="9">
        <f>(C4141-B4141)*24</f>
        <v/>
      </c>
      <c r="E4141" s="10">
        <f>IF(AND(HOUR(B4141)&gt;=6,HOUR(B4141)&lt;18),"Day Shift","Night Shift")</f>
        <v/>
      </c>
      <c r="F4141" s="11">
        <f>INT(B4141)</f>
        <v/>
      </c>
      <c r="G4141" s="11">
        <f>INT(C4141)</f>
        <v/>
      </c>
    </row>
    <row r="4142">
      <c r="A4142" s="2" t="inlineStr">
        <is>
          <t>EXD409</t>
        </is>
      </c>
      <c r="B4142" s="3" t="n">
        <v>46099.25</v>
      </c>
      <c r="C4142" s="3" t="n">
        <v>46099.75</v>
      </c>
      <c r="D4142" s="4">
        <f>(C4142-B4142)*24</f>
        <v/>
      </c>
      <c r="E4142" s="5">
        <f>IF(AND(HOUR(B4142)&gt;=6,HOUR(B4142)&lt;18),"Day Shift","Night Shift")</f>
        <v/>
      </c>
      <c r="F4142" s="6">
        <f>INT(B4142)</f>
        <v/>
      </c>
      <c r="G4142" s="6">
        <f>INT(C4142)</f>
        <v/>
      </c>
    </row>
    <row r="4143">
      <c r="A4143" s="7" t="inlineStr">
        <is>
          <t>EXD409</t>
        </is>
      </c>
      <c r="B4143" s="8" t="n">
        <v>46099.75</v>
      </c>
      <c r="C4143" s="8" t="n">
        <v>46100.25</v>
      </c>
      <c r="D4143" s="9">
        <f>(C4143-B4143)*24</f>
        <v/>
      </c>
      <c r="E4143" s="10">
        <f>IF(AND(HOUR(B4143)&gt;=6,HOUR(B4143)&lt;18),"Day Shift","Night Shift")</f>
        <v/>
      </c>
      <c r="F4143" s="11">
        <f>INT(B4143)</f>
        <v/>
      </c>
      <c r="G4143" s="11">
        <f>INT(C4143)</f>
        <v/>
      </c>
    </row>
    <row r="4144">
      <c r="A4144" s="2" t="inlineStr">
        <is>
          <t>EXD409</t>
        </is>
      </c>
      <c r="B4144" s="3" t="n">
        <v>46100.25</v>
      </c>
      <c r="C4144" s="3" t="n">
        <v>46100.75</v>
      </c>
      <c r="D4144" s="4">
        <f>(C4144-B4144)*24</f>
        <v/>
      </c>
      <c r="E4144" s="5">
        <f>IF(AND(HOUR(B4144)&gt;=6,HOUR(B4144)&lt;18),"Day Shift","Night Shift")</f>
        <v/>
      </c>
      <c r="F4144" s="6">
        <f>INT(B4144)</f>
        <v/>
      </c>
      <c r="G4144" s="6">
        <f>INT(C4144)</f>
        <v/>
      </c>
    </row>
    <row r="4145">
      <c r="A4145" s="7" t="inlineStr">
        <is>
          <t>EXD409</t>
        </is>
      </c>
      <c r="B4145" s="8" t="n">
        <v>46100.75</v>
      </c>
      <c r="C4145" s="8" t="n">
        <v>46101.25</v>
      </c>
      <c r="D4145" s="9">
        <f>(C4145-B4145)*24</f>
        <v/>
      </c>
      <c r="E4145" s="10">
        <f>IF(AND(HOUR(B4145)&gt;=6,HOUR(B4145)&lt;18),"Day Shift","Night Shift")</f>
        <v/>
      </c>
      <c r="F4145" s="11">
        <f>INT(B4145)</f>
        <v/>
      </c>
      <c r="G4145" s="11">
        <f>INT(C4145)</f>
        <v/>
      </c>
    </row>
    <row r="4146">
      <c r="A4146" s="2" t="inlineStr">
        <is>
          <t>EXD409</t>
        </is>
      </c>
      <c r="B4146" s="3" t="n">
        <v>46101.25</v>
      </c>
      <c r="C4146" s="3" t="n">
        <v>46101.75</v>
      </c>
      <c r="D4146" s="4">
        <f>(C4146-B4146)*24</f>
        <v/>
      </c>
      <c r="E4146" s="5">
        <f>IF(AND(HOUR(B4146)&gt;=6,HOUR(B4146)&lt;18),"Day Shift","Night Shift")</f>
        <v/>
      </c>
      <c r="F4146" s="6">
        <f>INT(B4146)</f>
        <v/>
      </c>
      <c r="G4146" s="6">
        <f>INT(C4146)</f>
        <v/>
      </c>
    </row>
    <row r="4147">
      <c r="A4147" s="7" t="inlineStr">
        <is>
          <t>EXD409</t>
        </is>
      </c>
      <c r="B4147" s="8" t="n">
        <v>46101.75</v>
      </c>
      <c r="C4147" s="8" t="n">
        <v>46102.25</v>
      </c>
      <c r="D4147" s="9">
        <f>(C4147-B4147)*24</f>
        <v/>
      </c>
      <c r="E4147" s="10">
        <f>IF(AND(HOUR(B4147)&gt;=6,HOUR(B4147)&lt;18),"Day Shift","Night Shift")</f>
        <v/>
      </c>
      <c r="F4147" s="11">
        <f>INT(B4147)</f>
        <v/>
      </c>
      <c r="G4147" s="11">
        <f>INT(C4147)</f>
        <v/>
      </c>
    </row>
    <row r="4148">
      <c r="A4148" s="2" t="inlineStr">
        <is>
          <t>EXD409</t>
        </is>
      </c>
      <c r="B4148" s="3" t="n">
        <v>46102.25</v>
      </c>
      <c r="C4148" s="3" t="n">
        <v>46102.35915509259</v>
      </c>
      <c r="D4148" s="4">
        <f>(C4148-B4148)*24</f>
        <v/>
      </c>
      <c r="E4148" s="5">
        <f>IF(AND(HOUR(B4148)&gt;=6,HOUR(B4148)&lt;18),"Day Shift","Night Shift")</f>
        <v/>
      </c>
      <c r="F4148" s="6">
        <f>INT(B4148)</f>
        <v/>
      </c>
      <c r="G4148" s="6">
        <f>INT(C4148)</f>
        <v/>
      </c>
    </row>
    <row r="4149">
      <c r="A4149" s="2" t="inlineStr">
        <is>
          <t>EDD175;EDD1932;EDD2134;EDD812</t>
        </is>
      </c>
      <c r="B4149" s="3" t="n">
        <v>46097.32447916667</v>
      </c>
      <c r="C4149" s="3" t="n">
        <v>46097.37542824074</v>
      </c>
      <c r="D4149" s="4">
        <f>(C4149-B4149)*24</f>
        <v/>
      </c>
      <c r="E4149" s="5">
        <f>IF(AND(HOUR(B4149)&gt;=6,HOUR(B4149)&lt;18),"Day Shift","Night Shift")</f>
        <v/>
      </c>
      <c r="F4149" s="6">
        <f>INT(B4149)</f>
        <v/>
      </c>
      <c r="G4149" s="6">
        <f>INT(C4149)</f>
        <v/>
      </c>
    </row>
    <row r="4150">
      <c r="A4150" s="2" t="inlineStr">
        <is>
          <t>EDD175;EDD1932;EDD2134;EDD812</t>
        </is>
      </c>
      <c r="B4150" s="3" t="n">
        <v>46097.37542824074</v>
      </c>
      <c r="C4150" s="3" t="n">
        <v>46097.56560185185</v>
      </c>
      <c r="D4150" s="4">
        <f>(C4150-B4150)*24</f>
        <v/>
      </c>
      <c r="E4150" s="5">
        <f>IF(AND(HOUR(B4150)&gt;=6,HOUR(B4150)&lt;18),"Day Shift","Night Shift")</f>
        <v/>
      </c>
      <c r="F4150" s="6">
        <f>INT(B4150)</f>
        <v/>
      </c>
      <c r="G4150" s="6">
        <f>INT(C4150)</f>
        <v/>
      </c>
    </row>
    <row r="4151">
      <c r="A4151" s="2" t="inlineStr">
        <is>
          <t>EXD61</t>
        </is>
      </c>
      <c r="B4151" s="3" t="n">
        <v>46097.39575231481</v>
      </c>
      <c r="C4151" s="3" t="n">
        <v>46097.75</v>
      </c>
      <c r="D4151" s="4">
        <f>(C4151-B4151)*24</f>
        <v/>
      </c>
      <c r="E4151" s="5">
        <f>IF(AND(HOUR(B4151)&gt;=6,HOUR(B4151)&lt;18),"Day Shift","Night Shift")</f>
        <v/>
      </c>
      <c r="F4151" s="6">
        <f>INT(B4151)</f>
        <v/>
      </c>
      <c r="G4151" s="6">
        <f>INT(C4151)</f>
        <v/>
      </c>
    </row>
    <row r="4152">
      <c r="A4152" s="7" t="inlineStr">
        <is>
          <t>EXD61</t>
        </is>
      </c>
      <c r="B4152" s="8" t="n">
        <v>46097.75</v>
      </c>
      <c r="C4152" s="8" t="n">
        <v>46098.25</v>
      </c>
      <c r="D4152" s="9">
        <f>(C4152-B4152)*24</f>
        <v/>
      </c>
      <c r="E4152" s="10">
        <f>IF(AND(HOUR(B4152)&gt;=6,HOUR(B4152)&lt;18),"Day Shift","Night Shift")</f>
        <v/>
      </c>
      <c r="F4152" s="11">
        <f>INT(B4152)</f>
        <v/>
      </c>
      <c r="G4152" s="11">
        <f>INT(C4152)</f>
        <v/>
      </c>
    </row>
    <row r="4153">
      <c r="A4153" s="2" t="inlineStr">
        <is>
          <t>EXD61</t>
        </is>
      </c>
      <c r="B4153" s="3" t="n">
        <v>46098.25</v>
      </c>
      <c r="C4153" s="3" t="n">
        <v>46098.75</v>
      </c>
      <c r="D4153" s="4">
        <f>(C4153-B4153)*24</f>
        <v/>
      </c>
      <c r="E4153" s="5">
        <f>IF(AND(HOUR(B4153)&gt;=6,HOUR(B4153)&lt;18),"Day Shift","Night Shift")</f>
        <v/>
      </c>
      <c r="F4153" s="6">
        <f>INT(B4153)</f>
        <v/>
      </c>
      <c r="G4153" s="6">
        <f>INT(C4153)</f>
        <v/>
      </c>
    </row>
    <row r="4154">
      <c r="A4154" s="7" t="inlineStr">
        <is>
          <t>EXD61</t>
        </is>
      </c>
      <c r="B4154" s="8" t="n">
        <v>46098.75</v>
      </c>
      <c r="C4154" s="8" t="n">
        <v>46099.25</v>
      </c>
      <c r="D4154" s="9">
        <f>(C4154-B4154)*24</f>
        <v/>
      </c>
      <c r="E4154" s="10">
        <f>IF(AND(HOUR(B4154)&gt;=6,HOUR(B4154)&lt;18),"Day Shift","Night Shift")</f>
        <v/>
      </c>
      <c r="F4154" s="11">
        <f>INT(B4154)</f>
        <v/>
      </c>
      <c r="G4154" s="11">
        <f>INT(C4154)</f>
        <v/>
      </c>
    </row>
    <row r="4155">
      <c r="A4155" s="2" t="inlineStr">
        <is>
          <t>EXD61</t>
        </is>
      </c>
      <c r="B4155" s="3" t="n">
        <v>46099.25</v>
      </c>
      <c r="C4155" s="3" t="n">
        <v>46099.75</v>
      </c>
      <c r="D4155" s="4">
        <f>(C4155-B4155)*24</f>
        <v/>
      </c>
      <c r="E4155" s="5">
        <f>IF(AND(HOUR(B4155)&gt;=6,HOUR(B4155)&lt;18),"Day Shift","Night Shift")</f>
        <v/>
      </c>
      <c r="F4155" s="6">
        <f>INT(B4155)</f>
        <v/>
      </c>
      <c r="G4155" s="6">
        <f>INT(C4155)</f>
        <v/>
      </c>
    </row>
    <row r="4156">
      <c r="A4156" s="7" t="inlineStr">
        <is>
          <t>EXD61</t>
        </is>
      </c>
      <c r="B4156" s="8" t="n">
        <v>46099.75</v>
      </c>
      <c r="C4156" s="8" t="n">
        <v>46100.25</v>
      </c>
      <c r="D4156" s="9">
        <f>(C4156-B4156)*24</f>
        <v/>
      </c>
      <c r="E4156" s="10">
        <f>IF(AND(HOUR(B4156)&gt;=6,HOUR(B4156)&lt;18),"Day Shift","Night Shift")</f>
        <v/>
      </c>
      <c r="F4156" s="11">
        <f>INT(B4156)</f>
        <v/>
      </c>
      <c r="G4156" s="11">
        <f>INT(C4156)</f>
        <v/>
      </c>
    </row>
    <row r="4157">
      <c r="A4157" s="2" t="inlineStr">
        <is>
          <t>EXD61</t>
        </is>
      </c>
      <c r="B4157" s="3" t="n">
        <v>46100.25</v>
      </c>
      <c r="C4157" s="3" t="n">
        <v>46100.28744212963</v>
      </c>
      <c r="D4157" s="4">
        <f>(C4157-B4157)*24</f>
        <v/>
      </c>
      <c r="E4157" s="5">
        <f>IF(AND(HOUR(B4157)&gt;=6,HOUR(B4157)&lt;18),"Day Shift","Night Shift")</f>
        <v/>
      </c>
      <c r="F4157" s="6">
        <f>INT(B4157)</f>
        <v/>
      </c>
      <c r="G4157" s="6">
        <f>INT(C4157)</f>
        <v/>
      </c>
    </row>
    <row r="4158">
      <c r="A4158" s="2" t="inlineStr">
        <is>
          <t>Blast</t>
        </is>
      </c>
      <c r="B4158" s="3" t="n">
        <v>46097.45833333334</v>
      </c>
      <c r="C4158" s="3" t="n">
        <v>46097.45834490741</v>
      </c>
      <c r="D4158" s="4">
        <f>(C4158-B4158)*24</f>
        <v/>
      </c>
      <c r="E4158" s="5">
        <f>IF(AND(HOUR(B4158)&gt;=6,HOUR(B4158)&lt;18),"Day Shift","Night Shift")</f>
        <v/>
      </c>
      <c r="F4158" s="6">
        <f>INT(B4158)</f>
        <v/>
      </c>
      <c r="G4158" s="6">
        <f>INT(C4158)</f>
        <v/>
      </c>
    </row>
    <row r="4159">
      <c r="A4159" s="2" t="inlineStr">
        <is>
          <t>Blast</t>
        </is>
      </c>
      <c r="B4159" s="3" t="n">
        <v>46097.45834490741</v>
      </c>
      <c r="C4159" s="3" t="n">
        <v>46097.45839120371</v>
      </c>
      <c r="D4159" s="4">
        <f>(C4159-B4159)*24</f>
        <v/>
      </c>
      <c r="E4159" s="5">
        <f>IF(AND(HOUR(B4159)&gt;=6,HOUR(B4159)&lt;18),"Day Shift","Night Shift")</f>
        <v/>
      </c>
      <c r="F4159" s="6">
        <f>INT(B4159)</f>
        <v/>
      </c>
      <c r="G4159" s="6">
        <f>INT(C4159)</f>
        <v/>
      </c>
    </row>
    <row r="4160">
      <c r="A4160" s="2" t="inlineStr">
        <is>
          <t>Blast</t>
        </is>
      </c>
      <c r="B4160" s="3" t="n">
        <v>46097.45839120371</v>
      </c>
      <c r="C4160" s="3" t="n">
        <v>46097.45842592593</v>
      </c>
      <c r="D4160" s="4">
        <f>(C4160-B4160)*24</f>
        <v/>
      </c>
      <c r="E4160" s="5">
        <f>IF(AND(HOUR(B4160)&gt;=6,HOUR(B4160)&lt;18),"Day Shift","Night Shift")</f>
        <v/>
      </c>
      <c r="F4160" s="6">
        <f>INT(B4160)</f>
        <v/>
      </c>
      <c r="G4160" s="6">
        <f>INT(C4160)</f>
        <v/>
      </c>
    </row>
    <row r="4161">
      <c r="A4161" s="2" t="inlineStr">
        <is>
          <t>Blast</t>
        </is>
      </c>
      <c r="B4161" s="3" t="n">
        <v>46097.45842592593</v>
      </c>
      <c r="C4161" s="3" t="n">
        <v>46097.45851851852</v>
      </c>
      <c r="D4161" s="4">
        <f>(C4161-B4161)*24</f>
        <v/>
      </c>
      <c r="E4161" s="5">
        <f>IF(AND(HOUR(B4161)&gt;=6,HOUR(B4161)&lt;18),"Day Shift","Night Shift")</f>
        <v/>
      </c>
      <c r="F4161" s="6">
        <f>INT(B4161)</f>
        <v/>
      </c>
      <c r="G4161" s="6">
        <f>INT(C4161)</f>
        <v/>
      </c>
    </row>
    <row r="4162">
      <c r="A4162" s="2" t="inlineStr">
        <is>
          <t>Blast</t>
        </is>
      </c>
      <c r="B4162" s="3" t="n">
        <v>46097.45851851852</v>
      </c>
      <c r="C4162" s="3" t="n">
        <v>46097.45862268518</v>
      </c>
      <c r="D4162" s="4">
        <f>(C4162-B4162)*24</f>
        <v/>
      </c>
      <c r="E4162" s="5">
        <f>IF(AND(HOUR(B4162)&gt;=6,HOUR(B4162)&lt;18),"Day Shift","Night Shift")</f>
        <v/>
      </c>
      <c r="F4162" s="6">
        <f>INT(B4162)</f>
        <v/>
      </c>
      <c r="G4162" s="6">
        <f>INT(C4162)</f>
        <v/>
      </c>
    </row>
    <row r="4163">
      <c r="A4163" s="2" t="inlineStr">
        <is>
          <t>Blast</t>
        </is>
      </c>
      <c r="B4163" s="3" t="n">
        <v>46097.45862268518</v>
      </c>
      <c r="C4163" s="3" t="n">
        <v>46097.45873842593</v>
      </c>
      <c r="D4163" s="4">
        <f>(C4163-B4163)*24</f>
        <v/>
      </c>
      <c r="E4163" s="5">
        <f>IF(AND(HOUR(B4163)&gt;=6,HOUR(B4163)&lt;18),"Day Shift","Night Shift")</f>
        <v/>
      </c>
      <c r="F4163" s="6">
        <f>INT(B4163)</f>
        <v/>
      </c>
      <c r="G4163" s="6">
        <f>INT(C4163)</f>
        <v/>
      </c>
    </row>
    <row r="4164">
      <c r="A4164" s="2" t="inlineStr">
        <is>
          <t>Blast</t>
        </is>
      </c>
      <c r="B4164" s="3" t="n">
        <v>46097.45873842593</v>
      </c>
      <c r="C4164" s="3" t="n">
        <v>46097.45876157407</v>
      </c>
      <c r="D4164" s="4">
        <f>(C4164-B4164)*24</f>
        <v/>
      </c>
      <c r="E4164" s="5">
        <f>IF(AND(HOUR(B4164)&gt;=6,HOUR(B4164)&lt;18),"Day Shift","Night Shift")</f>
        <v/>
      </c>
      <c r="F4164" s="6">
        <f>INT(B4164)</f>
        <v/>
      </c>
      <c r="G4164" s="6">
        <f>INT(C4164)</f>
        <v/>
      </c>
    </row>
    <row r="4165">
      <c r="A4165" s="2" t="inlineStr">
        <is>
          <t>Blast</t>
        </is>
      </c>
      <c r="B4165" s="3" t="n">
        <v>46097.45876157407</v>
      </c>
      <c r="C4165" s="3" t="n">
        <v>46097.45881944444</v>
      </c>
      <c r="D4165" s="4">
        <f>(C4165-B4165)*24</f>
        <v/>
      </c>
      <c r="E4165" s="5">
        <f>IF(AND(HOUR(B4165)&gt;=6,HOUR(B4165)&lt;18),"Day Shift","Night Shift")</f>
        <v/>
      </c>
      <c r="F4165" s="6">
        <f>INT(B4165)</f>
        <v/>
      </c>
      <c r="G4165" s="6">
        <f>INT(C4165)</f>
        <v/>
      </c>
    </row>
    <row r="4166">
      <c r="A4166" s="2" t="inlineStr">
        <is>
          <t>Blast</t>
        </is>
      </c>
      <c r="B4166" s="3" t="n">
        <v>46097.45881944444</v>
      </c>
      <c r="C4166" s="3" t="n">
        <v>46097.45884259259</v>
      </c>
      <c r="D4166" s="4">
        <f>(C4166-B4166)*24</f>
        <v/>
      </c>
      <c r="E4166" s="5">
        <f>IF(AND(HOUR(B4166)&gt;=6,HOUR(B4166)&lt;18),"Day Shift","Night Shift")</f>
        <v/>
      </c>
      <c r="F4166" s="6">
        <f>INT(B4166)</f>
        <v/>
      </c>
      <c r="G4166" s="6">
        <f>INT(C4166)</f>
        <v/>
      </c>
    </row>
    <row r="4167">
      <c r="A4167" s="2" t="inlineStr">
        <is>
          <t>Blast</t>
        </is>
      </c>
      <c r="B4167" s="3" t="n">
        <v>46097.45884259259</v>
      </c>
      <c r="C4167" s="3" t="n">
        <v>46097.45892361111</v>
      </c>
      <c r="D4167" s="4">
        <f>(C4167-B4167)*24</f>
        <v/>
      </c>
      <c r="E4167" s="5">
        <f>IF(AND(HOUR(B4167)&gt;=6,HOUR(B4167)&lt;18),"Day Shift","Night Shift")</f>
        <v/>
      </c>
      <c r="F4167" s="6">
        <f>INT(B4167)</f>
        <v/>
      </c>
      <c r="G4167" s="6">
        <f>INT(C4167)</f>
        <v/>
      </c>
    </row>
    <row r="4168">
      <c r="A4168" s="2" t="inlineStr">
        <is>
          <t>Blast</t>
        </is>
      </c>
      <c r="B4168" s="3" t="n">
        <v>46097.45892361111</v>
      </c>
      <c r="C4168" s="3" t="n">
        <v>46097.45905092593</v>
      </c>
      <c r="D4168" s="4">
        <f>(C4168-B4168)*24</f>
        <v/>
      </c>
      <c r="E4168" s="5">
        <f>IF(AND(HOUR(B4168)&gt;=6,HOUR(B4168)&lt;18),"Day Shift","Night Shift")</f>
        <v/>
      </c>
      <c r="F4168" s="6">
        <f>INT(B4168)</f>
        <v/>
      </c>
      <c r="G4168" s="6">
        <f>INT(C4168)</f>
        <v/>
      </c>
    </row>
    <row r="4169">
      <c r="A4169" s="2" t="inlineStr">
        <is>
          <t>Blast</t>
        </is>
      </c>
      <c r="B4169" s="3" t="n">
        <v>46097.45905092593</v>
      </c>
      <c r="C4169" s="3" t="n">
        <v>46097.45922453704</v>
      </c>
      <c r="D4169" s="4">
        <f>(C4169-B4169)*24</f>
        <v/>
      </c>
      <c r="E4169" s="5">
        <f>IF(AND(HOUR(B4169)&gt;=6,HOUR(B4169)&lt;18),"Day Shift","Night Shift")</f>
        <v/>
      </c>
      <c r="F4169" s="6">
        <f>INT(B4169)</f>
        <v/>
      </c>
      <c r="G4169" s="6">
        <f>INT(C4169)</f>
        <v/>
      </c>
    </row>
    <row r="4170">
      <c r="A4170" s="2" t="inlineStr">
        <is>
          <t>Blast</t>
        </is>
      </c>
      <c r="B4170" s="3" t="n">
        <v>46097.45922453704</v>
      </c>
      <c r="C4170" s="3" t="n">
        <v>46097.45924768518</v>
      </c>
      <c r="D4170" s="4">
        <f>(C4170-B4170)*24</f>
        <v/>
      </c>
      <c r="E4170" s="5">
        <f>IF(AND(HOUR(B4170)&gt;=6,HOUR(B4170)&lt;18),"Day Shift","Night Shift")</f>
        <v/>
      </c>
      <c r="F4170" s="6">
        <f>INT(B4170)</f>
        <v/>
      </c>
      <c r="G4170" s="6">
        <f>INT(C4170)</f>
        <v/>
      </c>
    </row>
    <row r="4171">
      <c r="A4171" s="2" t="inlineStr">
        <is>
          <t>Blast</t>
        </is>
      </c>
      <c r="B4171" s="3" t="n">
        <v>46097.45924768518</v>
      </c>
      <c r="C4171" s="3" t="n">
        <v>46097.45931712963</v>
      </c>
      <c r="D4171" s="4">
        <f>(C4171-B4171)*24</f>
        <v/>
      </c>
      <c r="E4171" s="5">
        <f>IF(AND(HOUR(B4171)&gt;=6,HOUR(B4171)&lt;18),"Day Shift","Night Shift")</f>
        <v/>
      </c>
      <c r="F4171" s="6">
        <f>INT(B4171)</f>
        <v/>
      </c>
      <c r="G4171" s="6">
        <f>INT(C4171)</f>
        <v/>
      </c>
    </row>
    <row r="4172">
      <c r="A4172" s="2" t="inlineStr">
        <is>
          <t>Blast</t>
        </is>
      </c>
      <c r="B4172" s="3" t="n">
        <v>46097.45931712963</v>
      </c>
      <c r="C4172" s="3" t="n">
        <v>46097.45932870371</v>
      </c>
      <c r="D4172" s="4">
        <f>(C4172-B4172)*24</f>
        <v/>
      </c>
      <c r="E4172" s="5">
        <f>IF(AND(HOUR(B4172)&gt;=6,HOUR(B4172)&lt;18),"Day Shift","Night Shift")</f>
        <v/>
      </c>
      <c r="F4172" s="6">
        <f>INT(B4172)</f>
        <v/>
      </c>
      <c r="G4172" s="6">
        <f>INT(C4172)</f>
        <v/>
      </c>
    </row>
    <row r="4173">
      <c r="A4173" s="2" t="inlineStr">
        <is>
          <t>Blast</t>
        </is>
      </c>
      <c r="B4173" s="3" t="n">
        <v>46097.45932870371</v>
      </c>
      <c r="C4173" s="3" t="n">
        <v>46097.45938657408</v>
      </c>
      <c r="D4173" s="4">
        <f>(C4173-B4173)*24</f>
        <v/>
      </c>
      <c r="E4173" s="5">
        <f>IF(AND(HOUR(B4173)&gt;=6,HOUR(B4173)&lt;18),"Day Shift","Night Shift")</f>
        <v/>
      </c>
      <c r="F4173" s="6">
        <f>INT(B4173)</f>
        <v/>
      </c>
      <c r="G4173" s="6">
        <f>INT(C4173)</f>
        <v/>
      </c>
    </row>
    <row r="4174">
      <c r="A4174" s="2" t="inlineStr">
        <is>
          <t>Blast</t>
        </is>
      </c>
      <c r="B4174" s="3" t="n">
        <v>46097.45938657408</v>
      </c>
      <c r="C4174" s="3" t="n">
        <v>46097.45954861111</v>
      </c>
      <c r="D4174" s="4">
        <f>(C4174-B4174)*24</f>
        <v/>
      </c>
      <c r="E4174" s="5">
        <f>IF(AND(HOUR(B4174)&gt;=6,HOUR(B4174)&lt;18),"Day Shift","Night Shift")</f>
        <v/>
      </c>
      <c r="F4174" s="6">
        <f>INT(B4174)</f>
        <v/>
      </c>
      <c r="G4174" s="6">
        <f>INT(C4174)</f>
        <v/>
      </c>
    </row>
    <row r="4175">
      <c r="A4175" s="2" t="inlineStr">
        <is>
          <t>Blast</t>
        </is>
      </c>
      <c r="B4175" s="3" t="n">
        <v>46097.45954861111</v>
      </c>
      <c r="C4175" s="3" t="n">
        <v>46097.45976851852</v>
      </c>
      <c r="D4175" s="4">
        <f>(C4175-B4175)*24</f>
        <v/>
      </c>
      <c r="E4175" s="5">
        <f>IF(AND(HOUR(B4175)&gt;=6,HOUR(B4175)&lt;18),"Day Shift","Night Shift")</f>
        <v/>
      </c>
      <c r="F4175" s="6">
        <f>INT(B4175)</f>
        <v/>
      </c>
      <c r="G4175" s="6">
        <f>INT(C4175)</f>
        <v/>
      </c>
    </row>
    <row r="4176">
      <c r="A4176" s="2" t="inlineStr">
        <is>
          <t>Blast</t>
        </is>
      </c>
      <c r="B4176" s="3" t="n">
        <v>46097.45976851852</v>
      </c>
      <c r="C4176" s="3" t="n">
        <v>46097.45997685185</v>
      </c>
      <c r="D4176" s="4">
        <f>(C4176-B4176)*24</f>
        <v/>
      </c>
      <c r="E4176" s="5">
        <f>IF(AND(HOUR(B4176)&gt;=6,HOUR(B4176)&lt;18),"Day Shift","Night Shift")</f>
        <v/>
      </c>
      <c r="F4176" s="6">
        <f>INT(B4176)</f>
        <v/>
      </c>
      <c r="G4176" s="6">
        <f>INT(C4176)</f>
        <v/>
      </c>
    </row>
    <row r="4177">
      <c r="A4177" s="2" t="inlineStr">
        <is>
          <t>Blast</t>
        </is>
      </c>
      <c r="B4177" s="3" t="n">
        <v>46097.45997685185</v>
      </c>
      <c r="C4177" s="3" t="n">
        <v>46097.46001157408</v>
      </c>
      <c r="D4177" s="4">
        <f>(C4177-B4177)*24</f>
        <v/>
      </c>
      <c r="E4177" s="5">
        <f>IF(AND(HOUR(B4177)&gt;=6,HOUR(B4177)&lt;18),"Day Shift","Night Shift")</f>
        <v/>
      </c>
      <c r="F4177" s="6">
        <f>INT(B4177)</f>
        <v/>
      </c>
      <c r="G4177" s="6">
        <f>INT(C4177)</f>
        <v/>
      </c>
    </row>
    <row r="4178">
      <c r="A4178" s="2" t="inlineStr">
        <is>
          <t>Blast</t>
        </is>
      </c>
      <c r="B4178" s="3" t="n">
        <v>46097.46001157408</v>
      </c>
      <c r="C4178" s="3" t="n">
        <v>46097.46011574074</v>
      </c>
      <c r="D4178" s="4">
        <f>(C4178-B4178)*24</f>
        <v/>
      </c>
      <c r="E4178" s="5">
        <f>IF(AND(HOUR(B4178)&gt;=6,HOUR(B4178)&lt;18),"Day Shift","Night Shift")</f>
        <v/>
      </c>
      <c r="F4178" s="6">
        <f>INT(B4178)</f>
        <v/>
      </c>
      <c r="G4178" s="6">
        <f>INT(C4178)</f>
        <v/>
      </c>
    </row>
    <row r="4179">
      <c r="A4179" s="2" t="inlineStr">
        <is>
          <t>Blast</t>
        </is>
      </c>
      <c r="B4179" s="3" t="n">
        <v>46097.46011574074</v>
      </c>
      <c r="C4179" s="3" t="n">
        <v>46097.46015046296</v>
      </c>
      <c r="D4179" s="4">
        <f>(C4179-B4179)*24</f>
        <v/>
      </c>
      <c r="E4179" s="5">
        <f>IF(AND(HOUR(B4179)&gt;=6,HOUR(B4179)&lt;18),"Day Shift","Night Shift")</f>
        <v/>
      </c>
      <c r="F4179" s="6">
        <f>INT(B4179)</f>
        <v/>
      </c>
      <c r="G4179" s="6">
        <f>INT(C4179)</f>
        <v/>
      </c>
    </row>
    <row r="4180">
      <c r="A4180" s="2" t="inlineStr">
        <is>
          <t>Blast</t>
        </is>
      </c>
      <c r="B4180" s="3" t="n">
        <v>46097.46015046296</v>
      </c>
      <c r="C4180" s="3" t="n">
        <v>46097.46018518518</v>
      </c>
      <c r="D4180" s="4">
        <f>(C4180-B4180)*24</f>
        <v/>
      </c>
      <c r="E4180" s="5">
        <f>IF(AND(HOUR(B4180)&gt;=6,HOUR(B4180)&lt;18),"Day Shift","Night Shift")</f>
        <v/>
      </c>
      <c r="F4180" s="6">
        <f>INT(B4180)</f>
        <v/>
      </c>
      <c r="G4180" s="6">
        <f>INT(C4180)</f>
        <v/>
      </c>
    </row>
    <row r="4181">
      <c r="A4181" s="2" t="inlineStr">
        <is>
          <t>Blast</t>
        </is>
      </c>
      <c r="B4181" s="3" t="n">
        <v>46097.46018518518</v>
      </c>
      <c r="C4181" s="3" t="n">
        <v>46097.46030092592</v>
      </c>
      <c r="D4181" s="4">
        <f>(C4181-B4181)*24</f>
        <v/>
      </c>
      <c r="E4181" s="5">
        <f>IF(AND(HOUR(B4181)&gt;=6,HOUR(B4181)&lt;18),"Day Shift","Night Shift")</f>
        <v/>
      </c>
      <c r="F4181" s="6">
        <f>INT(B4181)</f>
        <v/>
      </c>
      <c r="G4181" s="6">
        <f>INT(C4181)</f>
        <v/>
      </c>
    </row>
    <row r="4182">
      <c r="A4182" s="2" t="inlineStr">
        <is>
          <t>Blast</t>
        </is>
      </c>
      <c r="B4182" s="3" t="n">
        <v>46097.46030092592</v>
      </c>
      <c r="C4182" s="3" t="n">
        <v>46097.46047453704</v>
      </c>
      <c r="D4182" s="4">
        <f>(C4182-B4182)*24</f>
        <v/>
      </c>
      <c r="E4182" s="5">
        <f>IF(AND(HOUR(B4182)&gt;=6,HOUR(B4182)&lt;18),"Day Shift","Night Shift")</f>
        <v/>
      </c>
      <c r="F4182" s="6">
        <f>INT(B4182)</f>
        <v/>
      </c>
      <c r="G4182" s="6">
        <f>INT(C4182)</f>
        <v/>
      </c>
    </row>
    <row r="4183">
      <c r="A4183" s="2" t="inlineStr">
        <is>
          <t>Blast</t>
        </is>
      </c>
      <c r="B4183" s="3" t="n">
        <v>46097.46047453704</v>
      </c>
      <c r="C4183" s="3" t="n">
        <v>46097.46071759259</v>
      </c>
      <c r="D4183" s="4">
        <f>(C4183-B4183)*24</f>
        <v/>
      </c>
      <c r="E4183" s="5">
        <f>IF(AND(HOUR(B4183)&gt;=6,HOUR(B4183)&lt;18),"Day Shift","Night Shift")</f>
        <v/>
      </c>
      <c r="F4183" s="6">
        <f>INT(B4183)</f>
        <v/>
      </c>
      <c r="G4183" s="6">
        <f>INT(C4183)</f>
        <v/>
      </c>
    </row>
    <row r="4184">
      <c r="A4184" s="2" t="inlineStr">
        <is>
          <t>Blast</t>
        </is>
      </c>
      <c r="B4184" s="3" t="n">
        <v>46097.46071759259</v>
      </c>
      <c r="C4184" s="3" t="n">
        <v>46097.46094907408</v>
      </c>
      <c r="D4184" s="4">
        <f>(C4184-B4184)*24</f>
        <v/>
      </c>
      <c r="E4184" s="5">
        <f>IF(AND(HOUR(B4184)&gt;=6,HOUR(B4184)&lt;18),"Day Shift","Night Shift")</f>
        <v/>
      </c>
      <c r="F4184" s="6">
        <f>INT(B4184)</f>
        <v/>
      </c>
      <c r="G4184" s="6">
        <f>INT(C4184)</f>
        <v/>
      </c>
    </row>
    <row r="4185">
      <c r="A4185" s="2" t="inlineStr">
        <is>
          <t>Blast</t>
        </is>
      </c>
      <c r="B4185" s="3" t="n">
        <v>46097.46094907408</v>
      </c>
      <c r="C4185" s="3" t="n">
        <v>46097.46097222222</v>
      </c>
      <c r="D4185" s="4">
        <f>(C4185-B4185)*24</f>
        <v/>
      </c>
      <c r="E4185" s="5">
        <f>IF(AND(HOUR(B4185)&gt;=6,HOUR(B4185)&lt;18),"Day Shift","Night Shift")</f>
        <v/>
      </c>
      <c r="F4185" s="6">
        <f>INT(B4185)</f>
        <v/>
      </c>
      <c r="G4185" s="6">
        <f>INT(C4185)</f>
        <v/>
      </c>
    </row>
    <row r="4186">
      <c r="A4186" s="2" t="inlineStr">
        <is>
          <t>Blast</t>
        </is>
      </c>
      <c r="B4186" s="3" t="n">
        <v>46097.46097222222</v>
      </c>
      <c r="C4186" s="3" t="n">
        <v>46097.46107638889</v>
      </c>
      <c r="D4186" s="4">
        <f>(C4186-B4186)*24</f>
        <v/>
      </c>
      <c r="E4186" s="5">
        <f>IF(AND(HOUR(B4186)&gt;=6,HOUR(B4186)&lt;18),"Day Shift","Night Shift")</f>
        <v/>
      </c>
      <c r="F4186" s="6">
        <f>INT(B4186)</f>
        <v/>
      </c>
      <c r="G4186" s="6">
        <f>INT(C4186)</f>
        <v/>
      </c>
    </row>
    <row r="4187">
      <c r="A4187" s="2" t="inlineStr">
        <is>
          <t>Blast</t>
        </is>
      </c>
      <c r="B4187" s="3" t="n">
        <v>46097.46107638889</v>
      </c>
      <c r="C4187" s="3" t="n">
        <v>46097.46112268518</v>
      </c>
      <c r="D4187" s="4">
        <f>(C4187-B4187)*24</f>
        <v/>
      </c>
      <c r="E4187" s="5">
        <f>IF(AND(HOUR(B4187)&gt;=6,HOUR(B4187)&lt;18),"Day Shift","Night Shift")</f>
        <v/>
      </c>
      <c r="F4187" s="6">
        <f>INT(B4187)</f>
        <v/>
      </c>
      <c r="G4187" s="6">
        <f>INT(C4187)</f>
        <v/>
      </c>
    </row>
    <row r="4188">
      <c r="A4188" s="2" t="inlineStr">
        <is>
          <t>Blast</t>
        </is>
      </c>
      <c r="B4188" s="3" t="n">
        <v>46097.46112268518</v>
      </c>
      <c r="C4188" s="3" t="n">
        <v>46097.46114583333</v>
      </c>
      <c r="D4188" s="4">
        <f>(C4188-B4188)*24</f>
        <v/>
      </c>
      <c r="E4188" s="5">
        <f>IF(AND(HOUR(B4188)&gt;=6,HOUR(B4188)&lt;18),"Day Shift","Night Shift")</f>
        <v/>
      </c>
      <c r="F4188" s="6">
        <f>INT(B4188)</f>
        <v/>
      </c>
      <c r="G4188" s="6">
        <f>INT(C4188)</f>
        <v/>
      </c>
    </row>
    <row r="4189">
      <c r="A4189" s="2" t="inlineStr">
        <is>
          <t>Blast</t>
        </is>
      </c>
      <c r="B4189" s="3" t="n">
        <v>46097.46114583333</v>
      </c>
      <c r="C4189" s="3" t="n">
        <v>46097.46122685185</v>
      </c>
      <c r="D4189" s="4">
        <f>(C4189-B4189)*24</f>
        <v/>
      </c>
      <c r="E4189" s="5">
        <f>IF(AND(HOUR(B4189)&gt;=6,HOUR(B4189)&lt;18),"Day Shift","Night Shift")</f>
        <v/>
      </c>
      <c r="F4189" s="6">
        <f>INT(B4189)</f>
        <v/>
      </c>
      <c r="G4189" s="6">
        <f>INT(C4189)</f>
        <v/>
      </c>
    </row>
    <row r="4190">
      <c r="A4190" s="2" t="inlineStr">
        <is>
          <t>Blast</t>
        </is>
      </c>
      <c r="B4190" s="3" t="n">
        <v>46097.46122685185</v>
      </c>
      <c r="C4190" s="3" t="n">
        <v>46097.46126157408</v>
      </c>
      <c r="D4190" s="4">
        <f>(C4190-B4190)*24</f>
        <v/>
      </c>
      <c r="E4190" s="5">
        <f>IF(AND(HOUR(B4190)&gt;=6,HOUR(B4190)&lt;18),"Day Shift","Night Shift")</f>
        <v/>
      </c>
      <c r="F4190" s="6">
        <f>INT(B4190)</f>
        <v/>
      </c>
      <c r="G4190" s="6">
        <f>INT(C4190)</f>
        <v/>
      </c>
    </row>
    <row r="4191">
      <c r="A4191" s="2" t="inlineStr">
        <is>
          <t>Blast</t>
        </is>
      </c>
      <c r="B4191" s="3" t="n">
        <v>46097.46126157408</v>
      </c>
      <c r="C4191" s="3" t="n">
        <v>46097.46129629629</v>
      </c>
      <c r="D4191" s="4">
        <f>(C4191-B4191)*24</f>
        <v/>
      </c>
      <c r="E4191" s="5">
        <f>IF(AND(HOUR(B4191)&gt;=6,HOUR(B4191)&lt;18),"Day Shift","Night Shift")</f>
        <v/>
      </c>
      <c r="F4191" s="6">
        <f>INT(B4191)</f>
        <v/>
      </c>
      <c r="G4191" s="6">
        <f>INT(C4191)</f>
        <v/>
      </c>
    </row>
    <row r="4192">
      <c r="A4192" s="2" t="inlineStr">
        <is>
          <t>Blast</t>
        </is>
      </c>
      <c r="B4192" s="3" t="n">
        <v>46097.46129629629</v>
      </c>
      <c r="C4192" s="3" t="n">
        <v>46097.46137731482</v>
      </c>
      <c r="D4192" s="4">
        <f>(C4192-B4192)*24</f>
        <v/>
      </c>
      <c r="E4192" s="5">
        <f>IF(AND(HOUR(B4192)&gt;=6,HOUR(B4192)&lt;18),"Day Shift","Night Shift")</f>
        <v/>
      </c>
      <c r="F4192" s="6">
        <f>INT(B4192)</f>
        <v/>
      </c>
      <c r="G4192" s="6">
        <f>INT(C4192)</f>
        <v/>
      </c>
    </row>
    <row r="4193">
      <c r="A4193" s="2" t="inlineStr">
        <is>
          <t>Blast</t>
        </is>
      </c>
      <c r="B4193" s="3" t="n">
        <v>46097.46137731482</v>
      </c>
      <c r="C4193" s="3" t="n">
        <v>46097.46141203704</v>
      </c>
      <c r="D4193" s="4">
        <f>(C4193-B4193)*24</f>
        <v/>
      </c>
      <c r="E4193" s="5">
        <f>IF(AND(HOUR(B4193)&gt;=6,HOUR(B4193)&lt;18),"Day Shift","Night Shift")</f>
        <v/>
      </c>
      <c r="F4193" s="6">
        <f>INT(B4193)</f>
        <v/>
      </c>
      <c r="G4193" s="6">
        <f>INT(C4193)</f>
        <v/>
      </c>
    </row>
    <row r="4194">
      <c r="A4194" s="2" t="inlineStr">
        <is>
          <t>Blast</t>
        </is>
      </c>
      <c r="B4194" s="3" t="n">
        <v>46097.46141203704</v>
      </c>
      <c r="C4194" s="3" t="n">
        <v>46097.46142361111</v>
      </c>
      <c r="D4194" s="4">
        <f>(C4194-B4194)*24</f>
        <v/>
      </c>
      <c r="E4194" s="5">
        <f>IF(AND(HOUR(B4194)&gt;=6,HOUR(B4194)&lt;18),"Day Shift","Night Shift")</f>
        <v/>
      </c>
      <c r="F4194" s="6">
        <f>INT(B4194)</f>
        <v/>
      </c>
      <c r="G4194" s="6">
        <f>INT(C4194)</f>
        <v/>
      </c>
    </row>
    <row r="4195">
      <c r="A4195" s="2" t="inlineStr">
        <is>
          <t>LDW262</t>
        </is>
      </c>
      <c r="B4195" s="3" t="n">
        <v>46097.475</v>
      </c>
      <c r="C4195" s="3" t="n">
        <v>46097.75</v>
      </c>
      <c r="D4195" s="4">
        <f>(C4195-B4195)*24</f>
        <v/>
      </c>
      <c r="E4195" s="5">
        <f>IF(AND(HOUR(B4195)&gt;=6,HOUR(B4195)&lt;18),"Day Shift","Night Shift")</f>
        <v/>
      </c>
      <c r="F4195" s="6">
        <f>INT(B4195)</f>
        <v/>
      </c>
      <c r="G4195" s="6">
        <f>INT(C4195)</f>
        <v/>
      </c>
    </row>
    <row r="4196">
      <c r="A4196" s="7" t="inlineStr">
        <is>
          <t>LDW262</t>
        </is>
      </c>
      <c r="B4196" s="8" t="n">
        <v>46097.75</v>
      </c>
      <c r="C4196" s="8" t="n">
        <v>46098.19465277778</v>
      </c>
      <c r="D4196" s="9">
        <f>(C4196-B4196)*24</f>
        <v/>
      </c>
      <c r="E4196" s="10">
        <f>IF(AND(HOUR(B4196)&gt;=6,HOUR(B4196)&lt;18),"Day Shift","Night Shift")</f>
        <v/>
      </c>
      <c r="F4196" s="11">
        <f>INT(B4196)</f>
        <v/>
      </c>
      <c r="G4196" s="11">
        <f>INT(C4196)</f>
        <v/>
      </c>
    </row>
    <row r="4197">
      <c r="A4197" s="2" t="inlineStr">
        <is>
          <t>SHE36</t>
        </is>
      </c>
      <c r="B4197" s="3" t="n">
        <v>46097.49305555555</v>
      </c>
      <c r="C4197" s="3" t="n">
        <v>46097.75</v>
      </c>
      <c r="D4197" s="4">
        <f>(C4197-B4197)*24</f>
        <v/>
      </c>
      <c r="E4197" s="5">
        <f>IF(AND(HOUR(B4197)&gt;=6,HOUR(B4197)&lt;18),"Day Shift","Night Shift")</f>
        <v/>
      </c>
      <c r="F4197" s="6">
        <f>INT(B4197)</f>
        <v/>
      </c>
      <c r="G4197" s="6">
        <f>INT(C4197)</f>
        <v/>
      </c>
    </row>
    <row r="4198">
      <c r="A4198" s="7" t="inlineStr">
        <is>
          <t>SHE36</t>
        </is>
      </c>
      <c r="B4198" s="8" t="n">
        <v>46097.75</v>
      </c>
      <c r="C4198" s="8" t="n">
        <v>46097.79016203704</v>
      </c>
      <c r="D4198" s="9">
        <f>(C4198-B4198)*24</f>
        <v/>
      </c>
      <c r="E4198" s="10">
        <f>IF(AND(HOUR(B4198)&gt;=6,HOUR(B4198)&lt;18),"Day Shift","Night Shift")</f>
        <v/>
      </c>
      <c r="F4198" s="11">
        <f>INT(B4198)</f>
        <v/>
      </c>
      <c r="G4198" s="11">
        <f>INT(C4198)</f>
        <v/>
      </c>
    </row>
    <row r="4199">
      <c r="A4199" s="2" t="inlineStr">
        <is>
          <t>EXD52</t>
        </is>
      </c>
      <c r="B4199" s="3" t="n">
        <v>46097.53962962963</v>
      </c>
      <c r="C4199" s="3" t="n">
        <v>46097.75</v>
      </c>
      <c r="D4199" s="4">
        <f>(C4199-B4199)*24</f>
        <v/>
      </c>
      <c r="E4199" s="5">
        <f>IF(AND(HOUR(B4199)&gt;=6,HOUR(B4199)&lt;18),"Day Shift","Night Shift")</f>
        <v/>
      </c>
      <c r="F4199" s="6">
        <f>INT(B4199)</f>
        <v/>
      </c>
      <c r="G4199" s="6">
        <f>INT(C4199)</f>
        <v/>
      </c>
    </row>
    <row r="4200">
      <c r="A4200" s="7" t="inlineStr">
        <is>
          <t>EXD52</t>
        </is>
      </c>
      <c r="B4200" s="8" t="n">
        <v>46097.75</v>
      </c>
      <c r="C4200" s="8" t="n">
        <v>46098.25</v>
      </c>
      <c r="D4200" s="9">
        <f>(C4200-B4200)*24</f>
        <v/>
      </c>
      <c r="E4200" s="10">
        <f>IF(AND(HOUR(B4200)&gt;=6,HOUR(B4200)&lt;18),"Day Shift","Night Shift")</f>
        <v/>
      </c>
      <c r="F4200" s="11">
        <f>INT(B4200)</f>
        <v/>
      </c>
      <c r="G4200" s="11">
        <f>INT(C4200)</f>
        <v/>
      </c>
    </row>
    <row r="4201">
      <c r="A4201" s="2" t="inlineStr">
        <is>
          <t>EXD52</t>
        </is>
      </c>
      <c r="B4201" s="3" t="n">
        <v>46098.25</v>
      </c>
      <c r="C4201" s="3" t="n">
        <v>46098.29908564815</v>
      </c>
      <c r="D4201" s="4">
        <f>(C4201-B4201)*24</f>
        <v/>
      </c>
      <c r="E4201" s="5">
        <f>IF(AND(HOUR(B4201)&gt;=6,HOUR(B4201)&lt;18),"Day Shift","Night Shift")</f>
        <v/>
      </c>
      <c r="F4201" s="6">
        <f>INT(B4201)</f>
        <v/>
      </c>
      <c r="G4201" s="6">
        <f>INT(C4201)</f>
        <v/>
      </c>
    </row>
    <row r="4202">
      <c r="A4202" s="2" t="inlineStr">
        <is>
          <t>EXD101</t>
        </is>
      </c>
      <c r="B4202" s="3" t="n">
        <v>46097.54980324074</v>
      </c>
      <c r="C4202" s="3" t="n">
        <v>46097.75</v>
      </c>
      <c r="D4202" s="4">
        <f>(C4202-B4202)*24</f>
        <v/>
      </c>
      <c r="E4202" s="5">
        <f>IF(AND(HOUR(B4202)&gt;=6,HOUR(B4202)&lt;18),"Day Shift","Night Shift")</f>
        <v/>
      </c>
      <c r="F4202" s="6">
        <f>INT(B4202)</f>
        <v/>
      </c>
      <c r="G4202" s="6">
        <f>INT(C4202)</f>
        <v/>
      </c>
    </row>
    <row r="4203">
      <c r="A4203" s="7" t="inlineStr">
        <is>
          <t>EXD101</t>
        </is>
      </c>
      <c r="B4203" s="8" t="n">
        <v>46097.75</v>
      </c>
      <c r="C4203" s="8" t="n">
        <v>46098.25</v>
      </c>
      <c r="D4203" s="9">
        <f>(C4203-B4203)*24</f>
        <v/>
      </c>
      <c r="E4203" s="10">
        <f>IF(AND(HOUR(B4203)&gt;=6,HOUR(B4203)&lt;18),"Day Shift","Night Shift")</f>
        <v/>
      </c>
      <c r="F4203" s="11">
        <f>INT(B4203)</f>
        <v/>
      </c>
      <c r="G4203" s="11">
        <f>INT(C4203)</f>
        <v/>
      </c>
    </row>
    <row r="4204">
      <c r="A4204" s="2" t="inlineStr">
        <is>
          <t>EXD101</t>
        </is>
      </c>
      <c r="B4204" s="3" t="n">
        <v>46098.25</v>
      </c>
      <c r="C4204" s="3" t="n">
        <v>46098.75</v>
      </c>
      <c r="D4204" s="4">
        <f>(C4204-B4204)*24</f>
        <v/>
      </c>
      <c r="E4204" s="5">
        <f>IF(AND(HOUR(B4204)&gt;=6,HOUR(B4204)&lt;18),"Day Shift","Night Shift")</f>
        <v/>
      </c>
      <c r="F4204" s="6">
        <f>INT(B4204)</f>
        <v/>
      </c>
      <c r="G4204" s="6">
        <f>INT(C4204)</f>
        <v/>
      </c>
    </row>
    <row r="4205">
      <c r="A4205" s="7" t="inlineStr">
        <is>
          <t>EXD101</t>
        </is>
      </c>
      <c r="B4205" s="8" t="n">
        <v>46098.75</v>
      </c>
      <c r="C4205" s="8" t="n">
        <v>46099.25</v>
      </c>
      <c r="D4205" s="9">
        <f>(C4205-B4205)*24</f>
        <v/>
      </c>
      <c r="E4205" s="10">
        <f>IF(AND(HOUR(B4205)&gt;=6,HOUR(B4205)&lt;18),"Day Shift","Night Shift")</f>
        <v/>
      </c>
      <c r="F4205" s="11">
        <f>INT(B4205)</f>
        <v/>
      </c>
      <c r="G4205" s="11">
        <f>INT(C4205)</f>
        <v/>
      </c>
    </row>
    <row r="4206">
      <c r="A4206" s="2" t="inlineStr">
        <is>
          <t>EXD101</t>
        </is>
      </c>
      <c r="B4206" s="3" t="n">
        <v>46099.25</v>
      </c>
      <c r="C4206" s="3" t="n">
        <v>46099.43719907408</v>
      </c>
      <c r="D4206" s="4">
        <f>(C4206-B4206)*24</f>
        <v/>
      </c>
      <c r="E4206" s="5">
        <f>IF(AND(HOUR(B4206)&gt;=6,HOUR(B4206)&lt;18),"Day Shift","Night Shift")</f>
        <v/>
      </c>
      <c r="F4206" s="6">
        <f>INT(B4206)</f>
        <v/>
      </c>
      <c r="G4206" s="6">
        <f>INT(C4206)</f>
        <v/>
      </c>
    </row>
    <row r="4207">
      <c r="A4207" s="2" t="inlineStr">
        <is>
          <t>EDD175;EDD1932;EDD2134;EDD812</t>
        </is>
      </c>
      <c r="B4207" s="3" t="n">
        <v>46097.56560185185</v>
      </c>
      <c r="C4207" s="3" t="n">
        <v>46097.75</v>
      </c>
      <c r="D4207" s="4">
        <f>(C4207-B4207)*24</f>
        <v/>
      </c>
      <c r="E4207" s="5">
        <f>IF(AND(HOUR(B4207)&gt;=6,HOUR(B4207)&lt;18),"Day Shift","Night Shift")</f>
        <v/>
      </c>
      <c r="F4207" s="6">
        <f>INT(B4207)</f>
        <v/>
      </c>
      <c r="G4207" s="6">
        <f>INT(C4207)</f>
        <v/>
      </c>
    </row>
    <row r="4208">
      <c r="A4208" s="7" t="inlineStr">
        <is>
          <t>EDD175;EDD1932;EDD2134;EDD812</t>
        </is>
      </c>
      <c r="B4208" s="8" t="n">
        <v>46097.75</v>
      </c>
      <c r="C4208" s="8" t="n">
        <v>46097.76259259259</v>
      </c>
      <c r="D4208" s="9">
        <f>(C4208-B4208)*24</f>
        <v/>
      </c>
      <c r="E4208" s="10">
        <f>IF(AND(HOUR(B4208)&gt;=6,HOUR(B4208)&lt;18),"Day Shift","Night Shift")</f>
        <v/>
      </c>
      <c r="F4208" s="11">
        <f>INT(B4208)</f>
        <v/>
      </c>
      <c r="G4208" s="11">
        <f>INT(C4208)</f>
        <v/>
      </c>
    </row>
    <row r="4209">
      <c r="A4209" s="2" t="inlineStr">
        <is>
          <t>EXD51</t>
        </is>
      </c>
      <c r="B4209" s="3" t="n">
        <v>46097.7470949074</v>
      </c>
      <c r="C4209" s="3" t="n">
        <v>46097.75</v>
      </c>
      <c r="D4209" s="4">
        <f>(C4209-B4209)*24</f>
        <v/>
      </c>
      <c r="E4209" s="5">
        <f>IF(AND(HOUR(B4209)&gt;=6,HOUR(B4209)&lt;18),"Day Shift","Night Shift")</f>
        <v/>
      </c>
      <c r="F4209" s="6">
        <f>INT(B4209)</f>
        <v/>
      </c>
      <c r="G4209" s="6">
        <f>INT(C4209)</f>
        <v/>
      </c>
    </row>
    <row r="4210">
      <c r="A4210" s="7" t="inlineStr">
        <is>
          <t>EXD51</t>
        </is>
      </c>
      <c r="B4210" s="8" t="n">
        <v>46097.75</v>
      </c>
      <c r="C4210" s="8" t="n">
        <v>46098.25</v>
      </c>
      <c r="D4210" s="9">
        <f>(C4210-B4210)*24</f>
        <v/>
      </c>
      <c r="E4210" s="10">
        <f>IF(AND(HOUR(B4210)&gt;=6,HOUR(B4210)&lt;18),"Day Shift","Night Shift")</f>
        <v/>
      </c>
      <c r="F4210" s="11">
        <f>INT(B4210)</f>
        <v/>
      </c>
      <c r="G4210" s="11">
        <f>INT(C4210)</f>
        <v/>
      </c>
    </row>
    <row r="4211">
      <c r="A4211" s="2" t="inlineStr">
        <is>
          <t>EXD51</t>
        </is>
      </c>
      <c r="B4211" s="3" t="n">
        <v>46098.25</v>
      </c>
      <c r="C4211" s="3" t="n">
        <v>46098.75</v>
      </c>
      <c r="D4211" s="4">
        <f>(C4211-B4211)*24</f>
        <v/>
      </c>
      <c r="E4211" s="5">
        <f>IF(AND(HOUR(B4211)&gt;=6,HOUR(B4211)&lt;18),"Day Shift","Night Shift")</f>
        <v/>
      </c>
      <c r="F4211" s="6">
        <f>INT(B4211)</f>
        <v/>
      </c>
      <c r="G4211" s="6">
        <f>INT(C4211)</f>
        <v/>
      </c>
    </row>
    <row r="4212">
      <c r="A4212" s="7" t="inlineStr">
        <is>
          <t>EXD51</t>
        </is>
      </c>
      <c r="B4212" s="8" t="n">
        <v>46098.75</v>
      </c>
      <c r="C4212" s="8" t="n">
        <v>46099.25</v>
      </c>
      <c r="D4212" s="9">
        <f>(C4212-B4212)*24</f>
        <v/>
      </c>
      <c r="E4212" s="10">
        <f>IF(AND(HOUR(B4212)&gt;=6,HOUR(B4212)&lt;18),"Day Shift","Night Shift")</f>
        <v/>
      </c>
      <c r="F4212" s="11">
        <f>INT(B4212)</f>
        <v/>
      </c>
      <c r="G4212" s="11">
        <f>INT(C4212)</f>
        <v/>
      </c>
    </row>
    <row r="4213">
      <c r="A4213" s="2" t="inlineStr">
        <is>
          <t>EXD51</t>
        </is>
      </c>
      <c r="B4213" s="3" t="n">
        <v>46099.25</v>
      </c>
      <c r="C4213" s="3" t="n">
        <v>46099.74072916667</v>
      </c>
      <c r="D4213" s="4">
        <f>(C4213-B4213)*24</f>
        <v/>
      </c>
      <c r="E4213" s="5">
        <f>IF(AND(HOUR(B4213)&gt;=6,HOUR(B4213)&lt;18),"Day Shift","Night Shift")</f>
        <v/>
      </c>
      <c r="F4213" s="6">
        <f>INT(B4213)</f>
        <v/>
      </c>
      <c r="G4213" s="6">
        <f>INT(C4213)</f>
        <v/>
      </c>
    </row>
    <row r="4214">
      <c r="A4214" s="7" t="inlineStr">
        <is>
          <t>EDD175;EDD1932;EDD2134;EDD812</t>
        </is>
      </c>
      <c r="B4214" s="8" t="n">
        <v>46097.76259259259</v>
      </c>
      <c r="C4214" s="8" t="n">
        <v>46097.95509259259</v>
      </c>
      <c r="D4214" s="9">
        <f>(C4214-B4214)*24</f>
        <v/>
      </c>
      <c r="E4214" s="10">
        <f>IF(AND(HOUR(B4214)&gt;=6,HOUR(B4214)&lt;18),"Day Shift","Night Shift")</f>
        <v/>
      </c>
      <c r="F4214" s="11">
        <f>INT(B4214)</f>
        <v/>
      </c>
      <c r="G4214" s="11">
        <f>INT(C4214)</f>
        <v/>
      </c>
    </row>
    <row r="4215">
      <c r="A4215" s="7" t="inlineStr">
        <is>
          <t>Blast Crew</t>
        </is>
      </c>
      <c r="B4215" s="8" t="n">
        <v>46097.77034722222</v>
      </c>
      <c r="C4215" s="8" t="n">
        <v>46097.9581712963</v>
      </c>
      <c r="D4215" s="9">
        <f>(C4215-B4215)*24</f>
        <v/>
      </c>
      <c r="E4215" s="10">
        <f>IF(AND(HOUR(B4215)&gt;=6,HOUR(B4215)&lt;18),"Day Shift","Night Shift")</f>
        <v/>
      </c>
      <c r="F4215" s="11">
        <f>INT(B4215)</f>
        <v/>
      </c>
      <c r="G4215" s="11">
        <f>INT(C4215)</f>
        <v/>
      </c>
    </row>
    <row r="4216">
      <c r="A4216" s="7" t="inlineStr">
        <is>
          <t>Sprint 1</t>
        </is>
      </c>
      <c r="B4216" s="8" t="n">
        <v>46097.77429398148</v>
      </c>
      <c r="C4216" s="8" t="n">
        <v>46098.25</v>
      </c>
      <c r="D4216" s="9">
        <f>(C4216-B4216)*24</f>
        <v/>
      </c>
      <c r="E4216" s="10">
        <f>IF(AND(HOUR(B4216)&gt;=6,HOUR(B4216)&lt;18),"Day Shift","Night Shift")</f>
        <v/>
      </c>
      <c r="F4216" s="11">
        <f>INT(B4216)</f>
        <v/>
      </c>
      <c r="G4216" s="11">
        <f>INT(C4216)</f>
        <v/>
      </c>
    </row>
    <row r="4217">
      <c r="A4217" s="2" t="inlineStr">
        <is>
          <t>Sprint 1</t>
        </is>
      </c>
      <c r="B4217" s="3" t="n">
        <v>46098.25</v>
      </c>
      <c r="C4217" s="3" t="n">
        <v>46098.2932175926</v>
      </c>
      <c r="D4217" s="4">
        <f>(C4217-B4217)*24</f>
        <v/>
      </c>
      <c r="E4217" s="5">
        <f>IF(AND(HOUR(B4217)&gt;=6,HOUR(B4217)&lt;18),"Day Shift","Night Shift")</f>
        <v/>
      </c>
      <c r="F4217" s="6">
        <f>INT(B4217)</f>
        <v/>
      </c>
      <c r="G4217" s="6">
        <f>INT(C4217)</f>
        <v/>
      </c>
    </row>
    <row r="4218">
      <c r="A4218" s="7" t="inlineStr">
        <is>
          <t>SHE36</t>
        </is>
      </c>
      <c r="B4218" s="8" t="n">
        <v>46097.79016203704</v>
      </c>
      <c r="C4218" s="8" t="n">
        <v>46098.00729166667</v>
      </c>
      <c r="D4218" s="9">
        <f>(C4218-B4218)*24</f>
        <v/>
      </c>
      <c r="E4218" s="10">
        <f>IF(AND(HOUR(B4218)&gt;=6,HOUR(B4218)&lt;18),"Day Shift","Night Shift")</f>
        <v/>
      </c>
      <c r="F4218" s="11">
        <f>INT(B4218)</f>
        <v/>
      </c>
      <c r="G4218" s="11">
        <f>INT(C4218)</f>
        <v/>
      </c>
    </row>
    <row r="4219">
      <c r="A4219" s="7" t="inlineStr">
        <is>
          <t>EXD408</t>
        </is>
      </c>
      <c r="B4219" s="8" t="n">
        <v>46097.79356481481</v>
      </c>
      <c r="C4219" s="8" t="n">
        <v>46098.25</v>
      </c>
      <c r="D4219" s="9">
        <f>(C4219-B4219)*24</f>
        <v/>
      </c>
      <c r="E4219" s="10">
        <f>IF(AND(HOUR(B4219)&gt;=6,HOUR(B4219)&lt;18),"Day Shift","Night Shift")</f>
        <v/>
      </c>
      <c r="F4219" s="11">
        <f>INT(B4219)</f>
        <v/>
      </c>
      <c r="G4219" s="11">
        <f>INT(C4219)</f>
        <v/>
      </c>
    </row>
    <row r="4220">
      <c r="A4220" s="2" t="inlineStr">
        <is>
          <t>EXD408</t>
        </is>
      </c>
      <c r="B4220" s="3" t="n">
        <v>46098.25</v>
      </c>
      <c r="C4220" s="3" t="n">
        <v>46098.32682870371</v>
      </c>
      <c r="D4220" s="4">
        <f>(C4220-B4220)*24</f>
        <v/>
      </c>
      <c r="E4220" s="5">
        <f>IF(AND(HOUR(B4220)&gt;=6,HOUR(B4220)&lt;18),"Day Shift","Night Shift")</f>
        <v/>
      </c>
      <c r="F4220" s="6">
        <f>INT(B4220)</f>
        <v/>
      </c>
      <c r="G4220" s="6">
        <f>INT(C4220)</f>
        <v/>
      </c>
    </row>
    <row r="4221">
      <c r="A4221" s="7" t="inlineStr">
        <is>
          <t>EXD55</t>
        </is>
      </c>
      <c r="B4221" s="8" t="n">
        <v>46097.92834490741</v>
      </c>
      <c r="C4221" s="8" t="n">
        <v>46098.25</v>
      </c>
      <c r="D4221" s="9">
        <f>(C4221-B4221)*24</f>
        <v/>
      </c>
      <c r="E4221" s="10">
        <f>IF(AND(HOUR(B4221)&gt;=6,HOUR(B4221)&lt;18),"Day Shift","Night Shift")</f>
        <v/>
      </c>
      <c r="F4221" s="11">
        <f>INT(B4221)</f>
        <v/>
      </c>
      <c r="G4221" s="11">
        <f>INT(C4221)</f>
        <v/>
      </c>
    </row>
    <row r="4222">
      <c r="A4222" s="2" t="inlineStr">
        <is>
          <t>EXD55</t>
        </is>
      </c>
      <c r="B4222" s="3" t="n">
        <v>46098.25</v>
      </c>
      <c r="C4222" s="3" t="n">
        <v>46098.74487268519</v>
      </c>
      <c r="D4222" s="4">
        <f>(C4222-B4222)*24</f>
        <v/>
      </c>
      <c r="E4222" s="5">
        <f>IF(AND(HOUR(B4222)&gt;=6,HOUR(B4222)&lt;18),"Day Shift","Night Shift")</f>
        <v/>
      </c>
      <c r="F4222" s="6">
        <f>INT(B4222)</f>
        <v/>
      </c>
      <c r="G4222" s="6">
        <f>INT(C4222)</f>
        <v/>
      </c>
    </row>
    <row r="4223">
      <c r="A4223" s="7" t="inlineStr">
        <is>
          <t>EDD175;EDD1932;EDD2134;EDD812</t>
        </is>
      </c>
      <c r="B4223" s="8" t="n">
        <v>46097.95509259259</v>
      </c>
      <c r="C4223" s="8" t="n">
        <v>46098.14454861111</v>
      </c>
      <c r="D4223" s="9">
        <f>(C4223-B4223)*24</f>
        <v/>
      </c>
      <c r="E4223" s="10">
        <f>IF(AND(HOUR(B4223)&gt;=6,HOUR(B4223)&lt;18),"Day Shift","Night Shift")</f>
        <v/>
      </c>
      <c r="F4223" s="11">
        <f>INT(B4223)</f>
        <v/>
      </c>
      <c r="G4223" s="11">
        <f>INT(C4223)</f>
        <v/>
      </c>
    </row>
    <row r="4224">
      <c r="A4224" s="7" t="inlineStr">
        <is>
          <t>SHE36</t>
        </is>
      </c>
      <c r="B4224" s="8" t="n">
        <v>46098.00729166667</v>
      </c>
      <c r="C4224" s="8" t="n">
        <v>46098.25</v>
      </c>
      <c r="D4224" s="9">
        <f>(C4224-B4224)*24</f>
        <v/>
      </c>
      <c r="E4224" s="10">
        <f>IF(AND(HOUR(B4224)&gt;=6,HOUR(B4224)&lt;18),"Day Shift","Night Shift")</f>
        <v/>
      </c>
      <c r="F4224" s="11">
        <f>INT(B4224)</f>
        <v/>
      </c>
      <c r="G4224" s="11">
        <f>INT(C4224)</f>
        <v/>
      </c>
    </row>
    <row r="4225">
      <c r="A4225" s="2" t="inlineStr">
        <is>
          <t>SHE36</t>
        </is>
      </c>
      <c r="B4225" s="3" t="n">
        <v>46098.25</v>
      </c>
      <c r="C4225" s="3" t="n">
        <v>46098.31664351852</v>
      </c>
      <c r="D4225" s="4">
        <f>(C4225-B4225)*24</f>
        <v/>
      </c>
      <c r="E4225" s="5">
        <f>IF(AND(HOUR(B4225)&gt;=6,HOUR(B4225)&lt;18),"Day Shift","Night Shift")</f>
        <v/>
      </c>
      <c r="F4225" s="6">
        <f>INT(B4225)</f>
        <v/>
      </c>
      <c r="G4225" s="6">
        <f>INT(C4225)</f>
        <v/>
      </c>
    </row>
    <row r="4226">
      <c r="A4226" s="7" t="inlineStr">
        <is>
          <t>EXD73</t>
        </is>
      </c>
      <c r="B4226" s="8" t="n">
        <v>46098.03712962963</v>
      </c>
      <c r="C4226" s="8" t="n">
        <v>46098.25</v>
      </c>
      <c r="D4226" s="9">
        <f>(C4226-B4226)*24</f>
        <v/>
      </c>
      <c r="E4226" s="10">
        <f>IF(AND(HOUR(B4226)&gt;=6,HOUR(B4226)&lt;18),"Day Shift","Night Shift")</f>
        <v/>
      </c>
      <c r="F4226" s="11">
        <f>INT(B4226)</f>
        <v/>
      </c>
      <c r="G4226" s="11">
        <f>INT(C4226)</f>
        <v/>
      </c>
    </row>
    <row r="4227">
      <c r="A4227" s="2" t="inlineStr">
        <is>
          <t>EXD73</t>
        </is>
      </c>
      <c r="B4227" s="3" t="n">
        <v>46098.25</v>
      </c>
      <c r="C4227" s="3" t="n">
        <v>46098.75</v>
      </c>
      <c r="D4227" s="4">
        <f>(C4227-B4227)*24</f>
        <v/>
      </c>
      <c r="E4227" s="5">
        <f>IF(AND(HOUR(B4227)&gt;=6,HOUR(B4227)&lt;18),"Day Shift","Night Shift")</f>
        <v/>
      </c>
      <c r="F4227" s="6">
        <f>INT(B4227)</f>
        <v/>
      </c>
      <c r="G4227" s="6">
        <f>INT(C4227)</f>
        <v/>
      </c>
    </row>
    <row r="4228">
      <c r="A4228" s="7" t="inlineStr">
        <is>
          <t>EXD73</t>
        </is>
      </c>
      <c r="B4228" s="8" t="n">
        <v>46098.75</v>
      </c>
      <c r="C4228" s="8" t="n">
        <v>46099.25</v>
      </c>
      <c r="D4228" s="9">
        <f>(C4228-B4228)*24</f>
        <v/>
      </c>
      <c r="E4228" s="10">
        <f>IF(AND(HOUR(B4228)&gt;=6,HOUR(B4228)&lt;18),"Day Shift","Night Shift")</f>
        <v/>
      </c>
      <c r="F4228" s="11">
        <f>INT(B4228)</f>
        <v/>
      </c>
      <c r="G4228" s="11">
        <f>INT(C4228)</f>
        <v/>
      </c>
    </row>
    <row r="4229">
      <c r="A4229" s="2" t="inlineStr">
        <is>
          <t>EXD73</t>
        </is>
      </c>
      <c r="B4229" s="3" t="n">
        <v>46099.25</v>
      </c>
      <c r="C4229" s="3" t="n">
        <v>46099.31436342592</v>
      </c>
      <c r="D4229" s="4">
        <f>(C4229-B4229)*24</f>
        <v/>
      </c>
      <c r="E4229" s="5">
        <f>IF(AND(HOUR(B4229)&gt;=6,HOUR(B4229)&lt;18),"Day Shift","Night Shift")</f>
        <v/>
      </c>
      <c r="F4229" s="6">
        <f>INT(B4229)</f>
        <v/>
      </c>
      <c r="G4229" s="6">
        <f>INT(C4229)</f>
        <v/>
      </c>
    </row>
    <row r="4230">
      <c r="A4230" s="7" t="inlineStr">
        <is>
          <t>EXD98;EXD408</t>
        </is>
      </c>
      <c r="B4230" s="8" t="n">
        <v>46098.13645833333</v>
      </c>
      <c r="C4230" s="8" t="n">
        <v>46098.25</v>
      </c>
      <c r="D4230" s="9">
        <f>(C4230-B4230)*24</f>
        <v/>
      </c>
      <c r="E4230" s="10">
        <f>IF(AND(HOUR(B4230)&gt;=6,HOUR(B4230)&lt;18),"Day Shift","Night Shift")</f>
        <v/>
      </c>
      <c r="F4230" s="11">
        <f>INT(B4230)</f>
        <v/>
      </c>
      <c r="G4230" s="11">
        <f>INT(C4230)</f>
        <v/>
      </c>
    </row>
    <row r="4231">
      <c r="A4231" s="2" t="inlineStr">
        <is>
          <t>EXD98;EXD408</t>
        </is>
      </c>
      <c r="B4231" s="3" t="n">
        <v>46098.25</v>
      </c>
      <c r="C4231" s="3" t="n">
        <v>46098.75</v>
      </c>
      <c r="D4231" s="4">
        <f>(C4231-B4231)*24</f>
        <v/>
      </c>
      <c r="E4231" s="5">
        <f>IF(AND(HOUR(B4231)&gt;=6,HOUR(B4231)&lt;18),"Day Shift","Night Shift")</f>
        <v/>
      </c>
      <c r="F4231" s="6">
        <f>INT(B4231)</f>
        <v/>
      </c>
      <c r="G4231" s="6">
        <f>INT(C4231)</f>
        <v/>
      </c>
    </row>
    <row r="4232">
      <c r="A4232" s="7" t="inlineStr">
        <is>
          <t>EXD98;EXD408</t>
        </is>
      </c>
      <c r="B4232" s="8" t="n">
        <v>46098.75</v>
      </c>
      <c r="C4232" s="8" t="n">
        <v>46099.25</v>
      </c>
      <c r="D4232" s="9">
        <f>(C4232-B4232)*24</f>
        <v/>
      </c>
      <c r="E4232" s="10">
        <f>IF(AND(HOUR(B4232)&gt;=6,HOUR(B4232)&lt;18),"Day Shift","Night Shift")</f>
        <v/>
      </c>
      <c r="F4232" s="11">
        <f>INT(B4232)</f>
        <v/>
      </c>
      <c r="G4232" s="11">
        <f>INT(C4232)</f>
        <v/>
      </c>
    </row>
    <row r="4233">
      <c r="A4233" s="2" t="inlineStr">
        <is>
          <t>EXD98;EXD408</t>
        </is>
      </c>
      <c r="B4233" s="3" t="n">
        <v>46099.25</v>
      </c>
      <c r="C4233" s="3" t="n">
        <v>46099.75</v>
      </c>
      <c r="D4233" s="4">
        <f>(C4233-B4233)*24</f>
        <v/>
      </c>
      <c r="E4233" s="5">
        <f>IF(AND(HOUR(B4233)&gt;=6,HOUR(B4233)&lt;18),"Day Shift","Night Shift")</f>
        <v/>
      </c>
      <c r="F4233" s="6">
        <f>INT(B4233)</f>
        <v/>
      </c>
      <c r="G4233" s="6">
        <f>INT(C4233)</f>
        <v/>
      </c>
    </row>
    <row r="4234">
      <c r="A4234" s="7" t="inlineStr">
        <is>
          <t>EXD98;EXD408</t>
        </is>
      </c>
      <c r="B4234" s="8" t="n">
        <v>46099.75</v>
      </c>
      <c r="C4234" s="8" t="n">
        <v>46100.25</v>
      </c>
      <c r="D4234" s="9">
        <f>(C4234-B4234)*24</f>
        <v/>
      </c>
      <c r="E4234" s="10">
        <f>IF(AND(HOUR(B4234)&gt;=6,HOUR(B4234)&lt;18),"Day Shift","Night Shift")</f>
        <v/>
      </c>
      <c r="F4234" s="11">
        <f>INT(B4234)</f>
        <v/>
      </c>
      <c r="G4234" s="11">
        <f>INT(C4234)</f>
        <v/>
      </c>
    </row>
    <row r="4235">
      <c r="A4235" s="2" t="inlineStr">
        <is>
          <t>EXD98;EXD408</t>
        </is>
      </c>
      <c r="B4235" s="3" t="n">
        <v>46100.25</v>
      </c>
      <c r="C4235" s="3" t="n">
        <v>46100.75</v>
      </c>
      <c r="D4235" s="4">
        <f>(C4235-B4235)*24</f>
        <v/>
      </c>
      <c r="E4235" s="5">
        <f>IF(AND(HOUR(B4235)&gt;=6,HOUR(B4235)&lt;18),"Day Shift","Night Shift")</f>
        <v/>
      </c>
      <c r="F4235" s="6">
        <f>INT(B4235)</f>
        <v/>
      </c>
      <c r="G4235" s="6">
        <f>INT(C4235)</f>
        <v/>
      </c>
    </row>
    <row r="4236">
      <c r="A4236" s="7" t="inlineStr">
        <is>
          <t>EXD98;EXD408</t>
        </is>
      </c>
      <c r="B4236" s="8" t="n">
        <v>46100.75</v>
      </c>
      <c r="C4236" s="8" t="n">
        <v>46101.25</v>
      </c>
      <c r="D4236" s="9">
        <f>(C4236-B4236)*24</f>
        <v/>
      </c>
      <c r="E4236" s="10">
        <f>IF(AND(HOUR(B4236)&gt;=6,HOUR(B4236)&lt;18),"Day Shift","Night Shift")</f>
        <v/>
      </c>
      <c r="F4236" s="11">
        <f>INT(B4236)</f>
        <v/>
      </c>
      <c r="G4236" s="11">
        <f>INT(C4236)</f>
        <v/>
      </c>
    </row>
    <row r="4237">
      <c r="A4237" s="2" t="inlineStr">
        <is>
          <t>EXD98;EXD408</t>
        </is>
      </c>
      <c r="B4237" s="3" t="n">
        <v>46101.25</v>
      </c>
      <c r="C4237" s="3" t="n">
        <v>46101.75</v>
      </c>
      <c r="D4237" s="4">
        <f>(C4237-B4237)*24</f>
        <v/>
      </c>
      <c r="E4237" s="5">
        <f>IF(AND(HOUR(B4237)&gt;=6,HOUR(B4237)&lt;18),"Day Shift","Night Shift")</f>
        <v/>
      </c>
      <c r="F4237" s="6">
        <f>INT(B4237)</f>
        <v/>
      </c>
      <c r="G4237" s="6">
        <f>INT(C4237)</f>
        <v/>
      </c>
    </row>
    <row r="4238">
      <c r="A4238" s="7" t="inlineStr">
        <is>
          <t>EXD98;EXD408</t>
        </is>
      </c>
      <c r="B4238" s="8" t="n">
        <v>46101.75</v>
      </c>
      <c r="C4238" s="8" t="n">
        <v>46102.25</v>
      </c>
      <c r="D4238" s="9">
        <f>(C4238-B4238)*24</f>
        <v/>
      </c>
      <c r="E4238" s="10">
        <f>IF(AND(HOUR(B4238)&gt;=6,HOUR(B4238)&lt;18),"Day Shift","Night Shift")</f>
        <v/>
      </c>
      <c r="F4238" s="11">
        <f>INT(B4238)</f>
        <v/>
      </c>
      <c r="G4238" s="11">
        <f>INT(C4238)</f>
        <v/>
      </c>
    </row>
    <row r="4239">
      <c r="A4239" s="2" t="inlineStr">
        <is>
          <t>EXD98;EXD408</t>
        </is>
      </c>
      <c r="B4239" s="3" t="n">
        <v>46102.25</v>
      </c>
      <c r="C4239" s="3" t="n">
        <v>46102.75</v>
      </c>
      <c r="D4239" s="4">
        <f>(C4239-B4239)*24</f>
        <v/>
      </c>
      <c r="E4239" s="5">
        <f>IF(AND(HOUR(B4239)&gt;=6,HOUR(B4239)&lt;18),"Day Shift","Night Shift")</f>
        <v/>
      </c>
      <c r="F4239" s="6">
        <f>INT(B4239)</f>
        <v/>
      </c>
      <c r="G4239" s="6">
        <f>INT(C4239)</f>
        <v/>
      </c>
    </row>
    <row r="4240">
      <c r="A4240" s="7" t="inlineStr">
        <is>
          <t>EXD98;EXD408</t>
        </is>
      </c>
      <c r="B4240" s="8" t="n">
        <v>46102.75</v>
      </c>
      <c r="C4240" s="8" t="n">
        <v>46103.25</v>
      </c>
      <c r="D4240" s="9">
        <f>(C4240-B4240)*24</f>
        <v/>
      </c>
      <c r="E4240" s="10">
        <f>IF(AND(HOUR(B4240)&gt;=6,HOUR(B4240)&lt;18),"Day Shift","Night Shift")</f>
        <v/>
      </c>
      <c r="F4240" s="11">
        <f>INT(B4240)</f>
        <v/>
      </c>
      <c r="G4240" s="11">
        <f>INT(C4240)</f>
        <v/>
      </c>
    </row>
    <row r="4241">
      <c r="A4241" s="2" t="inlineStr">
        <is>
          <t>EXD98;EXD408</t>
        </is>
      </c>
      <c r="B4241" s="3" t="n">
        <v>46103.25</v>
      </c>
      <c r="C4241" s="3" t="n">
        <v>46103.75</v>
      </c>
      <c r="D4241" s="4">
        <f>(C4241-B4241)*24</f>
        <v/>
      </c>
      <c r="E4241" s="5">
        <f>IF(AND(HOUR(B4241)&gt;=6,HOUR(B4241)&lt;18),"Day Shift","Night Shift")</f>
        <v/>
      </c>
      <c r="F4241" s="6">
        <f>INT(B4241)</f>
        <v/>
      </c>
      <c r="G4241" s="6">
        <f>INT(C4241)</f>
        <v/>
      </c>
    </row>
    <row r="4242">
      <c r="A4242" s="7" t="inlineStr">
        <is>
          <t>EXD98;EXD408</t>
        </is>
      </c>
      <c r="B4242" s="8" t="n">
        <v>46103.75</v>
      </c>
      <c r="C4242" s="8" t="n">
        <v>46104.25</v>
      </c>
      <c r="D4242" s="9">
        <f>(C4242-B4242)*24</f>
        <v/>
      </c>
      <c r="E4242" s="10">
        <f>IF(AND(HOUR(B4242)&gt;=6,HOUR(B4242)&lt;18),"Day Shift","Night Shift")</f>
        <v/>
      </c>
      <c r="F4242" s="11">
        <f>INT(B4242)</f>
        <v/>
      </c>
      <c r="G4242" s="11">
        <f>INT(C4242)</f>
        <v/>
      </c>
    </row>
    <row r="4243">
      <c r="A4243" s="2" t="inlineStr">
        <is>
          <t>EXD98;EXD408</t>
        </is>
      </c>
      <c r="B4243" s="3" t="n">
        <v>46104.25</v>
      </c>
      <c r="C4243" s="3" t="n">
        <v>46104.75</v>
      </c>
      <c r="D4243" s="4">
        <f>(C4243-B4243)*24</f>
        <v/>
      </c>
      <c r="E4243" s="5">
        <f>IF(AND(HOUR(B4243)&gt;=6,HOUR(B4243)&lt;18),"Day Shift","Night Shift")</f>
        <v/>
      </c>
      <c r="F4243" s="6">
        <f>INT(B4243)</f>
        <v/>
      </c>
      <c r="G4243" s="6">
        <f>INT(C4243)</f>
        <v/>
      </c>
    </row>
    <row r="4244">
      <c r="A4244" s="7" t="inlineStr">
        <is>
          <t>EXD98;EXD408</t>
        </is>
      </c>
      <c r="B4244" s="8" t="n">
        <v>46104.75</v>
      </c>
      <c r="C4244" s="8" t="n">
        <v>46105.25</v>
      </c>
      <c r="D4244" s="9">
        <f>(C4244-B4244)*24</f>
        <v/>
      </c>
      <c r="E4244" s="10">
        <f>IF(AND(HOUR(B4244)&gt;=6,HOUR(B4244)&lt;18),"Day Shift","Night Shift")</f>
        <v/>
      </c>
      <c r="F4244" s="11">
        <f>INT(B4244)</f>
        <v/>
      </c>
      <c r="G4244" s="11">
        <f>INT(C4244)</f>
        <v/>
      </c>
    </row>
    <row r="4245">
      <c r="A4245" s="2" t="inlineStr">
        <is>
          <t>EXD98;EXD408</t>
        </is>
      </c>
      <c r="B4245" s="3" t="n">
        <v>46105.25</v>
      </c>
      <c r="C4245" s="3" t="n">
        <v>46105.75</v>
      </c>
      <c r="D4245" s="4">
        <f>(C4245-B4245)*24</f>
        <v/>
      </c>
      <c r="E4245" s="5">
        <f>IF(AND(HOUR(B4245)&gt;=6,HOUR(B4245)&lt;18),"Day Shift","Night Shift")</f>
        <v/>
      </c>
      <c r="F4245" s="6">
        <f>INT(B4245)</f>
        <v/>
      </c>
      <c r="G4245" s="6">
        <f>INT(C4245)</f>
        <v/>
      </c>
    </row>
    <row r="4246">
      <c r="A4246" s="7" t="inlineStr">
        <is>
          <t>EXD98;EXD408</t>
        </is>
      </c>
      <c r="B4246" s="8" t="n">
        <v>46105.75</v>
      </c>
      <c r="C4246" s="8" t="n">
        <v>46106.25</v>
      </c>
      <c r="D4246" s="9">
        <f>(C4246-B4246)*24</f>
        <v/>
      </c>
      <c r="E4246" s="10">
        <f>IF(AND(HOUR(B4246)&gt;=6,HOUR(B4246)&lt;18),"Day Shift","Night Shift")</f>
        <v/>
      </c>
      <c r="F4246" s="11">
        <f>INT(B4246)</f>
        <v/>
      </c>
      <c r="G4246" s="11">
        <f>INT(C4246)</f>
        <v/>
      </c>
    </row>
    <row r="4247">
      <c r="A4247" s="2" t="inlineStr">
        <is>
          <t>EXD98;EXD408</t>
        </is>
      </c>
      <c r="B4247" s="3" t="n">
        <v>46106.25</v>
      </c>
      <c r="C4247" s="3" t="n">
        <v>46106.75</v>
      </c>
      <c r="D4247" s="4">
        <f>(C4247-B4247)*24</f>
        <v/>
      </c>
      <c r="E4247" s="5">
        <f>IF(AND(HOUR(B4247)&gt;=6,HOUR(B4247)&lt;18),"Day Shift","Night Shift")</f>
        <v/>
      </c>
      <c r="F4247" s="6">
        <f>INT(B4247)</f>
        <v/>
      </c>
      <c r="G4247" s="6">
        <f>INT(C4247)</f>
        <v/>
      </c>
    </row>
    <row r="4248">
      <c r="A4248" s="7" t="inlineStr">
        <is>
          <t>EXD98;EXD408</t>
        </is>
      </c>
      <c r="B4248" s="8" t="n">
        <v>46106.75</v>
      </c>
      <c r="C4248" s="8" t="n">
        <v>46107.25</v>
      </c>
      <c r="D4248" s="9">
        <f>(C4248-B4248)*24</f>
        <v/>
      </c>
      <c r="E4248" s="10">
        <f>IF(AND(HOUR(B4248)&gt;=6,HOUR(B4248)&lt;18),"Day Shift","Night Shift")</f>
        <v/>
      </c>
      <c r="F4248" s="11">
        <f>INT(B4248)</f>
        <v/>
      </c>
      <c r="G4248" s="11">
        <f>INT(C4248)</f>
        <v/>
      </c>
    </row>
    <row r="4249">
      <c r="A4249" s="2" t="inlineStr">
        <is>
          <t>EXD98;EXD408</t>
        </is>
      </c>
      <c r="B4249" s="3" t="n">
        <v>46107.25</v>
      </c>
      <c r="C4249" s="3" t="n">
        <v>46107.75</v>
      </c>
      <c r="D4249" s="4">
        <f>(C4249-B4249)*24</f>
        <v/>
      </c>
      <c r="E4249" s="5">
        <f>IF(AND(HOUR(B4249)&gt;=6,HOUR(B4249)&lt;18),"Day Shift","Night Shift")</f>
        <v/>
      </c>
      <c r="F4249" s="6">
        <f>INT(B4249)</f>
        <v/>
      </c>
      <c r="G4249" s="6">
        <f>INT(C4249)</f>
        <v/>
      </c>
    </row>
    <row r="4250">
      <c r="A4250" s="7" t="inlineStr">
        <is>
          <t>EXD98;EXD408</t>
        </is>
      </c>
      <c r="B4250" s="8" t="n">
        <v>46107.75</v>
      </c>
      <c r="C4250" s="8" t="n">
        <v>46108.25</v>
      </c>
      <c r="D4250" s="9">
        <f>(C4250-B4250)*24</f>
        <v/>
      </c>
      <c r="E4250" s="10">
        <f>IF(AND(HOUR(B4250)&gt;=6,HOUR(B4250)&lt;18),"Day Shift","Night Shift")</f>
        <v/>
      </c>
      <c r="F4250" s="11">
        <f>INT(B4250)</f>
        <v/>
      </c>
      <c r="G4250" s="11">
        <f>INT(C4250)</f>
        <v/>
      </c>
    </row>
    <row r="4251">
      <c r="A4251" s="2" t="inlineStr">
        <is>
          <t>EXD98;EXD408</t>
        </is>
      </c>
      <c r="B4251" s="3" t="n">
        <v>46108.25</v>
      </c>
      <c r="C4251" s="3" t="n">
        <v>46108.75</v>
      </c>
      <c r="D4251" s="4">
        <f>(C4251-B4251)*24</f>
        <v/>
      </c>
      <c r="E4251" s="5">
        <f>IF(AND(HOUR(B4251)&gt;=6,HOUR(B4251)&lt;18),"Day Shift","Night Shift")</f>
        <v/>
      </c>
      <c r="F4251" s="6">
        <f>INT(B4251)</f>
        <v/>
      </c>
      <c r="G4251" s="6">
        <f>INT(C4251)</f>
        <v/>
      </c>
    </row>
    <row r="4252">
      <c r="A4252" s="7" t="inlineStr">
        <is>
          <t>EXD98;EXD408</t>
        </is>
      </c>
      <c r="B4252" s="8" t="n">
        <v>46108.75</v>
      </c>
      <c r="C4252" s="8" t="n">
        <v>46109.25</v>
      </c>
      <c r="D4252" s="9">
        <f>(C4252-B4252)*24</f>
        <v/>
      </c>
      <c r="E4252" s="10">
        <f>IF(AND(HOUR(B4252)&gt;=6,HOUR(B4252)&lt;18),"Day Shift","Night Shift")</f>
        <v/>
      </c>
      <c r="F4252" s="11">
        <f>INT(B4252)</f>
        <v/>
      </c>
      <c r="G4252" s="11">
        <f>INT(C4252)</f>
        <v/>
      </c>
    </row>
    <row r="4253">
      <c r="A4253" s="2" t="inlineStr">
        <is>
          <t>EXD98;EXD408</t>
        </is>
      </c>
      <c r="B4253" s="3" t="n">
        <v>46109.25</v>
      </c>
      <c r="C4253" s="3" t="n">
        <v>46109.75</v>
      </c>
      <c r="D4253" s="4">
        <f>(C4253-B4253)*24</f>
        <v/>
      </c>
      <c r="E4253" s="5">
        <f>IF(AND(HOUR(B4253)&gt;=6,HOUR(B4253)&lt;18),"Day Shift","Night Shift")</f>
        <v/>
      </c>
      <c r="F4253" s="6">
        <f>INT(B4253)</f>
        <v/>
      </c>
      <c r="G4253" s="6">
        <f>INT(C4253)</f>
        <v/>
      </c>
    </row>
    <row r="4254">
      <c r="A4254" s="7" t="inlineStr">
        <is>
          <t>EXD98;EXD408</t>
        </is>
      </c>
      <c r="B4254" s="8" t="n">
        <v>46109.75</v>
      </c>
      <c r="C4254" s="8" t="n">
        <v>46110.25</v>
      </c>
      <c r="D4254" s="9">
        <f>(C4254-B4254)*24</f>
        <v/>
      </c>
      <c r="E4254" s="10">
        <f>IF(AND(HOUR(B4254)&gt;=6,HOUR(B4254)&lt;18),"Day Shift","Night Shift")</f>
        <v/>
      </c>
      <c r="F4254" s="11">
        <f>INT(B4254)</f>
        <v/>
      </c>
      <c r="G4254" s="11">
        <f>INT(C4254)</f>
        <v/>
      </c>
    </row>
    <row r="4255">
      <c r="A4255" s="2" t="inlineStr">
        <is>
          <t>EXD98;EXD408</t>
        </is>
      </c>
      <c r="B4255" s="3" t="n">
        <v>46110.25</v>
      </c>
      <c r="C4255" s="3" t="n">
        <v>46110.75</v>
      </c>
      <c r="D4255" s="4">
        <f>(C4255-B4255)*24</f>
        <v/>
      </c>
      <c r="E4255" s="5">
        <f>IF(AND(HOUR(B4255)&gt;=6,HOUR(B4255)&lt;18),"Day Shift","Night Shift")</f>
        <v/>
      </c>
      <c r="F4255" s="6">
        <f>INT(B4255)</f>
        <v/>
      </c>
      <c r="G4255" s="6">
        <f>INT(C4255)</f>
        <v/>
      </c>
    </row>
    <row r="4256">
      <c r="A4256" s="7" t="inlineStr">
        <is>
          <t>EXD98;EXD408</t>
        </is>
      </c>
      <c r="B4256" s="8" t="n">
        <v>46110.75</v>
      </c>
      <c r="C4256" s="8" t="n">
        <v>46111.25</v>
      </c>
      <c r="D4256" s="9">
        <f>(C4256-B4256)*24</f>
        <v/>
      </c>
      <c r="E4256" s="10">
        <f>IF(AND(HOUR(B4256)&gt;=6,HOUR(B4256)&lt;18),"Day Shift","Night Shift")</f>
        <v/>
      </c>
      <c r="F4256" s="11">
        <f>INT(B4256)</f>
        <v/>
      </c>
      <c r="G4256" s="11">
        <f>INT(C4256)</f>
        <v/>
      </c>
    </row>
    <row r="4257">
      <c r="A4257" s="2" t="inlineStr">
        <is>
          <t>EXD98;EXD408</t>
        </is>
      </c>
      <c r="B4257" s="3" t="n">
        <v>46111.25</v>
      </c>
      <c r="C4257" s="3" t="n">
        <v>46111.75</v>
      </c>
      <c r="D4257" s="4">
        <f>(C4257-B4257)*24</f>
        <v/>
      </c>
      <c r="E4257" s="5">
        <f>IF(AND(HOUR(B4257)&gt;=6,HOUR(B4257)&lt;18),"Day Shift","Night Shift")</f>
        <v/>
      </c>
      <c r="F4257" s="6">
        <f>INT(B4257)</f>
        <v/>
      </c>
      <c r="G4257" s="6">
        <f>INT(C4257)</f>
        <v/>
      </c>
    </row>
    <row r="4258">
      <c r="A4258" s="7" t="inlineStr">
        <is>
          <t>EXD98;EXD408</t>
        </is>
      </c>
      <c r="B4258" s="8" t="n">
        <v>46111.75</v>
      </c>
      <c r="C4258" s="8" t="n">
        <v>46112.25</v>
      </c>
      <c r="D4258" s="9">
        <f>(C4258-B4258)*24</f>
        <v/>
      </c>
      <c r="E4258" s="10">
        <f>IF(AND(HOUR(B4258)&gt;=6,HOUR(B4258)&lt;18),"Day Shift","Night Shift")</f>
        <v/>
      </c>
      <c r="F4258" s="11">
        <f>INT(B4258)</f>
        <v/>
      </c>
      <c r="G4258" s="11">
        <f>INT(C4258)</f>
        <v/>
      </c>
    </row>
    <row r="4259">
      <c r="A4259" s="2" t="inlineStr">
        <is>
          <t>EXD98;EXD408</t>
        </is>
      </c>
      <c r="B4259" s="3" t="n">
        <v>46112.25</v>
      </c>
      <c r="C4259" s="3" t="n">
        <v>46112.75</v>
      </c>
      <c r="D4259" s="4">
        <f>(C4259-B4259)*24</f>
        <v/>
      </c>
      <c r="E4259" s="5">
        <f>IF(AND(HOUR(B4259)&gt;=6,HOUR(B4259)&lt;18),"Day Shift","Night Shift")</f>
        <v/>
      </c>
      <c r="F4259" s="6">
        <f>INT(B4259)</f>
        <v/>
      </c>
      <c r="G4259" s="6">
        <f>INT(C4259)</f>
        <v/>
      </c>
    </row>
    <row r="4260">
      <c r="A4260" s="7" t="inlineStr">
        <is>
          <t>EXD98;EXD408</t>
        </is>
      </c>
      <c r="B4260" s="8" t="n">
        <v>46112.75</v>
      </c>
      <c r="C4260" s="8" t="n">
        <v>46113.25</v>
      </c>
      <c r="D4260" s="9">
        <f>(C4260-B4260)*24</f>
        <v/>
      </c>
      <c r="E4260" s="10">
        <f>IF(AND(HOUR(B4260)&gt;=6,HOUR(B4260)&lt;18),"Day Shift","Night Shift")</f>
        <v/>
      </c>
      <c r="F4260" s="11">
        <f>INT(B4260)</f>
        <v/>
      </c>
      <c r="G4260" s="11">
        <f>INT(C4260)</f>
        <v/>
      </c>
    </row>
    <row r="4261">
      <c r="A4261" s="2" t="inlineStr">
        <is>
          <t>EXD98;EXD408</t>
        </is>
      </c>
      <c r="B4261" s="3" t="n">
        <v>46113.25</v>
      </c>
      <c r="C4261" s="3" t="n">
        <v>46113.75</v>
      </c>
      <c r="D4261" s="4">
        <f>(C4261-B4261)*24</f>
        <v/>
      </c>
      <c r="E4261" s="5">
        <f>IF(AND(HOUR(B4261)&gt;=6,HOUR(B4261)&lt;18),"Day Shift","Night Shift")</f>
        <v/>
      </c>
      <c r="F4261" s="6">
        <f>INT(B4261)</f>
        <v/>
      </c>
      <c r="G4261" s="6">
        <f>INT(C4261)</f>
        <v/>
      </c>
    </row>
    <row r="4262">
      <c r="A4262" s="7" t="inlineStr">
        <is>
          <t>EXD98;EXD408</t>
        </is>
      </c>
      <c r="B4262" s="8" t="n">
        <v>46113.75</v>
      </c>
      <c r="C4262" s="8" t="n">
        <v>46114.25</v>
      </c>
      <c r="D4262" s="9">
        <f>(C4262-B4262)*24</f>
        <v/>
      </c>
      <c r="E4262" s="10">
        <f>IF(AND(HOUR(B4262)&gt;=6,HOUR(B4262)&lt;18),"Day Shift","Night Shift")</f>
        <v/>
      </c>
      <c r="F4262" s="11">
        <f>INT(B4262)</f>
        <v/>
      </c>
      <c r="G4262" s="11">
        <f>INT(C4262)</f>
        <v/>
      </c>
    </row>
    <row r="4263">
      <c r="A4263" s="2" t="inlineStr">
        <is>
          <t>EXD98;EXD408</t>
        </is>
      </c>
      <c r="B4263" s="3" t="n">
        <v>46114.25</v>
      </c>
      <c r="C4263" s="3" t="n">
        <v>46114.75</v>
      </c>
      <c r="D4263" s="4">
        <f>(C4263-B4263)*24</f>
        <v/>
      </c>
      <c r="E4263" s="5">
        <f>IF(AND(HOUR(B4263)&gt;=6,HOUR(B4263)&lt;18),"Day Shift","Night Shift")</f>
        <v/>
      </c>
      <c r="F4263" s="6">
        <f>INT(B4263)</f>
        <v/>
      </c>
      <c r="G4263" s="6">
        <f>INT(C4263)</f>
        <v/>
      </c>
    </row>
    <row r="4264">
      <c r="A4264" s="7" t="inlineStr">
        <is>
          <t>EXD98;EXD408</t>
        </is>
      </c>
      <c r="B4264" s="8" t="n">
        <v>46114.75</v>
      </c>
      <c r="C4264" s="8" t="n">
        <v>46115.25</v>
      </c>
      <c r="D4264" s="9">
        <f>(C4264-B4264)*24</f>
        <v/>
      </c>
      <c r="E4264" s="10">
        <f>IF(AND(HOUR(B4264)&gt;=6,HOUR(B4264)&lt;18),"Day Shift","Night Shift")</f>
        <v/>
      </c>
      <c r="F4264" s="11">
        <f>INT(B4264)</f>
        <v/>
      </c>
      <c r="G4264" s="11">
        <f>INT(C4264)</f>
        <v/>
      </c>
    </row>
    <row r="4265">
      <c r="A4265" s="2" t="inlineStr">
        <is>
          <t>EXD98;EXD408</t>
        </is>
      </c>
      <c r="B4265" s="3" t="n">
        <v>46115.25</v>
      </c>
      <c r="C4265" s="3" t="n">
        <v>46115.75</v>
      </c>
      <c r="D4265" s="4">
        <f>(C4265-B4265)*24</f>
        <v/>
      </c>
      <c r="E4265" s="5">
        <f>IF(AND(HOUR(B4265)&gt;=6,HOUR(B4265)&lt;18),"Day Shift","Night Shift")</f>
        <v/>
      </c>
      <c r="F4265" s="6">
        <f>INT(B4265)</f>
        <v/>
      </c>
      <c r="G4265" s="6">
        <f>INT(C4265)</f>
        <v/>
      </c>
    </row>
    <row r="4266">
      <c r="A4266" s="7" t="inlineStr">
        <is>
          <t>EXD98;EXD408</t>
        </is>
      </c>
      <c r="B4266" s="8" t="n">
        <v>46115.75</v>
      </c>
      <c r="C4266" s="8" t="n">
        <v>46116.25</v>
      </c>
      <c r="D4266" s="9">
        <f>(C4266-B4266)*24</f>
        <v/>
      </c>
      <c r="E4266" s="10">
        <f>IF(AND(HOUR(B4266)&gt;=6,HOUR(B4266)&lt;18),"Day Shift","Night Shift")</f>
        <v/>
      </c>
      <c r="F4266" s="11">
        <f>INT(B4266)</f>
        <v/>
      </c>
      <c r="G4266" s="11">
        <f>INT(C4266)</f>
        <v/>
      </c>
    </row>
    <row r="4267">
      <c r="A4267" s="2" t="inlineStr">
        <is>
          <t>EXD98;EXD408</t>
        </is>
      </c>
      <c r="B4267" s="3" t="n">
        <v>46116.25</v>
      </c>
      <c r="C4267" s="3" t="n">
        <v>46116.75</v>
      </c>
      <c r="D4267" s="4">
        <f>(C4267-B4267)*24</f>
        <v/>
      </c>
      <c r="E4267" s="5">
        <f>IF(AND(HOUR(B4267)&gt;=6,HOUR(B4267)&lt;18),"Day Shift","Night Shift")</f>
        <v/>
      </c>
      <c r="F4267" s="6">
        <f>INT(B4267)</f>
        <v/>
      </c>
      <c r="G4267" s="6">
        <f>INT(C4267)</f>
        <v/>
      </c>
    </row>
    <row r="4268">
      <c r="A4268" s="7" t="inlineStr">
        <is>
          <t>EXD98;EXD408</t>
        </is>
      </c>
      <c r="B4268" s="8" t="n">
        <v>46116.75</v>
      </c>
      <c r="C4268" s="8" t="n">
        <v>46117.25</v>
      </c>
      <c r="D4268" s="9">
        <f>(C4268-B4268)*24</f>
        <v/>
      </c>
      <c r="E4268" s="10">
        <f>IF(AND(HOUR(B4268)&gt;=6,HOUR(B4268)&lt;18),"Day Shift","Night Shift")</f>
        <v/>
      </c>
      <c r="F4268" s="11">
        <f>INT(B4268)</f>
        <v/>
      </c>
      <c r="G4268" s="11">
        <f>INT(C4268)</f>
        <v/>
      </c>
    </row>
    <row r="4269">
      <c r="A4269" s="2" t="inlineStr">
        <is>
          <t>EXD98;EXD408</t>
        </is>
      </c>
      <c r="B4269" s="3" t="n">
        <v>46117.25</v>
      </c>
      <c r="C4269" s="3" t="n">
        <v>46117.75</v>
      </c>
      <c r="D4269" s="4">
        <f>(C4269-B4269)*24</f>
        <v/>
      </c>
      <c r="E4269" s="5">
        <f>IF(AND(HOUR(B4269)&gt;=6,HOUR(B4269)&lt;18),"Day Shift","Night Shift")</f>
        <v/>
      </c>
      <c r="F4269" s="6">
        <f>INT(B4269)</f>
        <v/>
      </c>
      <c r="G4269" s="6">
        <f>INT(C4269)</f>
        <v/>
      </c>
    </row>
    <row r="4270">
      <c r="A4270" s="7" t="inlineStr">
        <is>
          <t>EXD98;EXD408</t>
        </is>
      </c>
      <c r="B4270" s="8" t="n">
        <v>46117.75</v>
      </c>
      <c r="C4270" s="8" t="n">
        <v>46118.25</v>
      </c>
      <c r="D4270" s="9">
        <f>(C4270-B4270)*24</f>
        <v/>
      </c>
      <c r="E4270" s="10">
        <f>IF(AND(HOUR(B4270)&gt;=6,HOUR(B4270)&lt;18),"Day Shift","Night Shift")</f>
        <v/>
      </c>
      <c r="F4270" s="11">
        <f>INT(B4270)</f>
        <v/>
      </c>
      <c r="G4270" s="11">
        <f>INT(C4270)</f>
        <v/>
      </c>
    </row>
    <row r="4271">
      <c r="A4271" s="2" t="inlineStr">
        <is>
          <t>EXD98;EXD408</t>
        </is>
      </c>
      <c r="B4271" s="3" t="n">
        <v>46118.25</v>
      </c>
      <c r="C4271" s="3" t="n">
        <v>46118.75</v>
      </c>
      <c r="D4271" s="4">
        <f>(C4271-B4271)*24</f>
        <v/>
      </c>
      <c r="E4271" s="5">
        <f>IF(AND(HOUR(B4271)&gt;=6,HOUR(B4271)&lt;18),"Day Shift","Night Shift")</f>
        <v/>
      </c>
      <c r="F4271" s="6">
        <f>INT(B4271)</f>
        <v/>
      </c>
      <c r="G4271" s="6">
        <f>INT(C4271)</f>
        <v/>
      </c>
    </row>
    <row r="4272">
      <c r="A4272" s="7" t="inlineStr">
        <is>
          <t>EXD98;EXD408</t>
        </is>
      </c>
      <c r="B4272" s="8" t="n">
        <v>46118.75</v>
      </c>
      <c r="C4272" s="8" t="n">
        <v>46119.25</v>
      </c>
      <c r="D4272" s="9">
        <f>(C4272-B4272)*24</f>
        <v/>
      </c>
      <c r="E4272" s="10">
        <f>IF(AND(HOUR(B4272)&gt;=6,HOUR(B4272)&lt;18),"Day Shift","Night Shift")</f>
        <v/>
      </c>
      <c r="F4272" s="11">
        <f>INT(B4272)</f>
        <v/>
      </c>
      <c r="G4272" s="11">
        <f>INT(C4272)</f>
        <v/>
      </c>
    </row>
    <row r="4273">
      <c r="A4273" s="2" t="inlineStr">
        <is>
          <t>EXD98;EXD408</t>
        </is>
      </c>
      <c r="B4273" s="3" t="n">
        <v>46119.25</v>
      </c>
      <c r="C4273" s="3" t="n">
        <v>46119.75</v>
      </c>
      <c r="D4273" s="4">
        <f>(C4273-B4273)*24</f>
        <v/>
      </c>
      <c r="E4273" s="5">
        <f>IF(AND(HOUR(B4273)&gt;=6,HOUR(B4273)&lt;18),"Day Shift","Night Shift")</f>
        <v/>
      </c>
      <c r="F4273" s="6">
        <f>INT(B4273)</f>
        <v/>
      </c>
      <c r="G4273" s="6">
        <f>INT(C4273)</f>
        <v/>
      </c>
    </row>
    <row r="4274">
      <c r="A4274" s="7" t="inlineStr">
        <is>
          <t>EXD98;EXD408</t>
        </is>
      </c>
      <c r="B4274" s="8" t="n">
        <v>46119.75</v>
      </c>
      <c r="C4274" s="8" t="n">
        <v>46120.25</v>
      </c>
      <c r="D4274" s="9">
        <f>(C4274-B4274)*24</f>
        <v/>
      </c>
      <c r="E4274" s="10">
        <f>IF(AND(HOUR(B4274)&gt;=6,HOUR(B4274)&lt;18),"Day Shift","Night Shift")</f>
        <v/>
      </c>
      <c r="F4274" s="11">
        <f>INT(B4274)</f>
        <v/>
      </c>
      <c r="G4274" s="11">
        <f>INT(C4274)</f>
        <v/>
      </c>
    </row>
    <row r="4275">
      <c r="A4275" s="2" t="inlineStr">
        <is>
          <t>EXD98;EXD408</t>
        </is>
      </c>
      <c r="B4275" s="3" t="n">
        <v>46120.25</v>
      </c>
      <c r="C4275" s="3" t="n">
        <v>46120.75</v>
      </c>
      <c r="D4275" s="4">
        <f>(C4275-B4275)*24</f>
        <v/>
      </c>
      <c r="E4275" s="5">
        <f>IF(AND(HOUR(B4275)&gt;=6,HOUR(B4275)&lt;18),"Day Shift","Night Shift")</f>
        <v/>
      </c>
      <c r="F4275" s="6">
        <f>INT(B4275)</f>
        <v/>
      </c>
      <c r="G4275" s="6">
        <f>INT(C4275)</f>
        <v/>
      </c>
    </row>
    <row r="4276">
      <c r="A4276" s="7" t="inlineStr">
        <is>
          <t>EXD98;EXD408</t>
        </is>
      </c>
      <c r="B4276" s="8" t="n">
        <v>46120.75</v>
      </c>
      <c r="C4276" s="8" t="n">
        <v>46121.25</v>
      </c>
      <c r="D4276" s="9">
        <f>(C4276-B4276)*24</f>
        <v/>
      </c>
      <c r="E4276" s="10">
        <f>IF(AND(HOUR(B4276)&gt;=6,HOUR(B4276)&lt;18),"Day Shift","Night Shift")</f>
        <v/>
      </c>
      <c r="F4276" s="11">
        <f>INT(B4276)</f>
        <v/>
      </c>
      <c r="G4276" s="11">
        <f>INT(C4276)</f>
        <v/>
      </c>
    </row>
    <row r="4277">
      <c r="A4277" s="2" t="inlineStr">
        <is>
          <t>EXD98;EXD408</t>
        </is>
      </c>
      <c r="B4277" s="3" t="n">
        <v>46121.25</v>
      </c>
      <c r="C4277" s="3" t="n">
        <v>46121.75</v>
      </c>
      <c r="D4277" s="4">
        <f>(C4277-B4277)*24</f>
        <v/>
      </c>
      <c r="E4277" s="5">
        <f>IF(AND(HOUR(B4277)&gt;=6,HOUR(B4277)&lt;18),"Day Shift","Night Shift")</f>
        <v/>
      </c>
      <c r="F4277" s="6">
        <f>INT(B4277)</f>
        <v/>
      </c>
      <c r="G4277" s="6">
        <f>INT(C4277)</f>
        <v/>
      </c>
    </row>
    <row r="4278">
      <c r="A4278" s="7" t="inlineStr">
        <is>
          <t>EXD98;EXD408</t>
        </is>
      </c>
      <c r="B4278" s="8" t="n">
        <v>46121.75</v>
      </c>
      <c r="C4278" s="8" t="n">
        <v>46122.25</v>
      </c>
      <c r="D4278" s="9">
        <f>(C4278-B4278)*24</f>
        <v/>
      </c>
      <c r="E4278" s="10">
        <f>IF(AND(HOUR(B4278)&gt;=6,HOUR(B4278)&lt;18),"Day Shift","Night Shift")</f>
        <v/>
      </c>
      <c r="F4278" s="11">
        <f>INT(B4278)</f>
        <v/>
      </c>
      <c r="G4278" s="11">
        <f>INT(C4278)</f>
        <v/>
      </c>
    </row>
    <row r="4279">
      <c r="A4279" s="2" t="inlineStr">
        <is>
          <t>EXD98;EXD408</t>
        </is>
      </c>
      <c r="B4279" s="3" t="n">
        <v>46122.25</v>
      </c>
      <c r="C4279" s="3" t="n">
        <v>46122.75</v>
      </c>
      <c r="D4279" s="4">
        <f>(C4279-B4279)*24</f>
        <v/>
      </c>
      <c r="E4279" s="5">
        <f>IF(AND(HOUR(B4279)&gt;=6,HOUR(B4279)&lt;18),"Day Shift","Night Shift")</f>
        <v/>
      </c>
      <c r="F4279" s="6">
        <f>INT(B4279)</f>
        <v/>
      </c>
      <c r="G4279" s="6">
        <f>INT(C4279)</f>
        <v/>
      </c>
    </row>
    <row r="4280">
      <c r="A4280" s="7" t="inlineStr">
        <is>
          <t>EXD98;EXD408</t>
        </is>
      </c>
      <c r="B4280" s="8" t="n">
        <v>46122.75</v>
      </c>
      <c r="C4280" s="8" t="n">
        <v>46123.25</v>
      </c>
      <c r="D4280" s="9">
        <f>(C4280-B4280)*24</f>
        <v/>
      </c>
      <c r="E4280" s="10">
        <f>IF(AND(HOUR(B4280)&gt;=6,HOUR(B4280)&lt;18),"Day Shift","Night Shift")</f>
        <v/>
      </c>
      <c r="F4280" s="11">
        <f>INT(B4280)</f>
        <v/>
      </c>
      <c r="G4280" s="11">
        <f>INT(C4280)</f>
        <v/>
      </c>
    </row>
    <row r="4281">
      <c r="A4281" s="2" t="inlineStr">
        <is>
          <t>EXD98;EXD408</t>
        </is>
      </c>
      <c r="B4281" s="3" t="n">
        <v>46123.25</v>
      </c>
      <c r="C4281" s="3" t="n">
        <v>46123.75</v>
      </c>
      <c r="D4281" s="4">
        <f>(C4281-B4281)*24</f>
        <v/>
      </c>
      <c r="E4281" s="5">
        <f>IF(AND(HOUR(B4281)&gt;=6,HOUR(B4281)&lt;18),"Day Shift","Night Shift")</f>
        <v/>
      </c>
      <c r="F4281" s="6">
        <f>INT(B4281)</f>
        <v/>
      </c>
      <c r="G4281" s="6">
        <f>INT(C4281)</f>
        <v/>
      </c>
    </row>
    <row r="4282">
      <c r="A4282" s="7" t="inlineStr">
        <is>
          <t>EXD98;EXD408</t>
        </is>
      </c>
      <c r="B4282" s="8" t="n">
        <v>46123.75</v>
      </c>
      <c r="C4282" s="8" t="n">
        <v>46124.25</v>
      </c>
      <c r="D4282" s="9">
        <f>(C4282-B4282)*24</f>
        <v/>
      </c>
      <c r="E4282" s="10">
        <f>IF(AND(HOUR(B4282)&gt;=6,HOUR(B4282)&lt;18),"Day Shift","Night Shift")</f>
        <v/>
      </c>
      <c r="F4282" s="11">
        <f>INT(B4282)</f>
        <v/>
      </c>
      <c r="G4282" s="11">
        <f>INT(C4282)</f>
        <v/>
      </c>
    </row>
    <row r="4283">
      <c r="A4283" s="2" t="inlineStr">
        <is>
          <t>EXD98;EXD408</t>
        </is>
      </c>
      <c r="B4283" s="3" t="n">
        <v>46124.25</v>
      </c>
      <c r="C4283" s="3" t="n">
        <v>46124.75</v>
      </c>
      <c r="D4283" s="4">
        <f>(C4283-B4283)*24</f>
        <v/>
      </c>
      <c r="E4283" s="5">
        <f>IF(AND(HOUR(B4283)&gt;=6,HOUR(B4283)&lt;18),"Day Shift","Night Shift")</f>
        <v/>
      </c>
      <c r="F4283" s="6">
        <f>INT(B4283)</f>
        <v/>
      </c>
      <c r="G4283" s="6">
        <f>INT(C4283)</f>
        <v/>
      </c>
    </row>
    <row r="4284">
      <c r="A4284" s="7" t="inlineStr">
        <is>
          <t>EXD98;EXD408</t>
        </is>
      </c>
      <c r="B4284" s="8" t="n">
        <v>46124.75</v>
      </c>
      <c r="C4284" s="8" t="n">
        <v>46125.25</v>
      </c>
      <c r="D4284" s="9">
        <f>(C4284-B4284)*24</f>
        <v/>
      </c>
      <c r="E4284" s="10">
        <f>IF(AND(HOUR(B4284)&gt;=6,HOUR(B4284)&lt;18),"Day Shift","Night Shift")</f>
        <v/>
      </c>
      <c r="F4284" s="11">
        <f>INT(B4284)</f>
        <v/>
      </c>
      <c r="G4284" s="11">
        <f>INT(C4284)</f>
        <v/>
      </c>
    </row>
    <row r="4285">
      <c r="A4285" s="2" t="inlineStr">
        <is>
          <t>EXD98;EXD408</t>
        </is>
      </c>
      <c r="B4285" s="3" t="n">
        <v>46125.25</v>
      </c>
      <c r="C4285" s="3" t="n">
        <v>46125.75</v>
      </c>
      <c r="D4285" s="4">
        <f>(C4285-B4285)*24</f>
        <v/>
      </c>
      <c r="E4285" s="5">
        <f>IF(AND(HOUR(B4285)&gt;=6,HOUR(B4285)&lt;18),"Day Shift","Night Shift")</f>
        <v/>
      </c>
      <c r="F4285" s="6">
        <f>INT(B4285)</f>
        <v/>
      </c>
      <c r="G4285" s="6">
        <f>INT(C4285)</f>
        <v/>
      </c>
    </row>
    <row r="4286">
      <c r="A4286" s="7" t="inlineStr">
        <is>
          <t>EXD98;EXD408</t>
        </is>
      </c>
      <c r="B4286" s="8" t="n">
        <v>46125.75</v>
      </c>
      <c r="C4286" s="8" t="n">
        <v>46126.25</v>
      </c>
      <c r="D4286" s="9">
        <f>(C4286-B4286)*24</f>
        <v/>
      </c>
      <c r="E4286" s="10">
        <f>IF(AND(HOUR(B4286)&gt;=6,HOUR(B4286)&lt;18),"Day Shift","Night Shift")</f>
        <v/>
      </c>
      <c r="F4286" s="11">
        <f>INT(B4286)</f>
        <v/>
      </c>
      <c r="G4286" s="11">
        <f>INT(C4286)</f>
        <v/>
      </c>
    </row>
    <row r="4287">
      <c r="A4287" s="2" t="inlineStr">
        <is>
          <t>EXD98;EXD408</t>
        </is>
      </c>
      <c r="B4287" s="3" t="n">
        <v>46126.25</v>
      </c>
      <c r="C4287" s="3" t="n">
        <v>46126.75</v>
      </c>
      <c r="D4287" s="4">
        <f>(C4287-B4287)*24</f>
        <v/>
      </c>
      <c r="E4287" s="5">
        <f>IF(AND(HOUR(B4287)&gt;=6,HOUR(B4287)&lt;18),"Day Shift","Night Shift")</f>
        <v/>
      </c>
      <c r="F4287" s="6">
        <f>INT(B4287)</f>
        <v/>
      </c>
      <c r="G4287" s="6">
        <f>INT(C4287)</f>
        <v/>
      </c>
    </row>
    <row r="4288">
      <c r="A4288" s="7" t="inlineStr">
        <is>
          <t>EXD98;EXD408</t>
        </is>
      </c>
      <c r="B4288" s="8" t="n">
        <v>46126.75</v>
      </c>
      <c r="C4288" s="8" t="n">
        <v>46127.25</v>
      </c>
      <c r="D4288" s="9">
        <f>(C4288-B4288)*24</f>
        <v/>
      </c>
      <c r="E4288" s="10">
        <f>IF(AND(HOUR(B4288)&gt;=6,HOUR(B4288)&lt;18),"Day Shift","Night Shift")</f>
        <v/>
      </c>
      <c r="F4288" s="11">
        <f>INT(B4288)</f>
        <v/>
      </c>
      <c r="G4288" s="11">
        <f>INT(C4288)</f>
        <v/>
      </c>
    </row>
    <row r="4289">
      <c r="A4289" s="2" t="inlineStr">
        <is>
          <t>EXD98;EXD408</t>
        </is>
      </c>
      <c r="B4289" s="3" t="n">
        <v>46127.25</v>
      </c>
      <c r="C4289" s="3" t="n">
        <v>46127.75</v>
      </c>
      <c r="D4289" s="4">
        <f>(C4289-B4289)*24</f>
        <v/>
      </c>
      <c r="E4289" s="5">
        <f>IF(AND(HOUR(B4289)&gt;=6,HOUR(B4289)&lt;18),"Day Shift","Night Shift")</f>
        <v/>
      </c>
      <c r="F4289" s="6">
        <f>INT(B4289)</f>
        <v/>
      </c>
      <c r="G4289" s="6">
        <f>INT(C4289)</f>
        <v/>
      </c>
    </row>
    <row r="4290">
      <c r="A4290" s="7" t="inlineStr">
        <is>
          <t>EXD98;EXD408</t>
        </is>
      </c>
      <c r="B4290" s="8" t="n">
        <v>46127.75</v>
      </c>
      <c r="C4290" s="8" t="n">
        <v>46128.25</v>
      </c>
      <c r="D4290" s="9">
        <f>(C4290-B4290)*24</f>
        <v/>
      </c>
      <c r="E4290" s="10">
        <f>IF(AND(HOUR(B4290)&gt;=6,HOUR(B4290)&lt;18),"Day Shift","Night Shift")</f>
        <v/>
      </c>
      <c r="F4290" s="11">
        <f>INT(B4290)</f>
        <v/>
      </c>
      <c r="G4290" s="11">
        <f>INT(C4290)</f>
        <v/>
      </c>
    </row>
    <row r="4291">
      <c r="A4291" s="2" t="inlineStr">
        <is>
          <t>EXD98;EXD408</t>
        </is>
      </c>
      <c r="B4291" s="3" t="n">
        <v>46128.25</v>
      </c>
      <c r="C4291" s="3" t="n">
        <v>46128.75</v>
      </c>
      <c r="D4291" s="4">
        <f>(C4291-B4291)*24</f>
        <v/>
      </c>
      <c r="E4291" s="5">
        <f>IF(AND(HOUR(B4291)&gt;=6,HOUR(B4291)&lt;18),"Day Shift","Night Shift")</f>
        <v/>
      </c>
      <c r="F4291" s="6">
        <f>INT(B4291)</f>
        <v/>
      </c>
      <c r="G4291" s="6">
        <f>INT(C4291)</f>
        <v/>
      </c>
    </row>
    <row r="4292">
      <c r="A4292" s="7" t="inlineStr">
        <is>
          <t>EXD98;EXD408</t>
        </is>
      </c>
      <c r="B4292" s="8" t="n">
        <v>46128.75</v>
      </c>
      <c r="C4292" s="8" t="n">
        <v>46129.25</v>
      </c>
      <c r="D4292" s="9">
        <f>(C4292-B4292)*24</f>
        <v/>
      </c>
      <c r="E4292" s="10">
        <f>IF(AND(HOUR(B4292)&gt;=6,HOUR(B4292)&lt;18),"Day Shift","Night Shift")</f>
        <v/>
      </c>
      <c r="F4292" s="11">
        <f>INT(B4292)</f>
        <v/>
      </c>
      <c r="G4292" s="11">
        <f>INT(C4292)</f>
        <v/>
      </c>
    </row>
    <row r="4293">
      <c r="A4293" s="2" t="inlineStr">
        <is>
          <t>EXD98;EXD408</t>
        </is>
      </c>
      <c r="B4293" s="3" t="n">
        <v>46129.25</v>
      </c>
      <c r="C4293" s="3" t="n">
        <v>46129.75</v>
      </c>
      <c r="D4293" s="4">
        <f>(C4293-B4293)*24</f>
        <v/>
      </c>
      <c r="E4293" s="5">
        <f>IF(AND(HOUR(B4293)&gt;=6,HOUR(B4293)&lt;18),"Day Shift","Night Shift")</f>
        <v/>
      </c>
      <c r="F4293" s="6">
        <f>INT(B4293)</f>
        <v/>
      </c>
      <c r="G4293" s="6">
        <f>INT(C4293)</f>
        <v/>
      </c>
    </row>
    <row r="4294">
      <c r="A4294" s="7" t="inlineStr">
        <is>
          <t>EXD98;EXD408</t>
        </is>
      </c>
      <c r="B4294" s="8" t="n">
        <v>46129.75</v>
      </c>
      <c r="C4294" s="8" t="n">
        <v>46130.25</v>
      </c>
      <c r="D4294" s="9">
        <f>(C4294-B4294)*24</f>
        <v/>
      </c>
      <c r="E4294" s="10">
        <f>IF(AND(HOUR(B4294)&gt;=6,HOUR(B4294)&lt;18),"Day Shift","Night Shift")</f>
        <v/>
      </c>
      <c r="F4294" s="11">
        <f>INT(B4294)</f>
        <v/>
      </c>
      <c r="G4294" s="11">
        <f>INT(C4294)</f>
        <v/>
      </c>
    </row>
    <row r="4295">
      <c r="A4295" s="2" t="inlineStr">
        <is>
          <t>EXD98;EXD408</t>
        </is>
      </c>
      <c r="B4295" s="3" t="n">
        <v>46130.25</v>
      </c>
      <c r="C4295" s="3" t="n">
        <v>46130.75</v>
      </c>
      <c r="D4295" s="4">
        <f>(C4295-B4295)*24</f>
        <v/>
      </c>
      <c r="E4295" s="5">
        <f>IF(AND(HOUR(B4295)&gt;=6,HOUR(B4295)&lt;18),"Day Shift","Night Shift")</f>
        <v/>
      </c>
      <c r="F4295" s="6">
        <f>INT(B4295)</f>
        <v/>
      </c>
      <c r="G4295" s="6">
        <f>INT(C4295)</f>
        <v/>
      </c>
    </row>
    <row r="4296">
      <c r="A4296" s="7" t="inlineStr">
        <is>
          <t>EXD98;EXD408</t>
        </is>
      </c>
      <c r="B4296" s="8" t="n">
        <v>46130.75</v>
      </c>
      <c r="C4296" s="8" t="n">
        <v>46131.25</v>
      </c>
      <c r="D4296" s="9">
        <f>(C4296-B4296)*24</f>
        <v/>
      </c>
      <c r="E4296" s="10">
        <f>IF(AND(HOUR(B4296)&gt;=6,HOUR(B4296)&lt;18),"Day Shift","Night Shift")</f>
        <v/>
      </c>
      <c r="F4296" s="11">
        <f>INT(B4296)</f>
        <v/>
      </c>
      <c r="G4296" s="11">
        <f>INT(C4296)</f>
        <v/>
      </c>
    </row>
    <row r="4297">
      <c r="A4297" s="2" t="inlineStr">
        <is>
          <t>EXD98;EXD408</t>
        </is>
      </c>
      <c r="B4297" s="3" t="n">
        <v>46131.25</v>
      </c>
      <c r="C4297" s="3" t="n">
        <v>46131.75</v>
      </c>
      <c r="D4297" s="4">
        <f>(C4297-B4297)*24</f>
        <v/>
      </c>
      <c r="E4297" s="5">
        <f>IF(AND(HOUR(B4297)&gt;=6,HOUR(B4297)&lt;18),"Day Shift","Night Shift")</f>
        <v/>
      </c>
      <c r="F4297" s="6">
        <f>INT(B4297)</f>
        <v/>
      </c>
      <c r="G4297" s="6">
        <f>INT(C4297)</f>
        <v/>
      </c>
    </row>
    <row r="4298">
      <c r="A4298" s="7" t="inlineStr">
        <is>
          <t>EXD98;EXD408</t>
        </is>
      </c>
      <c r="B4298" s="8" t="n">
        <v>46131.75</v>
      </c>
      <c r="C4298" s="8" t="n">
        <v>46132.25</v>
      </c>
      <c r="D4298" s="9">
        <f>(C4298-B4298)*24</f>
        <v/>
      </c>
      <c r="E4298" s="10">
        <f>IF(AND(HOUR(B4298)&gt;=6,HOUR(B4298)&lt;18),"Day Shift","Night Shift")</f>
        <v/>
      </c>
      <c r="F4298" s="11">
        <f>INT(B4298)</f>
        <v/>
      </c>
      <c r="G4298" s="11">
        <f>INT(C4298)</f>
        <v/>
      </c>
    </row>
    <row r="4299">
      <c r="A4299" s="2" t="inlineStr">
        <is>
          <t>EXD98;EXD408</t>
        </is>
      </c>
      <c r="B4299" s="3" t="n">
        <v>46132.25</v>
      </c>
      <c r="C4299" s="3" t="n">
        <v>46132.75</v>
      </c>
      <c r="D4299" s="4">
        <f>(C4299-B4299)*24</f>
        <v/>
      </c>
      <c r="E4299" s="5">
        <f>IF(AND(HOUR(B4299)&gt;=6,HOUR(B4299)&lt;18),"Day Shift","Night Shift")</f>
        <v/>
      </c>
      <c r="F4299" s="6">
        <f>INT(B4299)</f>
        <v/>
      </c>
      <c r="G4299" s="6">
        <f>INT(C4299)</f>
        <v/>
      </c>
    </row>
    <row r="4300">
      <c r="A4300" s="7" t="inlineStr">
        <is>
          <t>EXD98;EXD408</t>
        </is>
      </c>
      <c r="B4300" s="8" t="n">
        <v>46132.75</v>
      </c>
      <c r="C4300" s="8" t="n">
        <v>46133.25</v>
      </c>
      <c r="D4300" s="9">
        <f>(C4300-B4300)*24</f>
        <v/>
      </c>
      <c r="E4300" s="10">
        <f>IF(AND(HOUR(B4300)&gt;=6,HOUR(B4300)&lt;18),"Day Shift","Night Shift")</f>
        <v/>
      </c>
      <c r="F4300" s="11">
        <f>INT(B4300)</f>
        <v/>
      </c>
      <c r="G4300" s="11">
        <f>INT(C4300)</f>
        <v/>
      </c>
    </row>
    <row r="4301">
      <c r="A4301" s="2" t="inlineStr">
        <is>
          <t>EXD98;EXD408</t>
        </is>
      </c>
      <c r="B4301" s="3" t="n">
        <v>46133.25</v>
      </c>
      <c r="C4301" s="3" t="n">
        <v>46133.75</v>
      </c>
      <c r="D4301" s="4">
        <f>(C4301-B4301)*24</f>
        <v/>
      </c>
      <c r="E4301" s="5">
        <f>IF(AND(HOUR(B4301)&gt;=6,HOUR(B4301)&lt;18),"Day Shift","Night Shift")</f>
        <v/>
      </c>
      <c r="F4301" s="6">
        <f>INT(B4301)</f>
        <v/>
      </c>
      <c r="G4301" s="6">
        <f>INT(C4301)</f>
        <v/>
      </c>
    </row>
    <row r="4302">
      <c r="A4302" s="7" t="inlineStr">
        <is>
          <t>EXD98;EXD408</t>
        </is>
      </c>
      <c r="B4302" s="8" t="n">
        <v>46133.75</v>
      </c>
      <c r="C4302" s="8" t="n">
        <v>46134.25</v>
      </c>
      <c r="D4302" s="9">
        <f>(C4302-B4302)*24</f>
        <v/>
      </c>
      <c r="E4302" s="10">
        <f>IF(AND(HOUR(B4302)&gt;=6,HOUR(B4302)&lt;18),"Day Shift","Night Shift")</f>
        <v/>
      </c>
      <c r="F4302" s="11">
        <f>INT(B4302)</f>
        <v/>
      </c>
      <c r="G4302" s="11">
        <f>INT(C4302)</f>
        <v/>
      </c>
    </row>
    <row r="4303">
      <c r="A4303" s="2" t="inlineStr">
        <is>
          <t>EXD98;EXD408</t>
        </is>
      </c>
      <c r="B4303" s="3" t="n">
        <v>46134.25</v>
      </c>
      <c r="C4303" s="3" t="n">
        <v>46134.75</v>
      </c>
      <c r="D4303" s="4">
        <f>(C4303-B4303)*24</f>
        <v/>
      </c>
      <c r="E4303" s="5">
        <f>IF(AND(HOUR(B4303)&gt;=6,HOUR(B4303)&lt;18),"Day Shift","Night Shift")</f>
        <v/>
      </c>
      <c r="F4303" s="6">
        <f>INT(B4303)</f>
        <v/>
      </c>
      <c r="G4303" s="6">
        <f>INT(C4303)</f>
        <v/>
      </c>
    </row>
    <row r="4304">
      <c r="A4304" s="7" t="inlineStr">
        <is>
          <t>EXD98;EXD408</t>
        </is>
      </c>
      <c r="B4304" s="8" t="n">
        <v>46134.75</v>
      </c>
      <c r="C4304" s="8" t="n">
        <v>46135.25</v>
      </c>
      <c r="D4304" s="9">
        <f>(C4304-B4304)*24</f>
        <v/>
      </c>
      <c r="E4304" s="10">
        <f>IF(AND(HOUR(B4304)&gt;=6,HOUR(B4304)&lt;18),"Day Shift","Night Shift")</f>
        <v/>
      </c>
      <c r="F4304" s="11">
        <f>INT(B4304)</f>
        <v/>
      </c>
      <c r="G4304" s="11">
        <f>INT(C4304)</f>
        <v/>
      </c>
    </row>
    <row r="4305">
      <c r="A4305" s="2" t="inlineStr">
        <is>
          <t>EXD98;EXD408</t>
        </is>
      </c>
      <c r="B4305" s="3" t="n">
        <v>46135.25</v>
      </c>
      <c r="C4305" s="3" t="n">
        <v>46135.75</v>
      </c>
      <c r="D4305" s="4">
        <f>(C4305-B4305)*24</f>
        <v/>
      </c>
      <c r="E4305" s="5">
        <f>IF(AND(HOUR(B4305)&gt;=6,HOUR(B4305)&lt;18),"Day Shift","Night Shift")</f>
        <v/>
      </c>
      <c r="F4305" s="6">
        <f>INT(B4305)</f>
        <v/>
      </c>
      <c r="G4305" s="6">
        <f>INT(C4305)</f>
        <v/>
      </c>
    </row>
    <row r="4306">
      <c r="A4306" s="7" t="inlineStr">
        <is>
          <t>EXD98;EXD408</t>
        </is>
      </c>
      <c r="B4306" s="8" t="n">
        <v>46135.75</v>
      </c>
      <c r="C4306" s="8" t="n">
        <v>46136.25</v>
      </c>
      <c r="D4306" s="9">
        <f>(C4306-B4306)*24</f>
        <v/>
      </c>
      <c r="E4306" s="10">
        <f>IF(AND(HOUR(B4306)&gt;=6,HOUR(B4306)&lt;18),"Day Shift","Night Shift")</f>
        <v/>
      </c>
      <c r="F4306" s="11">
        <f>INT(B4306)</f>
        <v/>
      </c>
      <c r="G4306" s="11">
        <f>INT(C4306)</f>
        <v/>
      </c>
    </row>
    <row r="4307">
      <c r="A4307" s="2" t="inlineStr">
        <is>
          <t>EXD98;EXD408</t>
        </is>
      </c>
      <c r="B4307" s="3" t="n">
        <v>46136.25</v>
      </c>
      <c r="C4307" s="3" t="n">
        <v>46136.75</v>
      </c>
      <c r="D4307" s="4">
        <f>(C4307-B4307)*24</f>
        <v/>
      </c>
      <c r="E4307" s="5">
        <f>IF(AND(HOUR(B4307)&gt;=6,HOUR(B4307)&lt;18),"Day Shift","Night Shift")</f>
        <v/>
      </c>
      <c r="F4307" s="6">
        <f>INT(B4307)</f>
        <v/>
      </c>
      <c r="G4307" s="6">
        <f>INT(C4307)</f>
        <v/>
      </c>
    </row>
    <row r="4308">
      <c r="A4308" s="7" t="inlineStr">
        <is>
          <t>EXD98;EXD408</t>
        </is>
      </c>
      <c r="B4308" s="8" t="n">
        <v>46136.75</v>
      </c>
      <c r="C4308" s="8" t="n">
        <v>46137.25</v>
      </c>
      <c r="D4308" s="9">
        <f>(C4308-B4308)*24</f>
        <v/>
      </c>
      <c r="E4308" s="10">
        <f>IF(AND(HOUR(B4308)&gt;=6,HOUR(B4308)&lt;18),"Day Shift","Night Shift")</f>
        <v/>
      </c>
      <c r="F4308" s="11">
        <f>INT(B4308)</f>
        <v/>
      </c>
      <c r="G4308" s="11">
        <f>INT(C4308)</f>
        <v/>
      </c>
    </row>
    <row r="4309">
      <c r="A4309" s="2" t="inlineStr">
        <is>
          <t>EXD98;EXD408</t>
        </is>
      </c>
      <c r="B4309" s="3" t="n">
        <v>46137.25</v>
      </c>
      <c r="C4309" s="3" t="n">
        <v>46137.75</v>
      </c>
      <c r="D4309" s="4">
        <f>(C4309-B4309)*24</f>
        <v/>
      </c>
      <c r="E4309" s="5">
        <f>IF(AND(HOUR(B4309)&gt;=6,HOUR(B4309)&lt;18),"Day Shift","Night Shift")</f>
        <v/>
      </c>
      <c r="F4309" s="6">
        <f>INT(B4309)</f>
        <v/>
      </c>
      <c r="G4309" s="6">
        <f>INT(C4309)</f>
        <v/>
      </c>
    </row>
    <row r="4310">
      <c r="A4310" s="7" t="inlineStr">
        <is>
          <t>EXD98;EXD408</t>
        </is>
      </c>
      <c r="B4310" s="8" t="n">
        <v>46137.75</v>
      </c>
      <c r="C4310" s="8" t="n">
        <v>46138.25</v>
      </c>
      <c r="D4310" s="9">
        <f>(C4310-B4310)*24</f>
        <v/>
      </c>
      <c r="E4310" s="10">
        <f>IF(AND(HOUR(B4310)&gt;=6,HOUR(B4310)&lt;18),"Day Shift","Night Shift")</f>
        <v/>
      </c>
      <c r="F4310" s="11">
        <f>INT(B4310)</f>
        <v/>
      </c>
      <c r="G4310" s="11">
        <f>INT(C4310)</f>
        <v/>
      </c>
    </row>
    <row r="4311">
      <c r="A4311" s="2" t="inlineStr">
        <is>
          <t>EXD98;EXD408</t>
        </is>
      </c>
      <c r="B4311" s="3" t="n">
        <v>46138.25</v>
      </c>
      <c r="C4311" s="3" t="n">
        <v>46138.75</v>
      </c>
      <c r="D4311" s="4">
        <f>(C4311-B4311)*24</f>
        <v/>
      </c>
      <c r="E4311" s="5">
        <f>IF(AND(HOUR(B4311)&gt;=6,HOUR(B4311)&lt;18),"Day Shift","Night Shift")</f>
        <v/>
      </c>
      <c r="F4311" s="6">
        <f>INT(B4311)</f>
        <v/>
      </c>
      <c r="G4311" s="6">
        <f>INT(C4311)</f>
        <v/>
      </c>
    </row>
    <row r="4312">
      <c r="A4312" s="7" t="inlineStr">
        <is>
          <t>EXD98;EXD408</t>
        </is>
      </c>
      <c r="B4312" s="8" t="n">
        <v>46138.75</v>
      </c>
      <c r="C4312" s="8" t="n">
        <v>46139.25</v>
      </c>
      <c r="D4312" s="9">
        <f>(C4312-B4312)*24</f>
        <v/>
      </c>
      <c r="E4312" s="10">
        <f>IF(AND(HOUR(B4312)&gt;=6,HOUR(B4312)&lt;18),"Day Shift","Night Shift")</f>
        <v/>
      </c>
      <c r="F4312" s="11">
        <f>INT(B4312)</f>
        <v/>
      </c>
      <c r="G4312" s="11">
        <f>INT(C4312)</f>
        <v/>
      </c>
    </row>
    <row r="4313">
      <c r="A4313" s="2" t="inlineStr">
        <is>
          <t>EXD98;EXD408</t>
        </is>
      </c>
      <c r="B4313" s="3" t="n">
        <v>46139.25</v>
      </c>
      <c r="C4313" s="3" t="n">
        <v>46139.75</v>
      </c>
      <c r="D4313" s="4">
        <f>(C4313-B4313)*24</f>
        <v/>
      </c>
      <c r="E4313" s="5">
        <f>IF(AND(HOUR(B4313)&gt;=6,HOUR(B4313)&lt;18),"Day Shift","Night Shift")</f>
        <v/>
      </c>
      <c r="F4313" s="6">
        <f>INT(B4313)</f>
        <v/>
      </c>
      <c r="G4313" s="6">
        <f>INT(C4313)</f>
        <v/>
      </c>
    </row>
    <row r="4314">
      <c r="A4314" s="7" t="inlineStr">
        <is>
          <t>EXD98;EXD408</t>
        </is>
      </c>
      <c r="B4314" s="8" t="n">
        <v>46139.75</v>
      </c>
      <c r="C4314" s="8" t="n">
        <v>46140.25</v>
      </c>
      <c r="D4314" s="9">
        <f>(C4314-B4314)*24</f>
        <v/>
      </c>
      <c r="E4314" s="10">
        <f>IF(AND(HOUR(B4314)&gt;=6,HOUR(B4314)&lt;18),"Day Shift","Night Shift")</f>
        <v/>
      </c>
      <c r="F4314" s="11">
        <f>INT(B4314)</f>
        <v/>
      </c>
      <c r="G4314" s="11">
        <f>INT(C4314)</f>
        <v/>
      </c>
    </row>
    <row r="4315">
      <c r="A4315" s="2" t="inlineStr">
        <is>
          <t>EXD98;EXD408</t>
        </is>
      </c>
      <c r="B4315" s="3" t="n">
        <v>46140.25</v>
      </c>
      <c r="C4315" s="3" t="n">
        <v>46140.75</v>
      </c>
      <c r="D4315" s="4">
        <f>(C4315-B4315)*24</f>
        <v/>
      </c>
      <c r="E4315" s="5">
        <f>IF(AND(HOUR(B4315)&gt;=6,HOUR(B4315)&lt;18),"Day Shift","Night Shift")</f>
        <v/>
      </c>
      <c r="F4315" s="6">
        <f>INT(B4315)</f>
        <v/>
      </c>
      <c r="G4315" s="6">
        <f>INT(C4315)</f>
        <v/>
      </c>
    </row>
    <row r="4316">
      <c r="A4316" s="7" t="inlineStr">
        <is>
          <t>EXD98;EXD408</t>
        </is>
      </c>
      <c r="B4316" s="8" t="n">
        <v>46140.75</v>
      </c>
      <c r="C4316" s="8" t="n">
        <v>46141.25</v>
      </c>
      <c r="D4316" s="9">
        <f>(C4316-B4316)*24</f>
        <v/>
      </c>
      <c r="E4316" s="10">
        <f>IF(AND(HOUR(B4316)&gt;=6,HOUR(B4316)&lt;18),"Day Shift","Night Shift")</f>
        <v/>
      </c>
      <c r="F4316" s="11">
        <f>INT(B4316)</f>
        <v/>
      </c>
      <c r="G4316" s="11">
        <f>INT(C4316)</f>
        <v/>
      </c>
    </row>
    <row r="4317">
      <c r="A4317" s="2" t="inlineStr">
        <is>
          <t>EXD98;EXD408</t>
        </is>
      </c>
      <c r="B4317" s="3" t="n">
        <v>46141.25</v>
      </c>
      <c r="C4317" s="3" t="n">
        <v>46141.75</v>
      </c>
      <c r="D4317" s="4">
        <f>(C4317-B4317)*24</f>
        <v/>
      </c>
      <c r="E4317" s="5">
        <f>IF(AND(HOUR(B4317)&gt;=6,HOUR(B4317)&lt;18),"Day Shift","Night Shift")</f>
        <v/>
      </c>
      <c r="F4317" s="6">
        <f>INT(B4317)</f>
        <v/>
      </c>
      <c r="G4317" s="6">
        <f>INT(C4317)</f>
        <v/>
      </c>
    </row>
    <row r="4318">
      <c r="A4318" s="7" t="inlineStr">
        <is>
          <t>EXD98;EXD408</t>
        </is>
      </c>
      <c r="B4318" s="8" t="n">
        <v>46141.75</v>
      </c>
      <c r="C4318" s="8" t="n">
        <v>46142.25</v>
      </c>
      <c r="D4318" s="9">
        <f>(C4318-B4318)*24</f>
        <v/>
      </c>
      <c r="E4318" s="10">
        <f>IF(AND(HOUR(B4318)&gt;=6,HOUR(B4318)&lt;18),"Day Shift","Night Shift")</f>
        <v/>
      </c>
      <c r="F4318" s="11">
        <f>INT(B4318)</f>
        <v/>
      </c>
      <c r="G4318" s="11">
        <f>INT(C4318)</f>
        <v/>
      </c>
    </row>
    <row r="4319">
      <c r="A4319" s="2" t="inlineStr">
        <is>
          <t>EXD98;EXD408</t>
        </is>
      </c>
      <c r="B4319" s="3" t="n">
        <v>46142.25</v>
      </c>
      <c r="C4319" s="3" t="n">
        <v>46142.75</v>
      </c>
      <c r="D4319" s="4">
        <f>(C4319-B4319)*24</f>
        <v/>
      </c>
      <c r="E4319" s="5">
        <f>IF(AND(HOUR(B4319)&gt;=6,HOUR(B4319)&lt;18),"Day Shift","Night Shift")</f>
        <v/>
      </c>
      <c r="F4319" s="6">
        <f>INT(B4319)</f>
        <v/>
      </c>
      <c r="G4319" s="6">
        <f>INT(C4319)</f>
        <v/>
      </c>
    </row>
    <row r="4320">
      <c r="A4320" s="7" t="inlineStr">
        <is>
          <t>EXD98;EXD408</t>
        </is>
      </c>
      <c r="B4320" s="8" t="n">
        <v>46142.75</v>
      </c>
      <c r="C4320" s="8" t="n">
        <v>46143.25</v>
      </c>
      <c r="D4320" s="9">
        <f>(C4320-B4320)*24</f>
        <v/>
      </c>
      <c r="E4320" s="10">
        <f>IF(AND(HOUR(B4320)&gt;=6,HOUR(B4320)&lt;18),"Day Shift","Night Shift")</f>
        <v/>
      </c>
      <c r="F4320" s="11">
        <f>INT(B4320)</f>
        <v/>
      </c>
      <c r="G4320" s="11">
        <f>INT(C4320)</f>
        <v/>
      </c>
    </row>
    <row r="4321">
      <c r="A4321" s="2" t="inlineStr">
        <is>
          <t>EXD98;EXD408</t>
        </is>
      </c>
      <c r="B4321" s="3" t="n">
        <v>46143.25</v>
      </c>
      <c r="C4321" s="3" t="n">
        <v>46143.75</v>
      </c>
      <c r="D4321" s="4">
        <f>(C4321-B4321)*24</f>
        <v/>
      </c>
      <c r="E4321" s="5">
        <f>IF(AND(HOUR(B4321)&gt;=6,HOUR(B4321)&lt;18),"Day Shift","Night Shift")</f>
        <v/>
      </c>
      <c r="F4321" s="6">
        <f>INT(B4321)</f>
        <v/>
      </c>
      <c r="G4321" s="6">
        <f>INT(C4321)</f>
        <v/>
      </c>
    </row>
    <row r="4322">
      <c r="A4322" s="7" t="inlineStr">
        <is>
          <t>EXD98;EXD408</t>
        </is>
      </c>
      <c r="B4322" s="8" t="n">
        <v>46143.75</v>
      </c>
      <c r="C4322" s="8" t="n">
        <v>46144.25</v>
      </c>
      <c r="D4322" s="9">
        <f>(C4322-B4322)*24</f>
        <v/>
      </c>
      <c r="E4322" s="10">
        <f>IF(AND(HOUR(B4322)&gt;=6,HOUR(B4322)&lt;18),"Day Shift","Night Shift")</f>
        <v/>
      </c>
      <c r="F4322" s="11">
        <f>INT(B4322)</f>
        <v/>
      </c>
      <c r="G4322" s="11">
        <f>INT(C4322)</f>
        <v/>
      </c>
    </row>
    <row r="4323">
      <c r="A4323" s="2" t="inlineStr">
        <is>
          <t>EXD98;EXD408</t>
        </is>
      </c>
      <c r="B4323" s="3" t="n">
        <v>46144.25</v>
      </c>
      <c r="C4323" s="3" t="n">
        <v>46144.75</v>
      </c>
      <c r="D4323" s="4">
        <f>(C4323-B4323)*24</f>
        <v/>
      </c>
      <c r="E4323" s="5">
        <f>IF(AND(HOUR(B4323)&gt;=6,HOUR(B4323)&lt;18),"Day Shift","Night Shift")</f>
        <v/>
      </c>
      <c r="F4323" s="6">
        <f>INT(B4323)</f>
        <v/>
      </c>
      <c r="G4323" s="6">
        <f>INT(C4323)</f>
        <v/>
      </c>
    </row>
    <row r="4324">
      <c r="A4324" s="7" t="inlineStr">
        <is>
          <t>EXD98;EXD408</t>
        </is>
      </c>
      <c r="B4324" s="8" t="n">
        <v>46144.75</v>
      </c>
      <c r="C4324" s="8" t="n">
        <v>46145.25</v>
      </c>
      <c r="D4324" s="9">
        <f>(C4324-B4324)*24</f>
        <v/>
      </c>
      <c r="E4324" s="10">
        <f>IF(AND(HOUR(B4324)&gt;=6,HOUR(B4324)&lt;18),"Day Shift","Night Shift")</f>
        <v/>
      </c>
      <c r="F4324" s="11">
        <f>INT(B4324)</f>
        <v/>
      </c>
      <c r="G4324" s="11">
        <f>INT(C4324)</f>
        <v/>
      </c>
    </row>
    <row r="4325">
      <c r="A4325" s="2" t="inlineStr">
        <is>
          <t>EXD98;EXD408</t>
        </is>
      </c>
      <c r="B4325" s="3" t="n">
        <v>46145.25</v>
      </c>
      <c r="C4325" s="3" t="n">
        <v>46145.75</v>
      </c>
      <c r="D4325" s="4">
        <f>(C4325-B4325)*24</f>
        <v/>
      </c>
      <c r="E4325" s="5">
        <f>IF(AND(HOUR(B4325)&gt;=6,HOUR(B4325)&lt;18),"Day Shift","Night Shift")</f>
        <v/>
      </c>
      <c r="F4325" s="6">
        <f>INT(B4325)</f>
        <v/>
      </c>
      <c r="G4325" s="6">
        <f>INT(C4325)</f>
        <v/>
      </c>
    </row>
    <row r="4326">
      <c r="A4326" s="7" t="inlineStr">
        <is>
          <t>EXD98;EXD408</t>
        </is>
      </c>
      <c r="B4326" s="8" t="n">
        <v>46145.75</v>
      </c>
      <c r="C4326" s="8" t="n">
        <v>46146.25</v>
      </c>
      <c r="D4326" s="9">
        <f>(C4326-B4326)*24</f>
        <v/>
      </c>
      <c r="E4326" s="10">
        <f>IF(AND(HOUR(B4326)&gt;=6,HOUR(B4326)&lt;18),"Day Shift","Night Shift")</f>
        <v/>
      </c>
      <c r="F4326" s="11">
        <f>INT(B4326)</f>
        <v/>
      </c>
      <c r="G4326" s="11">
        <f>INT(C4326)</f>
        <v/>
      </c>
    </row>
    <row r="4327">
      <c r="A4327" s="2" t="inlineStr">
        <is>
          <t>EXD98;EXD408</t>
        </is>
      </c>
      <c r="B4327" s="3" t="n">
        <v>46146.25</v>
      </c>
      <c r="C4327" s="3" t="n">
        <v>46146.75</v>
      </c>
      <c r="D4327" s="4">
        <f>(C4327-B4327)*24</f>
        <v/>
      </c>
      <c r="E4327" s="5">
        <f>IF(AND(HOUR(B4327)&gt;=6,HOUR(B4327)&lt;18),"Day Shift","Night Shift")</f>
        <v/>
      </c>
      <c r="F4327" s="6">
        <f>INT(B4327)</f>
        <v/>
      </c>
      <c r="G4327" s="6">
        <f>INT(C4327)</f>
        <v/>
      </c>
    </row>
    <row r="4328">
      <c r="A4328" s="7" t="inlineStr">
        <is>
          <t>EXD98;EXD408</t>
        </is>
      </c>
      <c r="B4328" s="8" t="n">
        <v>46146.75</v>
      </c>
      <c r="C4328" s="8" t="n">
        <v>46147.25</v>
      </c>
      <c r="D4328" s="9">
        <f>(C4328-B4328)*24</f>
        <v/>
      </c>
      <c r="E4328" s="10">
        <f>IF(AND(HOUR(B4328)&gt;=6,HOUR(B4328)&lt;18),"Day Shift","Night Shift")</f>
        <v/>
      </c>
      <c r="F4328" s="11">
        <f>INT(B4328)</f>
        <v/>
      </c>
      <c r="G4328" s="11">
        <f>INT(C4328)</f>
        <v/>
      </c>
    </row>
    <row r="4329">
      <c r="A4329" s="2" t="inlineStr">
        <is>
          <t>EXD98;EXD408</t>
        </is>
      </c>
      <c r="B4329" s="3" t="n">
        <v>46147.25</v>
      </c>
      <c r="C4329" s="3" t="n">
        <v>46147.75</v>
      </c>
      <c r="D4329" s="4">
        <f>(C4329-B4329)*24</f>
        <v/>
      </c>
      <c r="E4329" s="5">
        <f>IF(AND(HOUR(B4329)&gt;=6,HOUR(B4329)&lt;18),"Day Shift","Night Shift")</f>
        <v/>
      </c>
      <c r="F4329" s="6">
        <f>INT(B4329)</f>
        <v/>
      </c>
      <c r="G4329" s="6">
        <f>INT(C4329)</f>
        <v/>
      </c>
    </row>
    <row r="4330">
      <c r="A4330" s="7" t="inlineStr">
        <is>
          <t>EXD98;EXD408</t>
        </is>
      </c>
      <c r="B4330" s="8" t="n">
        <v>46147.75</v>
      </c>
      <c r="C4330" s="8" t="n">
        <v>46148.25</v>
      </c>
      <c r="D4330" s="9">
        <f>(C4330-B4330)*24</f>
        <v/>
      </c>
      <c r="E4330" s="10">
        <f>IF(AND(HOUR(B4330)&gt;=6,HOUR(B4330)&lt;18),"Day Shift","Night Shift")</f>
        <v/>
      </c>
      <c r="F4330" s="11">
        <f>INT(B4330)</f>
        <v/>
      </c>
      <c r="G4330" s="11">
        <f>INT(C4330)</f>
        <v/>
      </c>
    </row>
    <row r="4331">
      <c r="A4331" s="2" t="inlineStr">
        <is>
          <t>EXD98;EXD408</t>
        </is>
      </c>
      <c r="B4331" s="3" t="n">
        <v>46148.25</v>
      </c>
      <c r="C4331" s="3" t="n">
        <v>46148.75</v>
      </c>
      <c r="D4331" s="4">
        <f>(C4331-B4331)*24</f>
        <v/>
      </c>
      <c r="E4331" s="5">
        <f>IF(AND(HOUR(B4331)&gt;=6,HOUR(B4331)&lt;18),"Day Shift","Night Shift")</f>
        <v/>
      </c>
      <c r="F4331" s="6">
        <f>INT(B4331)</f>
        <v/>
      </c>
      <c r="G4331" s="6">
        <f>INT(C4331)</f>
        <v/>
      </c>
    </row>
    <row r="4332">
      <c r="A4332" s="7" t="inlineStr">
        <is>
          <t>EXD98;EXD408</t>
        </is>
      </c>
      <c r="B4332" s="8" t="n">
        <v>46148.75</v>
      </c>
      <c r="C4332" s="8" t="n">
        <v>46149.25</v>
      </c>
      <c r="D4332" s="9">
        <f>(C4332-B4332)*24</f>
        <v/>
      </c>
      <c r="E4332" s="10">
        <f>IF(AND(HOUR(B4332)&gt;=6,HOUR(B4332)&lt;18),"Day Shift","Night Shift")</f>
        <v/>
      </c>
      <c r="F4332" s="11">
        <f>INT(B4332)</f>
        <v/>
      </c>
      <c r="G4332" s="11">
        <f>INT(C4332)</f>
        <v/>
      </c>
    </row>
    <row r="4333">
      <c r="A4333" s="2" t="inlineStr">
        <is>
          <t>EXD98;EXD408</t>
        </is>
      </c>
      <c r="B4333" s="3" t="n">
        <v>46149.25</v>
      </c>
      <c r="C4333" s="3" t="n">
        <v>46149.75</v>
      </c>
      <c r="D4333" s="4">
        <f>(C4333-B4333)*24</f>
        <v/>
      </c>
      <c r="E4333" s="5">
        <f>IF(AND(HOUR(B4333)&gt;=6,HOUR(B4333)&lt;18),"Day Shift","Night Shift")</f>
        <v/>
      </c>
      <c r="F4333" s="6">
        <f>INT(B4333)</f>
        <v/>
      </c>
      <c r="G4333" s="6">
        <f>INT(C4333)</f>
        <v/>
      </c>
    </row>
    <row r="4334">
      <c r="A4334" s="7" t="inlineStr">
        <is>
          <t>EXD98;EXD408</t>
        </is>
      </c>
      <c r="B4334" s="8" t="n">
        <v>46149.75</v>
      </c>
      <c r="C4334" s="8" t="n">
        <v>46150.25</v>
      </c>
      <c r="D4334" s="9">
        <f>(C4334-B4334)*24</f>
        <v/>
      </c>
      <c r="E4334" s="10">
        <f>IF(AND(HOUR(B4334)&gt;=6,HOUR(B4334)&lt;18),"Day Shift","Night Shift")</f>
        <v/>
      </c>
      <c r="F4334" s="11">
        <f>INT(B4334)</f>
        <v/>
      </c>
      <c r="G4334" s="11">
        <f>INT(C4334)</f>
        <v/>
      </c>
    </row>
    <row r="4335">
      <c r="A4335" s="2" t="inlineStr">
        <is>
          <t>EXD98;EXD408</t>
        </is>
      </c>
      <c r="B4335" s="3" t="n">
        <v>46150.25</v>
      </c>
      <c r="C4335" s="3" t="n">
        <v>46150.75</v>
      </c>
      <c r="D4335" s="4">
        <f>(C4335-B4335)*24</f>
        <v/>
      </c>
      <c r="E4335" s="5">
        <f>IF(AND(HOUR(B4335)&gt;=6,HOUR(B4335)&lt;18),"Day Shift","Night Shift")</f>
        <v/>
      </c>
      <c r="F4335" s="6">
        <f>INT(B4335)</f>
        <v/>
      </c>
      <c r="G4335" s="6">
        <f>INT(C4335)</f>
        <v/>
      </c>
    </row>
    <row r="4336">
      <c r="A4336" s="7" t="inlineStr">
        <is>
          <t>EXD98;EXD408</t>
        </is>
      </c>
      <c r="B4336" s="8" t="n">
        <v>46150.75</v>
      </c>
      <c r="C4336" s="8" t="n">
        <v>46151.25</v>
      </c>
      <c r="D4336" s="9">
        <f>(C4336-B4336)*24</f>
        <v/>
      </c>
      <c r="E4336" s="10">
        <f>IF(AND(HOUR(B4336)&gt;=6,HOUR(B4336)&lt;18),"Day Shift","Night Shift")</f>
        <v/>
      </c>
      <c r="F4336" s="11">
        <f>INT(B4336)</f>
        <v/>
      </c>
      <c r="G4336" s="11">
        <f>INT(C4336)</f>
        <v/>
      </c>
    </row>
    <row r="4337">
      <c r="A4337" s="2" t="inlineStr">
        <is>
          <t>EXD98;EXD408</t>
        </is>
      </c>
      <c r="B4337" s="3" t="n">
        <v>46151.25</v>
      </c>
      <c r="C4337" s="3" t="n">
        <v>46151.75</v>
      </c>
      <c r="D4337" s="4">
        <f>(C4337-B4337)*24</f>
        <v/>
      </c>
      <c r="E4337" s="5">
        <f>IF(AND(HOUR(B4337)&gt;=6,HOUR(B4337)&lt;18),"Day Shift","Night Shift")</f>
        <v/>
      </c>
      <c r="F4337" s="6">
        <f>INT(B4337)</f>
        <v/>
      </c>
      <c r="G4337" s="6">
        <f>INT(C4337)</f>
        <v/>
      </c>
    </row>
    <row r="4338">
      <c r="A4338" s="7" t="inlineStr">
        <is>
          <t>EXD98;EXD408</t>
        </is>
      </c>
      <c r="B4338" s="8" t="n">
        <v>46151.75</v>
      </c>
      <c r="C4338" s="8" t="n">
        <v>46152.25</v>
      </c>
      <c r="D4338" s="9">
        <f>(C4338-B4338)*24</f>
        <v/>
      </c>
      <c r="E4338" s="10">
        <f>IF(AND(HOUR(B4338)&gt;=6,HOUR(B4338)&lt;18),"Day Shift","Night Shift")</f>
        <v/>
      </c>
      <c r="F4338" s="11">
        <f>INT(B4338)</f>
        <v/>
      </c>
      <c r="G4338" s="11">
        <f>INT(C4338)</f>
        <v/>
      </c>
    </row>
    <row r="4339">
      <c r="A4339" s="2" t="inlineStr">
        <is>
          <t>EXD98;EXD408</t>
        </is>
      </c>
      <c r="B4339" s="3" t="n">
        <v>46152.25</v>
      </c>
      <c r="C4339" s="3" t="n">
        <v>46152.75</v>
      </c>
      <c r="D4339" s="4">
        <f>(C4339-B4339)*24</f>
        <v/>
      </c>
      <c r="E4339" s="5">
        <f>IF(AND(HOUR(B4339)&gt;=6,HOUR(B4339)&lt;18),"Day Shift","Night Shift")</f>
        <v/>
      </c>
      <c r="F4339" s="6">
        <f>INT(B4339)</f>
        <v/>
      </c>
      <c r="G4339" s="6">
        <f>INT(C4339)</f>
        <v/>
      </c>
    </row>
    <row r="4340">
      <c r="A4340" s="7" t="inlineStr">
        <is>
          <t>EXD98;EXD408</t>
        </is>
      </c>
      <c r="B4340" s="8" t="n">
        <v>46152.75</v>
      </c>
      <c r="C4340" s="8" t="n">
        <v>46153.25</v>
      </c>
      <c r="D4340" s="9">
        <f>(C4340-B4340)*24</f>
        <v/>
      </c>
      <c r="E4340" s="10">
        <f>IF(AND(HOUR(B4340)&gt;=6,HOUR(B4340)&lt;18),"Day Shift","Night Shift")</f>
        <v/>
      </c>
      <c r="F4340" s="11">
        <f>INT(B4340)</f>
        <v/>
      </c>
      <c r="G4340" s="11">
        <f>INT(C4340)</f>
        <v/>
      </c>
    </row>
    <row r="4341">
      <c r="A4341" s="2" t="inlineStr">
        <is>
          <t>EXD98;EXD408</t>
        </is>
      </c>
      <c r="B4341" s="3" t="n">
        <v>46153.25</v>
      </c>
      <c r="C4341" s="3" t="n">
        <v>46153.75</v>
      </c>
      <c r="D4341" s="4">
        <f>(C4341-B4341)*24</f>
        <v/>
      </c>
      <c r="E4341" s="5">
        <f>IF(AND(HOUR(B4341)&gt;=6,HOUR(B4341)&lt;18),"Day Shift","Night Shift")</f>
        <v/>
      </c>
      <c r="F4341" s="6">
        <f>INT(B4341)</f>
        <v/>
      </c>
      <c r="G4341" s="6">
        <f>INT(C4341)</f>
        <v/>
      </c>
    </row>
    <row r="4342">
      <c r="A4342" s="7" t="inlineStr">
        <is>
          <t>EXD98;EXD408</t>
        </is>
      </c>
      <c r="B4342" s="8" t="n">
        <v>46153.75</v>
      </c>
      <c r="C4342" s="8" t="n">
        <v>46154.25</v>
      </c>
      <c r="D4342" s="9">
        <f>(C4342-B4342)*24</f>
        <v/>
      </c>
      <c r="E4342" s="10">
        <f>IF(AND(HOUR(B4342)&gt;=6,HOUR(B4342)&lt;18),"Day Shift","Night Shift")</f>
        <v/>
      </c>
      <c r="F4342" s="11">
        <f>INT(B4342)</f>
        <v/>
      </c>
      <c r="G4342" s="11">
        <f>INT(C4342)</f>
        <v/>
      </c>
    </row>
    <row r="4343">
      <c r="A4343" s="2" t="inlineStr">
        <is>
          <t>EXD98;EXD408</t>
        </is>
      </c>
      <c r="B4343" s="3" t="n">
        <v>46154.25</v>
      </c>
      <c r="C4343" s="3" t="n">
        <v>46154.75</v>
      </c>
      <c r="D4343" s="4">
        <f>(C4343-B4343)*24</f>
        <v/>
      </c>
      <c r="E4343" s="5">
        <f>IF(AND(HOUR(B4343)&gt;=6,HOUR(B4343)&lt;18),"Day Shift","Night Shift")</f>
        <v/>
      </c>
      <c r="F4343" s="6">
        <f>INT(B4343)</f>
        <v/>
      </c>
      <c r="G4343" s="6">
        <f>INT(C4343)</f>
        <v/>
      </c>
    </row>
    <row r="4344">
      <c r="A4344" s="7" t="inlineStr">
        <is>
          <t>EXD98;EXD408</t>
        </is>
      </c>
      <c r="B4344" s="8" t="n">
        <v>46154.75</v>
      </c>
      <c r="C4344" s="8" t="n">
        <v>46155.25</v>
      </c>
      <c r="D4344" s="9">
        <f>(C4344-B4344)*24</f>
        <v/>
      </c>
      <c r="E4344" s="10">
        <f>IF(AND(HOUR(B4344)&gt;=6,HOUR(B4344)&lt;18),"Day Shift","Night Shift")</f>
        <v/>
      </c>
      <c r="F4344" s="11">
        <f>INT(B4344)</f>
        <v/>
      </c>
      <c r="G4344" s="11">
        <f>INT(C4344)</f>
        <v/>
      </c>
    </row>
    <row r="4345">
      <c r="A4345" s="2" t="inlineStr">
        <is>
          <t>EXD98;EXD408</t>
        </is>
      </c>
      <c r="B4345" s="3" t="n">
        <v>46155.25</v>
      </c>
      <c r="C4345" s="3" t="n">
        <v>46155.75</v>
      </c>
      <c r="D4345" s="4">
        <f>(C4345-B4345)*24</f>
        <v/>
      </c>
      <c r="E4345" s="5">
        <f>IF(AND(HOUR(B4345)&gt;=6,HOUR(B4345)&lt;18),"Day Shift","Night Shift")</f>
        <v/>
      </c>
      <c r="F4345" s="6">
        <f>INT(B4345)</f>
        <v/>
      </c>
      <c r="G4345" s="6">
        <f>INT(C4345)</f>
        <v/>
      </c>
    </row>
    <row r="4346">
      <c r="A4346" s="7" t="inlineStr">
        <is>
          <t>EXD98;EXD408</t>
        </is>
      </c>
      <c r="B4346" s="8" t="n">
        <v>46155.75</v>
      </c>
      <c r="C4346" s="8" t="n">
        <v>46156.25</v>
      </c>
      <c r="D4346" s="9">
        <f>(C4346-B4346)*24</f>
        <v/>
      </c>
      <c r="E4346" s="10">
        <f>IF(AND(HOUR(B4346)&gt;=6,HOUR(B4346)&lt;18),"Day Shift","Night Shift")</f>
        <v/>
      </c>
      <c r="F4346" s="11">
        <f>INT(B4346)</f>
        <v/>
      </c>
      <c r="G4346" s="11">
        <f>INT(C4346)</f>
        <v/>
      </c>
    </row>
    <row r="4347">
      <c r="A4347" s="2" t="inlineStr">
        <is>
          <t>EXD98;EXD408</t>
        </is>
      </c>
      <c r="B4347" s="3" t="n">
        <v>46156.25</v>
      </c>
      <c r="C4347" s="3" t="n">
        <v>46156.75</v>
      </c>
      <c r="D4347" s="4">
        <f>(C4347-B4347)*24</f>
        <v/>
      </c>
      <c r="E4347" s="5">
        <f>IF(AND(HOUR(B4347)&gt;=6,HOUR(B4347)&lt;18),"Day Shift","Night Shift")</f>
        <v/>
      </c>
      <c r="F4347" s="6">
        <f>INT(B4347)</f>
        <v/>
      </c>
      <c r="G4347" s="6">
        <f>INT(C4347)</f>
        <v/>
      </c>
    </row>
    <row r="4348">
      <c r="A4348" s="7" t="inlineStr">
        <is>
          <t>EXD98;EXD408</t>
        </is>
      </c>
      <c r="B4348" s="8" t="n">
        <v>46156.75</v>
      </c>
      <c r="C4348" s="8" t="n">
        <v>46157.25</v>
      </c>
      <c r="D4348" s="9">
        <f>(C4348-B4348)*24</f>
        <v/>
      </c>
      <c r="E4348" s="10">
        <f>IF(AND(HOUR(B4348)&gt;=6,HOUR(B4348)&lt;18),"Day Shift","Night Shift")</f>
        <v/>
      </c>
      <c r="F4348" s="11">
        <f>INT(B4348)</f>
        <v/>
      </c>
      <c r="G4348" s="11">
        <f>INT(C4348)</f>
        <v/>
      </c>
    </row>
    <row r="4349">
      <c r="A4349" s="2" t="inlineStr">
        <is>
          <t>EXD98;EXD408</t>
        </is>
      </c>
      <c r="B4349" s="3" t="n">
        <v>46157.25</v>
      </c>
      <c r="C4349" s="3" t="n">
        <v>46157.75</v>
      </c>
      <c r="D4349" s="4">
        <f>(C4349-B4349)*24</f>
        <v/>
      </c>
      <c r="E4349" s="5">
        <f>IF(AND(HOUR(B4349)&gt;=6,HOUR(B4349)&lt;18),"Day Shift","Night Shift")</f>
        <v/>
      </c>
      <c r="F4349" s="6">
        <f>INT(B4349)</f>
        <v/>
      </c>
      <c r="G4349" s="6">
        <f>INT(C4349)</f>
        <v/>
      </c>
    </row>
    <row r="4350">
      <c r="A4350" s="7" t="inlineStr">
        <is>
          <t>EXD98;EXD408</t>
        </is>
      </c>
      <c r="B4350" s="8" t="n">
        <v>46157.75</v>
      </c>
      <c r="C4350" s="8" t="n">
        <v>46158.25</v>
      </c>
      <c r="D4350" s="9">
        <f>(C4350-B4350)*24</f>
        <v/>
      </c>
      <c r="E4350" s="10">
        <f>IF(AND(HOUR(B4350)&gt;=6,HOUR(B4350)&lt;18),"Day Shift","Night Shift")</f>
        <v/>
      </c>
      <c r="F4350" s="11">
        <f>INT(B4350)</f>
        <v/>
      </c>
      <c r="G4350" s="11">
        <f>INT(C4350)</f>
        <v/>
      </c>
    </row>
    <row r="4351">
      <c r="A4351" s="2" t="inlineStr">
        <is>
          <t>EXD98;EXD408</t>
        </is>
      </c>
      <c r="B4351" s="3" t="n">
        <v>46158.25</v>
      </c>
      <c r="C4351" s="3" t="n">
        <v>46158.35096064815</v>
      </c>
      <c r="D4351" s="4">
        <f>(C4351-B4351)*24</f>
        <v/>
      </c>
      <c r="E4351" s="5">
        <f>IF(AND(HOUR(B4351)&gt;=6,HOUR(B4351)&lt;18),"Day Shift","Night Shift")</f>
        <v/>
      </c>
      <c r="F4351" s="6">
        <f>INT(B4351)</f>
        <v/>
      </c>
      <c r="G4351" s="6">
        <f>INT(C4351)</f>
        <v/>
      </c>
    </row>
    <row r="4352">
      <c r="A4352" s="7" t="inlineStr">
        <is>
          <t>EDD175;EDD1932;EDD2134;EDD812</t>
        </is>
      </c>
      <c r="B4352" s="8" t="n">
        <v>46098.14454861111</v>
      </c>
      <c r="C4352" s="8" t="n">
        <v>46098.25</v>
      </c>
      <c r="D4352" s="9">
        <f>(C4352-B4352)*24</f>
        <v/>
      </c>
      <c r="E4352" s="10">
        <f>IF(AND(HOUR(B4352)&gt;=6,HOUR(B4352)&lt;18),"Day Shift","Night Shift")</f>
        <v/>
      </c>
      <c r="F4352" s="11">
        <f>INT(B4352)</f>
        <v/>
      </c>
      <c r="G4352" s="11">
        <f>INT(C4352)</f>
        <v/>
      </c>
    </row>
    <row r="4353">
      <c r="A4353" s="2" t="inlineStr">
        <is>
          <t>EDD175;EDD1932;EDD2134;EDD812</t>
        </is>
      </c>
      <c r="B4353" s="3" t="n">
        <v>46098.25</v>
      </c>
      <c r="C4353" s="3" t="n">
        <v>46098.33689814815</v>
      </c>
      <c r="D4353" s="4">
        <f>(C4353-B4353)*24</f>
        <v/>
      </c>
      <c r="E4353" s="5">
        <f>IF(AND(HOUR(B4353)&gt;=6,HOUR(B4353)&lt;18),"Day Shift","Night Shift")</f>
        <v/>
      </c>
      <c r="F4353" s="6">
        <f>INT(B4353)</f>
        <v/>
      </c>
      <c r="G4353" s="6">
        <f>INT(C4353)</f>
        <v/>
      </c>
    </row>
    <row r="4354">
      <c r="A4354" s="7" t="inlineStr">
        <is>
          <t>EXD100</t>
        </is>
      </c>
      <c r="B4354" s="8" t="n">
        <v>46098.1571412037</v>
      </c>
      <c r="C4354" s="8" t="n">
        <v>46098.25</v>
      </c>
      <c r="D4354" s="9">
        <f>(C4354-B4354)*24</f>
        <v/>
      </c>
      <c r="E4354" s="10">
        <f>IF(AND(HOUR(B4354)&gt;=6,HOUR(B4354)&lt;18),"Day Shift","Night Shift")</f>
        <v/>
      </c>
      <c r="F4354" s="11">
        <f>INT(B4354)</f>
        <v/>
      </c>
      <c r="G4354" s="11">
        <f>INT(C4354)</f>
        <v/>
      </c>
    </row>
    <row r="4355">
      <c r="A4355" s="2" t="inlineStr">
        <is>
          <t>EXD100</t>
        </is>
      </c>
      <c r="B4355" s="3" t="n">
        <v>46098.25</v>
      </c>
      <c r="C4355" s="3" t="n">
        <v>46098.75</v>
      </c>
      <c r="D4355" s="4">
        <f>(C4355-B4355)*24</f>
        <v/>
      </c>
      <c r="E4355" s="5">
        <f>IF(AND(HOUR(B4355)&gt;=6,HOUR(B4355)&lt;18),"Day Shift","Night Shift")</f>
        <v/>
      </c>
      <c r="F4355" s="6">
        <f>INT(B4355)</f>
        <v/>
      </c>
      <c r="G4355" s="6">
        <f>INT(C4355)</f>
        <v/>
      </c>
    </row>
    <row r="4356">
      <c r="A4356" s="7" t="inlineStr">
        <is>
          <t>EXD100</t>
        </is>
      </c>
      <c r="B4356" s="8" t="n">
        <v>46098.75</v>
      </c>
      <c r="C4356" s="8" t="n">
        <v>46099.14138888889</v>
      </c>
      <c r="D4356" s="9">
        <f>(C4356-B4356)*24</f>
        <v/>
      </c>
      <c r="E4356" s="10">
        <f>IF(AND(HOUR(B4356)&gt;=6,HOUR(B4356)&lt;18),"Day Shift","Night Shift")</f>
        <v/>
      </c>
      <c r="F4356" s="11">
        <f>INT(B4356)</f>
        <v/>
      </c>
      <c r="G4356" s="11">
        <f>INT(C4356)</f>
        <v/>
      </c>
    </row>
    <row r="4357">
      <c r="A4357" s="7" t="inlineStr">
        <is>
          <t>LDW262</t>
        </is>
      </c>
      <c r="B4357" s="8" t="n">
        <v>46098.19465277778</v>
      </c>
      <c r="C4357" s="8" t="n">
        <v>46098.25</v>
      </c>
      <c r="D4357" s="9">
        <f>(C4357-B4357)*24</f>
        <v/>
      </c>
      <c r="E4357" s="10">
        <f>IF(AND(HOUR(B4357)&gt;=6,HOUR(B4357)&lt;18),"Day Shift","Night Shift")</f>
        <v/>
      </c>
      <c r="F4357" s="11">
        <f>INT(B4357)</f>
        <v/>
      </c>
      <c r="G4357" s="11">
        <f>INT(C4357)</f>
        <v/>
      </c>
    </row>
    <row r="4358">
      <c r="A4358" s="2" t="inlineStr">
        <is>
          <t>LDW262</t>
        </is>
      </c>
      <c r="B4358" s="3" t="n">
        <v>46098.25</v>
      </c>
      <c r="C4358" s="3" t="n">
        <v>46098.67120370371</v>
      </c>
      <c r="D4358" s="4">
        <f>(C4358-B4358)*24</f>
        <v/>
      </c>
      <c r="E4358" s="5">
        <f>IF(AND(HOUR(B4358)&gt;=6,HOUR(B4358)&lt;18),"Day Shift","Night Shift")</f>
        <v/>
      </c>
      <c r="F4358" s="6">
        <f>INT(B4358)</f>
        <v/>
      </c>
      <c r="G4358" s="6">
        <f>INT(C4358)</f>
        <v/>
      </c>
    </row>
    <row r="4359">
      <c r="A4359" s="2" t="inlineStr">
        <is>
          <t>Sprint 1</t>
        </is>
      </c>
      <c r="B4359" s="3" t="n">
        <v>46098.2932175926</v>
      </c>
      <c r="C4359" s="3" t="n">
        <v>46098.75</v>
      </c>
      <c r="D4359" s="4">
        <f>(C4359-B4359)*24</f>
        <v/>
      </c>
      <c r="E4359" s="5">
        <f>IF(AND(HOUR(B4359)&gt;=6,HOUR(B4359)&lt;18),"Day Shift","Night Shift")</f>
        <v/>
      </c>
      <c r="F4359" s="6">
        <f>INT(B4359)</f>
        <v/>
      </c>
      <c r="G4359" s="6">
        <f>INT(C4359)</f>
        <v/>
      </c>
    </row>
    <row r="4360">
      <c r="A4360" s="7" t="inlineStr">
        <is>
          <t>Sprint 1</t>
        </is>
      </c>
      <c r="B4360" s="8" t="n">
        <v>46098.75</v>
      </c>
      <c r="C4360" s="8" t="n">
        <v>46098.7765625</v>
      </c>
      <c r="D4360" s="9">
        <f>(C4360-B4360)*24</f>
        <v/>
      </c>
      <c r="E4360" s="10">
        <f>IF(AND(HOUR(B4360)&gt;=6,HOUR(B4360)&lt;18),"Day Shift","Night Shift")</f>
        <v/>
      </c>
      <c r="F4360" s="11">
        <f>INT(B4360)</f>
        <v/>
      </c>
      <c r="G4360" s="11">
        <f>INT(C4360)</f>
        <v/>
      </c>
    </row>
    <row r="4361">
      <c r="A4361" s="2" t="inlineStr">
        <is>
          <t>EXD52</t>
        </is>
      </c>
      <c r="B4361" s="3" t="n">
        <v>46098.29908564815</v>
      </c>
      <c r="C4361" s="3" t="n">
        <v>46098.75</v>
      </c>
      <c r="D4361" s="4">
        <f>(C4361-B4361)*24</f>
        <v/>
      </c>
      <c r="E4361" s="5">
        <f>IF(AND(HOUR(B4361)&gt;=6,HOUR(B4361)&lt;18),"Day Shift","Night Shift")</f>
        <v/>
      </c>
      <c r="F4361" s="6">
        <f>INT(B4361)</f>
        <v/>
      </c>
      <c r="G4361" s="6">
        <f>INT(C4361)</f>
        <v/>
      </c>
    </row>
    <row r="4362">
      <c r="A4362" s="7" t="inlineStr">
        <is>
          <t>EXD52</t>
        </is>
      </c>
      <c r="B4362" s="8" t="n">
        <v>46098.75</v>
      </c>
      <c r="C4362" s="8" t="n">
        <v>46099.25</v>
      </c>
      <c r="D4362" s="9">
        <f>(C4362-B4362)*24</f>
        <v/>
      </c>
      <c r="E4362" s="10">
        <f>IF(AND(HOUR(B4362)&gt;=6,HOUR(B4362)&lt;18),"Day Shift","Night Shift")</f>
        <v/>
      </c>
      <c r="F4362" s="11">
        <f>INT(B4362)</f>
        <v/>
      </c>
      <c r="G4362" s="11">
        <f>INT(C4362)</f>
        <v/>
      </c>
    </row>
    <row r="4363">
      <c r="A4363" s="2" t="inlineStr">
        <is>
          <t>EXD52</t>
        </is>
      </c>
      <c r="B4363" s="3" t="n">
        <v>46099.25</v>
      </c>
      <c r="C4363" s="3" t="n">
        <v>46099.75</v>
      </c>
      <c r="D4363" s="4">
        <f>(C4363-B4363)*24</f>
        <v/>
      </c>
      <c r="E4363" s="5">
        <f>IF(AND(HOUR(B4363)&gt;=6,HOUR(B4363)&lt;18),"Day Shift","Night Shift")</f>
        <v/>
      </c>
      <c r="F4363" s="6">
        <f>INT(B4363)</f>
        <v/>
      </c>
      <c r="G4363" s="6">
        <f>INT(C4363)</f>
        <v/>
      </c>
    </row>
    <row r="4364">
      <c r="A4364" s="7" t="inlineStr">
        <is>
          <t>EXD52</t>
        </is>
      </c>
      <c r="B4364" s="8" t="n">
        <v>46099.75</v>
      </c>
      <c r="C4364" s="8" t="n">
        <v>46099.86160879629</v>
      </c>
      <c r="D4364" s="9">
        <f>(C4364-B4364)*24</f>
        <v/>
      </c>
      <c r="E4364" s="10">
        <f>IF(AND(HOUR(B4364)&gt;=6,HOUR(B4364)&lt;18),"Day Shift","Night Shift")</f>
        <v/>
      </c>
      <c r="F4364" s="11">
        <f>INT(B4364)</f>
        <v/>
      </c>
      <c r="G4364" s="11">
        <f>INT(C4364)</f>
        <v/>
      </c>
    </row>
    <row r="4365">
      <c r="A4365" s="2" t="inlineStr">
        <is>
          <t>EXD407</t>
        </is>
      </c>
      <c r="B4365" s="3" t="n">
        <v>46098.30810185185</v>
      </c>
      <c r="C4365" s="3" t="n">
        <v>46098.75</v>
      </c>
      <c r="D4365" s="4">
        <f>(C4365-B4365)*24</f>
        <v/>
      </c>
      <c r="E4365" s="5">
        <f>IF(AND(HOUR(B4365)&gt;=6,HOUR(B4365)&lt;18),"Day Shift","Night Shift")</f>
        <v/>
      </c>
      <c r="F4365" s="6">
        <f>INT(B4365)</f>
        <v/>
      </c>
      <c r="G4365" s="6">
        <f>INT(C4365)</f>
        <v/>
      </c>
    </row>
    <row r="4366">
      <c r="A4366" s="7" t="inlineStr">
        <is>
          <t>EXD407</t>
        </is>
      </c>
      <c r="B4366" s="8" t="n">
        <v>46098.75</v>
      </c>
      <c r="C4366" s="8" t="n">
        <v>46099.25</v>
      </c>
      <c r="D4366" s="9">
        <f>(C4366-B4366)*24</f>
        <v/>
      </c>
      <c r="E4366" s="10">
        <f>IF(AND(HOUR(B4366)&gt;=6,HOUR(B4366)&lt;18),"Day Shift","Night Shift")</f>
        <v/>
      </c>
      <c r="F4366" s="11">
        <f>INT(B4366)</f>
        <v/>
      </c>
      <c r="G4366" s="11">
        <f>INT(C4366)</f>
        <v/>
      </c>
    </row>
    <row r="4367">
      <c r="A4367" s="2" t="inlineStr">
        <is>
          <t>EXD407</t>
        </is>
      </c>
      <c r="B4367" s="3" t="n">
        <v>46099.25</v>
      </c>
      <c r="C4367" s="3" t="n">
        <v>46099.75</v>
      </c>
      <c r="D4367" s="4">
        <f>(C4367-B4367)*24</f>
        <v/>
      </c>
      <c r="E4367" s="5">
        <f>IF(AND(HOUR(B4367)&gt;=6,HOUR(B4367)&lt;18),"Day Shift","Night Shift")</f>
        <v/>
      </c>
      <c r="F4367" s="6">
        <f>INT(B4367)</f>
        <v/>
      </c>
      <c r="G4367" s="6">
        <f>INT(C4367)</f>
        <v/>
      </c>
    </row>
    <row r="4368">
      <c r="A4368" s="7" t="inlineStr">
        <is>
          <t>EXD407</t>
        </is>
      </c>
      <c r="B4368" s="8" t="n">
        <v>46099.75</v>
      </c>
      <c r="C4368" s="8" t="n">
        <v>46099.79851851852</v>
      </c>
      <c r="D4368" s="9">
        <f>(C4368-B4368)*24</f>
        <v/>
      </c>
      <c r="E4368" s="10">
        <f>IF(AND(HOUR(B4368)&gt;=6,HOUR(B4368)&lt;18),"Day Shift","Night Shift")</f>
        <v/>
      </c>
      <c r="F4368" s="11">
        <f>INT(B4368)</f>
        <v/>
      </c>
      <c r="G4368" s="11">
        <f>INT(C4368)</f>
        <v/>
      </c>
    </row>
    <row r="4369">
      <c r="A4369" s="2" t="inlineStr">
        <is>
          <t>SHE36</t>
        </is>
      </c>
      <c r="B4369" s="3" t="n">
        <v>46098.31664351852</v>
      </c>
      <c r="C4369" s="3" t="n">
        <v>46098.75</v>
      </c>
      <c r="D4369" s="4">
        <f>(C4369-B4369)*24</f>
        <v/>
      </c>
      <c r="E4369" s="5">
        <f>IF(AND(HOUR(B4369)&gt;=6,HOUR(B4369)&lt;18),"Day Shift","Night Shift")</f>
        <v/>
      </c>
      <c r="F4369" s="6">
        <f>INT(B4369)</f>
        <v/>
      </c>
      <c r="G4369" s="6">
        <f>INT(C4369)</f>
        <v/>
      </c>
    </row>
    <row r="4370">
      <c r="A4370" s="7" t="inlineStr">
        <is>
          <t>SHE36</t>
        </is>
      </c>
      <c r="B4370" s="8" t="n">
        <v>46098.75</v>
      </c>
      <c r="C4370" s="8" t="n">
        <v>46099.25</v>
      </c>
      <c r="D4370" s="9">
        <f>(C4370-B4370)*24</f>
        <v/>
      </c>
      <c r="E4370" s="10">
        <f>IF(AND(HOUR(B4370)&gt;=6,HOUR(B4370)&lt;18),"Day Shift","Night Shift")</f>
        <v/>
      </c>
      <c r="F4370" s="11">
        <f>INT(B4370)</f>
        <v/>
      </c>
      <c r="G4370" s="11">
        <f>INT(C4370)</f>
        <v/>
      </c>
    </row>
    <row r="4371">
      <c r="A4371" s="2" t="inlineStr">
        <is>
          <t>SHE36</t>
        </is>
      </c>
      <c r="B4371" s="3" t="n">
        <v>46099.25</v>
      </c>
      <c r="C4371" s="3" t="n">
        <v>46099.75</v>
      </c>
      <c r="D4371" s="4">
        <f>(C4371-B4371)*24</f>
        <v/>
      </c>
      <c r="E4371" s="5">
        <f>IF(AND(HOUR(B4371)&gt;=6,HOUR(B4371)&lt;18),"Day Shift","Night Shift")</f>
        <v/>
      </c>
      <c r="F4371" s="6">
        <f>INT(B4371)</f>
        <v/>
      </c>
      <c r="G4371" s="6">
        <f>INT(C4371)</f>
        <v/>
      </c>
    </row>
    <row r="4372">
      <c r="A4372" s="7" t="inlineStr">
        <is>
          <t>SHE36</t>
        </is>
      </c>
      <c r="B4372" s="8" t="n">
        <v>46099.75</v>
      </c>
      <c r="C4372" s="8" t="n">
        <v>46100.25</v>
      </c>
      <c r="D4372" s="9">
        <f>(C4372-B4372)*24</f>
        <v/>
      </c>
      <c r="E4372" s="10">
        <f>IF(AND(HOUR(B4372)&gt;=6,HOUR(B4372)&lt;18),"Day Shift","Night Shift")</f>
        <v/>
      </c>
      <c r="F4372" s="11">
        <f>INT(B4372)</f>
        <v/>
      </c>
      <c r="G4372" s="11">
        <f>INT(C4372)</f>
        <v/>
      </c>
    </row>
    <row r="4373">
      <c r="A4373" s="2" t="inlineStr">
        <is>
          <t>SHE36</t>
        </is>
      </c>
      <c r="B4373" s="3" t="n">
        <v>46100.25</v>
      </c>
      <c r="C4373" s="3" t="n">
        <v>46100.75</v>
      </c>
      <c r="D4373" s="4">
        <f>(C4373-B4373)*24</f>
        <v/>
      </c>
      <c r="E4373" s="5">
        <f>IF(AND(HOUR(B4373)&gt;=6,HOUR(B4373)&lt;18),"Day Shift","Night Shift")</f>
        <v/>
      </c>
      <c r="F4373" s="6">
        <f>INT(B4373)</f>
        <v/>
      </c>
      <c r="G4373" s="6">
        <f>INT(C4373)</f>
        <v/>
      </c>
    </row>
    <row r="4374">
      <c r="A4374" s="7" t="inlineStr">
        <is>
          <t>SHE36</t>
        </is>
      </c>
      <c r="B4374" s="8" t="n">
        <v>46100.75</v>
      </c>
      <c r="C4374" s="8" t="n">
        <v>46101.25</v>
      </c>
      <c r="D4374" s="9">
        <f>(C4374-B4374)*24</f>
        <v/>
      </c>
      <c r="E4374" s="10">
        <f>IF(AND(HOUR(B4374)&gt;=6,HOUR(B4374)&lt;18),"Day Shift","Night Shift")</f>
        <v/>
      </c>
      <c r="F4374" s="11">
        <f>INT(B4374)</f>
        <v/>
      </c>
      <c r="G4374" s="11">
        <f>INT(C4374)</f>
        <v/>
      </c>
    </row>
    <row r="4375">
      <c r="A4375" s="2" t="inlineStr">
        <is>
          <t>SHE36</t>
        </is>
      </c>
      <c r="B4375" s="3" t="n">
        <v>46101.25</v>
      </c>
      <c r="C4375" s="3" t="n">
        <v>46101.75</v>
      </c>
      <c r="D4375" s="4">
        <f>(C4375-B4375)*24</f>
        <v/>
      </c>
      <c r="E4375" s="5">
        <f>IF(AND(HOUR(B4375)&gt;=6,HOUR(B4375)&lt;18),"Day Shift","Night Shift")</f>
        <v/>
      </c>
      <c r="F4375" s="6">
        <f>INT(B4375)</f>
        <v/>
      </c>
      <c r="G4375" s="6">
        <f>INT(C4375)</f>
        <v/>
      </c>
    </row>
    <row r="4376">
      <c r="A4376" s="7" t="inlineStr">
        <is>
          <t>SHE36</t>
        </is>
      </c>
      <c r="B4376" s="8" t="n">
        <v>46101.75</v>
      </c>
      <c r="C4376" s="8" t="n">
        <v>46102.25</v>
      </c>
      <c r="D4376" s="9">
        <f>(C4376-B4376)*24</f>
        <v/>
      </c>
      <c r="E4376" s="10">
        <f>IF(AND(HOUR(B4376)&gt;=6,HOUR(B4376)&lt;18),"Day Shift","Night Shift")</f>
        <v/>
      </c>
      <c r="F4376" s="11">
        <f>INT(B4376)</f>
        <v/>
      </c>
      <c r="G4376" s="11">
        <f>INT(C4376)</f>
        <v/>
      </c>
    </row>
    <row r="4377">
      <c r="A4377" s="2" t="inlineStr">
        <is>
          <t>SHE36</t>
        </is>
      </c>
      <c r="B4377" s="3" t="n">
        <v>46102.25</v>
      </c>
      <c r="C4377" s="3" t="n">
        <v>46102.49060185185</v>
      </c>
      <c r="D4377" s="4">
        <f>(C4377-B4377)*24</f>
        <v/>
      </c>
      <c r="E4377" s="5">
        <f>IF(AND(HOUR(B4377)&gt;=6,HOUR(B4377)&lt;18),"Day Shift","Night Shift")</f>
        <v/>
      </c>
      <c r="F4377" s="6">
        <f>INT(B4377)</f>
        <v/>
      </c>
      <c r="G4377" s="6">
        <f>INT(C4377)</f>
        <v/>
      </c>
    </row>
    <row r="4378">
      <c r="A4378" s="2" t="inlineStr">
        <is>
          <t>EXD408</t>
        </is>
      </c>
      <c r="B4378" s="3" t="n">
        <v>46098.32682870371</v>
      </c>
      <c r="C4378" s="3" t="n">
        <v>46098.75</v>
      </c>
      <c r="D4378" s="4">
        <f>(C4378-B4378)*24</f>
        <v/>
      </c>
      <c r="E4378" s="5">
        <f>IF(AND(HOUR(B4378)&gt;=6,HOUR(B4378)&lt;18),"Day Shift","Night Shift")</f>
        <v/>
      </c>
      <c r="F4378" s="6">
        <f>INT(B4378)</f>
        <v/>
      </c>
      <c r="G4378" s="6">
        <f>INT(C4378)</f>
        <v/>
      </c>
    </row>
    <row r="4379">
      <c r="A4379" s="7" t="inlineStr">
        <is>
          <t>EXD408</t>
        </is>
      </c>
      <c r="B4379" s="8" t="n">
        <v>46098.75</v>
      </c>
      <c r="C4379" s="8" t="n">
        <v>46098.86590277778</v>
      </c>
      <c r="D4379" s="9">
        <f>(C4379-B4379)*24</f>
        <v/>
      </c>
      <c r="E4379" s="10">
        <f>IF(AND(HOUR(B4379)&gt;=6,HOUR(B4379)&lt;18),"Day Shift","Night Shift")</f>
        <v/>
      </c>
      <c r="F4379" s="11">
        <f>INT(B4379)</f>
        <v/>
      </c>
      <c r="G4379" s="11">
        <f>INT(C4379)</f>
        <v/>
      </c>
    </row>
    <row r="4380">
      <c r="A4380" s="2" t="inlineStr">
        <is>
          <t>EDD175;EDD1932;EDD2134;EDD812</t>
        </is>
      </c>
      <c r="B4380" s="3" t="n">
        <v>46098.33689814815</v>
      </c>
      <c r="C4380" s="3" t="n">
        <v>46098.53285879629</v>
      </c>
      <c r="D4380" s="4">
        <f>(C4380-B4380)*24</f>
        <v/>
      </c>
      <c r="E4380" s="5">
        <f>IF(AND(HOUR(B4380)&gt;=6,HOUR(B4380)&lt;18),"Day Shift","Night Shift")</f>
        <v/>
      </c>
      <c r="F4380" s="6">
        <f>INT(B4380)</f>
        <v/>
      </c>
      <c r="G4380" s="6">
        <f>INT(C4380)</f>
        <v/>
      </c>
    </row>
    <row r="4381">
      <c r="A4381" s="2" t="inlineStr">
        <is>
          <t>EDD175;EDD1932;EDD2134;EDD812</t>
        </is>
      </c>
      <c r="B4381" s="3" t="n">
        <v>46098.53285879629</v>
      </c>
      <c r="C4381" s="3" t="n">
        <v>46098.725625</v>
      </c>
      <c r="D4381" s="4">
        <f>(C4381-B4381)*24</f>
        <v/>
      </c>
      <c r="E4381" s="5">
        <f>IF(AND(HOUR(B4381)&gt;=6,HOUR(B4381)&lt;18),"Day Shift","Night Shift")</f>
        <v/>
      </c>
      <c r="F4381" s="6">
        <f>INT(B4381)</f>
        <v/>
      </c>
      <c r="G4381" s="6">
        <f>INT(C4381)</f>
        <v/>
      </c>
    </row>
    <row r="4382">
      <c r="A4382" s="2" t="inlineStr">
        <is>
          <t>LDW262</t>
        </is>
      </c>
      <c r="B4382" s="3" t="n">
        <v>46098.67120370371</v>
      </c>
      <c r="C4382" s="3" t="n">
        <v>46098.75</v>
      </c>
      <c r="D4382" s="4">
        <f>(C4382-B4382)*24</f>
        <v/>
      </c>
      <c r="E4382" s="5">
        <f>IF(AND(HOUR(B4382)&gt;=6,HOUR(B4382)&lt;18),"Day Shift","Night Shift")</f>
        <v/>
      </c>
      <c r="F4382" s="6">
        <f>INT(B4382)</f>
        <v/>
      </c>
      <c r="G4382" s="6">
        <f>INT(C4382)</f>
        <v/>
      </c>
    </row>
    <row r="4383">
      <c r="A4383" s="7" t="inlineStr">
        <is>
          <t>LDW262</t>
        </is>
      </c>
      <c r="B4383" s="8" t="n">
        <v>46098.75</v>
      </c>
      <c r="C4383" s="8" t="n">
        <v>46099.25</v>
      </c>
      <c r="D4383" s="9">
        <f>(C4383-B4383)*24</f>
        <v/>
      </c>
      <c r="E4383" s="10">
        <f>IF(AND(HOUR(B4383)&gt;=6,HOUR(B4383)&lt;18),"Day Shift","Night Shift")</f>
        <v/>
      </c>
      <c r="F4383" s="11">
        <f>INT(B4383)</f>
        <v/>
      </c>
      <c r="G4383" s="11">
        <f>INT(C4383)</f>
        <v/>
      </c>
    </row>
    <row r="4384">
      <c r="A4384" s="2" t="inlineStr">
        <is>
          <t>LDW262</t>
        </is>
      </c>
      <c r="B4384" s="3" t="n">
        <v>46099.25</v>
      </c>
      <c r="C4384" s="3" t="n">
        <v>46099.75</v>
      </c>
      <c r="D4384" s="4">
        <f>(C4384-B4384)*24</f>
        <v/>
      </c>
      <c r="E4384" s="5">
        <f>IF(AND(HOUR(B4384)&gt;=6,HOUR(B4384)&lt;18),"Day Shift","Night Shift")</f>
        <v/>
      </c>
      <c r="F4384" s="6">
        <f>INT(B4384)</f>
        <v/>
      </c>
      <c r="G4384" s="6">
        <f>INT(C4384)</f>
        <v/>
      </c>
    </row>
    <row r="4385">
      <c r="A4385" s="7" t="inlineStr">
        <is>
          <t>LDW262</t>
        </is>
      </c>
      <c r="B4385" s="8" t="n">
        <v>46099.75</v>
      </c>
      <c r="C4385" s="8" t="n">
        <v>46099.90525462963</v>
      </c>
      <c r="D4385" s="9">
        <f>(C4385-B4385)*24</f>
        <v/>
      </c>
      <c r="E4385" s="10">
        <f>IF(AND(HOUR(B4385)&gt;=6,HOUR(B4385)&lt;18),"Day Shift","Night Shift")</f>
        <v/>
      </c>
      <c r="F4385" s="11">
        <f>INT(B4385)</f>
        <v/>
      </c>
      <c r="G4385" s="11">
        <f>INT(C4385)</f>
        <v/>
      </c>
    </row>
    <row r="4386">
      <c r="A4386" s="2" t="inlineStr">
        <is>
          <t>EDD175;EDD1932;EDD2134;EDD812</t>
        </is>
      </c>
      <c r="B4386" s="3" t="n">
        <v>46098.725625</v>
      </c>
      <c r="C4386" s="3" t="n">
        <v>46098.75</v>
      </c>
      <c r="D4386" s="4">
        <f>(C4386-B4386)*24</f>
        <v/>
      </c>
      <c r="E4386" s="5">
        <f>IF(AND(HOUR(B4386)&gt;=6,HOUR(B4386)&lt;18),"Day Shift","Night Shift")</f>
        <v/>
      </c>
      <c r="F4386" s="6">
        <f>INT(B4386)</f>
        <v/>
      </c>
      <c r="G4386" s="6">
        <f>INT(C4386)</f>
        <v/>
      </c>
    </row>
    <row r="4387">
      <c r="A4387" s="7" t="inlineStr">
        <is>
          <t>EDD175;EDD1932;EDD2134;EDD812</t>
        </is>
      </c>
      <c r="B4387" s="8" t="n">
        <v>46098.75</v>
      </c>
      <c r="C4387" s="8" t="n">
        <v>46098.90907407407</v>
      </c>
      <c r="D4387" s="9">
        <f>(C4387-B4387)*24</f>
        <v/>
      </c>
      <c r="E4387" s="10">
        <f>IF(AND(HOUR(B4387)&gt;=6,HOUR(B4387)&lt;18),"Day Shift","Night Shift")</f>
        <v/>
      </c>
      <c r="F4387" s="11">
        <f>INT(B4387)</f>
        <v/>
      </c>
      <c r="G4387" s="11">
        <f>INT(C4387)</f>
        <v/>
      </c>
    </row>
    <row r="4388">
      <c r="A4388" s="7" t="inlineStr">
        <is>
          <t>Sprint 1</t>
        </is>
      </c>
      <c r="B4388" s="8" t="n">
        <v>46098.7765625</v>
      </c>
      <c r="C4388" s="8" t="n">
        <v>46099.23793981481</v>
      </c>
      <c r="D4388" s="9">
        <f>(C4388-B4388)*24</f>
        <v/>
      </c>
      <c r="E4388" s="10">
        <f>IF(AND(HOUR(B4388)&gt;=6,HOUR(B4388)&lt;18),"Day Shift","Night Shift")</f>
        <v/>
      </c>
      <c r="F4388" s="11">
        <f>INT(B4388)</f>
        <v/>
      </c>
      <c r="G4388" s="11">
        <f>INT(C4388)</f>
        <v/>
      </c>
    </row>
    <row r="4389">
      <c r="A4389" s="7" t="inlineStr">
        <is>
          <t>EXD98</t>
        </is>
      </c>
      <c r="B4389" s="8" t="n">
        <v>46098.78730324074</v>
      </c>
      <c r="C4389" s="8" t="n">
        <v>46099.25</v>
      </c>
      <c r="D4389" s="9">
        <f>(C4389-B4389)*24</f>
        <v/>
      </c>
      <c r="E4389" s="10">
        <f>IF(AND(HOUR(B4389)&gt;=6,HOUR(B4389)&lt;18),"Day Shift","Night Shift")</f>
        <v/>
      </c>
      <c r="F4389" s="11">
        <f>INT(B4389)</f>
        <v/>
      </c>
      <c r="G4389" s="11">
        <f>INT(C4389)</f>
        <v/>
      </c>
    </row>
    <row r="4390">
      <c r="A4390" s="2" t="inlineStr">
        <is>
          <t>EXD98</t>
        </is>
      </c>
      <c r="B4390" s="3" t="n">
        <v>46099.25</v>
      </c>
      <c r="C4390" s="3" t="n">
        <v>46099.4325</v>
      </c>
      <c r="D4390" s="4">
        <f>(C4390-B4390)*24</f>
        <v/>
      </c>
      <c r="E4390" s="5">
        <f>IF(AND(HOUR(B4390)&gt;=6,HOUR(B4390)&lt;18),"Day Shift","Night Shift")</f>
        <v/>
      </c>
      <c r="F4390" s="6">
        <f>INT(B4390)</f>
        <v/>
      </c>
      <c r="G4390" s="6">
        <f>INT(C4390)</f>
        <v/>
      </c>
    </row>
    <row r="4391">
      <c r="A4391" s="7" t="inlineStr">
        <is>
          <t>EXD60</t>
        </is>
      </c>
      <c r="B4391" s="8" t="n">
        <v>46098.78834490741</v>
      </c>
      <c r="C4391" s="8" t="n">
        <v>46099.25</v>
      </c>
      <c r="D4391" s="9">
        <f>(C4391-B4391)*24</f>
        <v/>
      </c>
      <c r="E4391" s="10">
        <f>IF(AND(HOUR(B4391)&gt;=6,HOUR(B4391)&lt;18),"Day Shift","Night Shift")</f>
        <v/>
      </c>
      <c r="F4391" s="11">
        <f>INT(B4391)</f>
        <v/>
      </c>
      <c r="G4391" s="11">
        <f>INT(C4391)</f>
        <v/>
      </c>
    </row>
    <row r="4392">
      <c r="A4392" s="2" t="inlineStr">
        <is>
          <t>EXD60</t>
        </is>
      </c>
      <c r="B4392" s="3" t="n">
        <v>46099.25</v>
      </c>
      <c r="C4392" s="3" t="n">
        <v>46099.75</v>
      </c>
      <c r="D4392" s="4">
        <f>(C4392-B4392)*24</f>
        <v/>
      </c>
      <c r="E4392" s="5">
        <f>IF(AND(HOUR(B4392)&gt;=6,HOUR(B4392)&lt;18),"Day Shift","Night Shift")</f>
        <v/>
      </c>
      <c r="F4392" s="6">
        <f>INT(B4392)</f>
        <v/>
      </c>
      <c r="G4392" s="6">
        <f>INT(C4392)</f>
        <v/>
      </c>
    </row>
    <row r="4393">
      <c r="A4393" s="7" t="inlineStr">
        <is>
          <t>EXD60</t>
        </is>
      </c>
      <c r="B4393" s="8" t="n">
        <v>46099.75</v>
      </c>
      <c r="C4393" s="8" t="n">
        <v>46100.25</v>
      </c>
      <c r="D4393" s="9">
        <f>(C4393-B4393)*24</f>
        <v/>
      </c>
      <c r="E4393" s="10">
        <f>IF(AND(HOUR(B4393)&gt;=6,HOUR(B4393)&lt;18),"Day Shift","Night Shift")</f>
        <v/>
      </c>
      <c r="F4393" s="11">
        <f>INT(B4393)</f>
        <v/>
      </c>
      <c r="G4393" s="11">
        <f>INT(C4393)</f>
        <v/>
      </c>
    </row>
    <row r="4394">
      <c r="A4394" s="2" t="inlineStr">
        <is>
          <t>EXD60</t>
        </is>
      </c>
      <c r="B4394" s="3" t="n">
        <v>46100.25</v>
      </c>
      <c r="C4394" s="3" t="n">
        <v>46100.27943287037</v>
      </c>
      <c r="D4394" s="4">
        <f>(C4394-B4394)*24</f>
        <v/>
      </c>
      <c r="E4394" s="5">
        <f>IF(AND(HOUR(B4394)&gt;=6,HOUR(B4394)&lt;18),"Day Shift","Night Shift")</f>
        <v/>
      </c>
      <c r="F4394" s="6">
        <f>INT(B4394)</f>
        <v/>
      </c>
      <c r="G4394" s="6">
        <f>INT(C4394)</f>
        <v/>
      </c>
    </row>
    <row r="4395">
      <c r="A4395" s="7" t="inlineStr">
        <is>
          <t>EDD175;EDD1932;EDD2134;EDD812</t>
        </is>
      </c>
      <c r="B4395" s="8" t="n">
        <v>46098.90907407407</v>
      </c>
      <c r="C4395" s="8" t="n">
        <v>46099.09487268519</v>
      </c>
      <c r="D4395" s="9">
        <f>(C4395-B4395)*24</f>
        <v/>
      </c>
      <c r="E4395" s="10">
        <f>IF(AND(HOUR(B4395)&gt;=6,HOUR(B4395)&lt;18),"Day Shift","Night Shift")</f>
        <v/>
      </c>
      <c r="F4395" s="11">
        <f>INT(B4395)</f>
        <v/>
      </c>
      <c r="G4395" s="11">
        <f>INT(C4395)</f>
        <v/>
      </c>
    </row>
    <row r="4396">
      <c r="A4396" s="7" t="inlineStr">
        <is>
          <t>EXD408</t>
        </is>
      </c>
      <c r="B4396" s="8" t="n">
        <v>46098.96179398148</v>
      </c>
      <c r="C4396" s="8" t="n">
        <v>46099.25</v>
      </c>
      <c r="D4396" s="9">
        <f>(C4396-B4396)*24</f>
        <v/>
      </c>
      <c r="E4396" s="10">
        <f>IF(AND(HOUR(B4396)&gt;=6,HOUR(B4396)&lt;18),"Day Shift","Night Shift")</f>
        <v/>
      </c>
      <c r="F4396" s="11">
        <f>INT(B4396)</f>
        <v/>
      </c>
      <c r="G4396" s="11">
        <f>INT(C4396)</f>
        <v/>
      </c>
    </row>
    <row r="4397">
      <c r="A4397" s="2" t="inlineStr">
        <is>
          <t>EXD408</t>
        </is>
      </c>
      <c r="B4397" s="3" t="n">
        <v>46099.25</v>
      </c>
      <c r="C4397" s="3" t="n">
        <v>46099.5971412037</v>
      </c>
      <c r="D4397" s="4">
        <f>(C4397-B4397)*24</f>
        <v/>
      </c>
      <c r="E4397" s="5">
        <f>IF(AND(HOUR(B4397)&gt;=6,HOUR(B4397)&lt;18),"Day Shift","Night Shift")</f>
        <v/>
      </c>
      <c r="F4397" s="6">
        <f>INT(B4397)</f>
        <v/>
      </c>
      <c r="G4397" s="6">
        <f>INT(C4397)</f>
        <v/>
      </c>
    </row>
    <row r="4398">
      <c r="A4398" s="7" t="inlineStr">
        <is>
          <t>EXD55</t>
        </is>
      </c>
      <c r="B4398" s="8" t="n">
        <v>46099.07395833333</v>
      </c>
      <c r="C4398" s="8" t="n">
        <v>46099.25</v>
      </c>
      <c r="D4398" s="9">
        <f>(C4398-B4398)*24</f>
        <v/>
      </c>
      <c r="E4398" s="10">
        <f>IF(AND(HOUR(B4398)&gt;=6,HOUR(B4398)&lt;18),"Day Shift","Night Shift")</f>
        <v/>
      </c>
      <c r="F4398" s="11">
        <f>INT(B4398)</f>
        <v/>
      </c>
      <c r="G4398" s="11">
        <f>INT(C4398)</f>
        <v/>
      </c>
    </row>
    <row r="4399">
      <c r="A4399" s="2" t="inlineStr">
        <is>
          <t>EXD55</t>
        </is>
      </c>
      <c r="B4399" s="3" t="n">
        <v>46099.25</v>
      </c>
      <c r="C4399" s="3" t="n">
        <v>46099.61740740741</v>
      </c>
      <c r="D4399" s="4">
        <f>(C4399-B4399)*24</f>
        <v/>
      </c>
      <c r="E4399" s="5">
        <f>IF(AND(HOUR(B4399)&gt;=6,HOUR(B4399)&lt;18),"Day Shift","Night Shift")</f>
        <v/>
      </c>
      <c r="F4399" s="6">
        <f>INT(B4399)</f>
        <v/>
      </c>
      <c r="G4399" s="6">
        <f>INT(C4399)</f>
        <v/>
      </c>
    </row>
    <row r="4400">
      <c r="A4400" s="7" t="inlineStr">
        <is>
          <t>EDD175;EDD1932;EDD2134;EDD812</t>
        </is>
      </c>
      <c r="B4400" s="8" t="n">
        <v>46099.09487268519</v>
      </c>
      <c r="C4400" s="8" t="n">
        <v>46099.25</v>
      </c>
      <c r="D4400" s="9">
        <f>(C4400-B4400)*24</f>
        <v/>
      </c>
      <c r="E4400" s="10">
        <f>IF(AND(HOUR(B4400)&gt;=6,HOUR(B4400)&lt;18),"Day Shift","Night Shift")</f>
        <v/>
      </c>
      <c r="F4400" s="11">
        <f>INT(B4400)</f>
        <v/>
      </c>
      <c r="G4400" s="11">
        <f>INT(C4400)</f>
        <v/>
      </c>
    </row>
    <row r="4401">
      <c r="A4401" s="2" t="inlineStr">
        <is>
          <t>EDD175;EDD1932;EDD2134;EDD812</t>
        </is>
      </c>
      <c r="B4401" s="3" t="n">
        <v>46099.25</v>
      </c>
      <c r="C4401" s="3" t="n">
        <v>46099.29027777778</v>
      </c>
      <c r="D4401" s="4">
        <f>(C4401-B4401)*24</f>
        <v/>
      </c>
      <c r="E4401" s="5">
        <f>IF(AND(HOUR(B4401)&gt;=6,HOUR(B4401)&lt;18),"Day Shift","Night Shift")</f>
        <v/>
      </c>
      <c r="F4401" s="6">
        <f>INT(B4401)</f>
        <v/>
      </c>
      <c r="G4401" s="6">
        <f>INT(C4401)</f>
        <v/>
      </c>
    </row>
    <row r="4402">
      <c r="A4402" s="7" t="inlineStr">
        <is>
          <t>EXD100</t>
        </is>
      </c>
      <c r="B4402" s="8" t="n">
        <v>46099.14138888889</v>
      </c>
      <c r="C4402" s="8" t="n">
        <v>46099.25</v>
      </c>
      <c r="D4402" s="9">
        <f>(C4402-B4402)*24</f>
        <v/>
      </c>
      <c r="E4402" s="10">
        <f>IF(AND(HOUR(B4402)&gt;=6,HOUR(B4402)&lt;18),"Day Shift","Night Shift")</f>
        <v/>
      </c>
      <c r="F4402" s="11">
        <f>INT(B4402)</f>
        <v/>
      </c>
      <c r="G4402" s="11">
        <f>INT(C4402)</f>
        <v/>
      </c>
    </row>
    <row r="4403">
      <c r="A4403" s="2" t="inlineStr">
        <is>
          <t>EXD100</t>
        </is>
      </c>
      <c r="B4403" s="3" t="n">
        <v>46099.25</v>
      </c>
      <c r="C4403" s="3" t="n">
        <v>46099.75</v>
      </c>
      <c r="D4403" s="4">
        <f>(C4403-B4403)*24</f>
        <v/>
      </c>
      <c r="E4403" s="5">
        <f>IF(AND(HOUR(B4403)&gt;=6,HOUR(B4403)&lt;18),"Day Shift","Night Shift")</f>
        <v/>
      </c>
      <c r="F4403" s="6">
        <f>INT(B4403)</f>
        <v/>
      </c>
      <c r="G4403" s="6">
        <f>INT(C4403)</f>
        <v/>
      </c>
    </row>
    <row r="4404">
      <c r="A4404" s="7" t="inlineStr">
        <is>
          <t>EXD100</t>
        </is>
      </c>
      <c r="B4404" s="8" t="n">
        <v>46099.75</v>
      </c>
      <c r="C4404" s="8" t="n">
        <v>46099.75873842592</v>
      </c>
      <c r="D4404" s="9">
        <f>(C4404-B4404)*24</f>
        <v/>
      </c>
      <c r="E4404" s="10">
        <f>IF(AND(HOUR(B4404)&gt;=6,HOUR(B4404)&lt;18),"Day Shift","Night Shift")</f>
        <v/>
      </c>
      <c r="F4404" s="11">
        <f>INT(B4404)</f>
        <v/>
      </c>
      <c r="G4404" s="11">
        <f>INT(C4404)</f>
        <v/>
      </c>
    </row>
    <row r="4405">
      <c r="A4405" s="7" t="inlineStr">
        <is>
          <t>Sprint 1</t>
        </is>
      </c>
      <c r="B4405" s="8" t="n">
        <v>46099.23793981481</v>
      </c>
      <c r="C4405" s="8" t="n">
        <v>46099.25</v>
      </c>
      <c r="D4405" s="9">
        <f>(C4405-B4405)*24</f>
        <v/>
      </c>
      <c r="E4405" s="10">
        <f>IF(AND(HOUR(B4405)&gt;=6,HOUR(B4405)&lt;18),"Day Shift","Night Shift")</f>
        <v/>
      </c>
      <c r="F4405" s="11">
        <f>INT(B4405)</f>
        <v/>
      </c>
      <c r="G4405" s="11">
        <f>INT(C4405)</f>
        <v/>
      </c>
    </row>
    <row r="4406">
      <c r="A4406" s="2" t="inlineStr">
        <is>
          <t>Sprint 1</t>
        </is>
      </c>
      <c r="B4406" s="3" t="n">
        <v>46099.25</v>
      </c>
      <c r="C4406" s="3" t="n">
        <v>46099.68700231481</v>
      </c>
      <c r="D4406" s="4">
        <f>(C4406-B4406)*24</f>
        <v/>
      </c>
      <c r="E4406" s="5">
        <f>IF(AND(HOUR(B4406)&gt;=6,HOUR(B4406)&lt;18),"Day Shift","Night Shift")</f>
        <v/>
      </c>
      <c r="F4406" s="6">
        <f>INT(B4406)</f>
        <v/>
      </c>
      <c r="G4406" s="6">
        <f>INT(C4406)</f>
        <v/>
      </c>
    </row>
    <row r="4407">
      <c r="A4407" s="2" t="inlineStr">
        <is>
          <t>EDD175;EDD1932;EDD2134;EDD812</t>
        </is>
      </c>
      <c r="B4407" s="3" t="n">
        <v>46099.29027777778</v>
      </c>
      <c r="C4407" s="3" t="n">
        <v>46099.48554398148</v>
      </c>
      <c r="D4407" s="4">
        <f>(C4407-B4407)*24</f>
        <v/>
      </c>
      <c r="E4407" s="5">
        <f>IF(AND(HOUR(B4407)&gt;=6,HOUR(B4407)&lt;18),"Day Shift","Night Shift")</f>
        <v/>
      </c>
      <c r="F4407" s="6">
        <f>INT(B4407)</f>
        <v/>
      </c>
      <c r="G4407" s="6">
        <f>INT(C4407)</f>
        <v/>
      </c>
    </row>
    <row r="4408">
      <c r="A4408" s="2" t="inlineStr">
        <is>
          <t>EXD73</t>
        </is>
      </c>
      <c r="B4408" s="3" t="n">
        <v>46099.31436342592</v>
      </c>
      <c r="C4408" s="3" t="n">
        <v>46099.75</v>
      </c>
      <c r="D4408" s="4">
        <f>(C4408-B4408)*24</f>
        <v/>
      </c>
      <c r="E4408" s="5">
        <f>IF(AND(HOUR(B4408)&gt;=6,HOUR(B4408)&lt;18),"Day Shift","Night Shift")</f>
        <v/>
      </c>
      <c r="F4408" s="6">
        <f>INT(B4408)</f>
        <v/>
      </c>
      <c r="G4408" s="6">
        <f>INT(C4408)</f>
        <v/>
      </c>
    </row>
    <row r="4409">
      <c r="A4409" s="7" t="inlineStr">
        <is>
          <t>EXD73</t>
        </is>
      </c>
      <c r="B4409" s="8" t="n">
        <v>46099.75</v>
      </c>
      <c r="C4409" s="8" t="n">
        <v>46100.25</v>
      </c>
      <c r="D4409" s="9">
        <f>(C4409-B4409)*24</f>
        <v/>
      </c>
      <c r="E4409" s="10">
        <f>IF(AND(HOUR(B4409)&gt;=6,HOUR(B4409)&lt;18),"Day Shift","Night Shift")</f>
        <v/>
      </c>
      <c r="F4409" s="11">
        <f>INT(B4409)</f>
        <v/>
      </c>
      <c r="G4409" s="11">
        <f>INT(C4409)</f>
        <v/>
      </c>
    </row>
    <row r="4410">
      <c r="A4410" s="2" t="inlineStr">
        <is>
          <t>EXD73</t>
        </is>
      </c>
      <c r="B4410" s="3" t="n">
        <v>46100.25</v>
      </c>
      <c r="C4410" s="3" t="n">
        <v>46100.60643518518</v>
      </c>
      <c r="D4410" s="4">
        <f>(C4410-B4410)*24</f>
        <v/>
      </c>
      <c r="E4410" s="5">
        <f>IF(AND(HOUR(B4410)&gt;=6,HOUR(B4410)&lt;18),"Day Shift","Night Shift")</f>
        <v/>
      </c>
      <c r="F4410" s="6">
        <f>INT(B4410)</f>
        <v/>
      </c>
      <c r="G4410" s="6">
        <f>INT(C4410)</f>
        <v/>
      </c>
    </row>
    <row r="4411">
      <c r="A4411" s="2" t="inlineStr">
        <is>
          <t>EXD98</t>
        </is>
      </c>
      <c r="B4411" s="3" t="n">
        <v>46099.4325</v>
      </c>
      <c r="C4411" s="3" t="n">
        <v>46099.7287037037</v>
      </c>
      <c r="D4411" s="4">
        <f>(C4411-B4411)*24</f>
        <v/>
      </c>
      <c r="E4411" s="5">
        <f>IF(AND(HOUR(B4411)&gt;=6,HOUR(B4411)&lt;18),"Day Shift","Night Shift")</f>
        <v/>
      </c>
      <c r="F4411" s="6">
        <f>INT(B4411)</f>
        <v/>
      </c>
      <c r="G4411" s="6">
        <f>INT(C4411)</f>
        <v/>
      </c>
    </row>
    <row r="4412">
      <c r="A4412" s="2" t="inlineStr">
        <is>
          <t>EXD101</t>
        </is>
      </c>
      <c r="B4412" s="3" t="n">
        <v>46099.43751157408</v>
      </c>
      <c r="C4412" s="3" t="n">
        <v>46099.75</v>
      </c>
      <c r="D4412" s="4">
        <f>(C4412-B4412)*24</f>
        <v/>
      </c>
      <c r="E4412" s="5">
        <f>IF(AND(HOUR(B4412)&gt;=6,HOUR(B4412)&lt;18),"Day Shift","Night Shift")</f>
        <v/>
      </c>
      <c r="F4412" s="6">
        <f>INT(B4412)</f>
        <v/>
      </c>
      <c r="G4412" s="6">
        <f>INT(C4412)</f>
        <v/>
      </c>
    </row>
    <row r="4413">
      <c r="A4413" s="7" t="inlineStr">
        <is>
          <t>EXD101</t>
        </is>
      </c>
      <c r="B4413" s="8" t="n">
        <v>46099.75</v>
      </c>
      <c r="C4413" s="8" t="n">
        <v>46100.25</v>
      </c>
      <c r="D4413" s="9">
        <f>(C4413-B4413)*24</f>
        <v/>
      </c>
      <c r="E4413" s="10">
        <f>IF(AND(HOUR(B4413)&gt;=6,HOUR(B4413)&lt;18),"Day Shift","Night Shift")</f>
        <v/>
      </c>
      <c r="F4413" s="11">
        <f>INT(B4413)</f>
        <v/>
      </c>
      <c r="G4413" s="11">
        <f>INT(C4413)</f>
        <v/>
      </c>
    </row>
    <row r="4414">
      <c r="A4414" s="2" t="inlineStr">
        <is>
          <t>EXD101</t>
        </is>
      </c>
      <c r="B4414" s="3" t="n">
        <v>46100.25</v>
      </c>
      <c r="C4414" s="3" t="n">
        <v>46100.4387037037</v>
      </c>
      <c r="D4414" s="4">
        <f>(C4414-B4414)*24</f>
        <v/>
      </c>
      <c r="E4414" s="5">
        <f>IF(AND(HOUR(B4414)&gt;=6,HOUR(B4414)&lt;18),"Day Shift","Night Shift")</f>
        <v/>
      </c>
      <c r="F4414" s="6">
        <f>INT(B4414)</f>
        <v/>
      </c>
      <c r="G4414" s="6">
        <f>INT(C4414)</f>
        <v/>
      </c>
    </row>
    <row r="4415">
      <c r="A4415" s="2" t="inlineStr">
        <is>
          <t>EDD175;EDD1932;EDD2134;EDD812</t>
        </is>
      </c>
      <c r="B4415" s="3" t="n">
        <v>46099.48554398148</v>
      </c>
      <c r="C4415" s="3" t="n">
        <v>46099.68114583333</v>
      </c>
      <c r="D4415" s="4">
        <f>(C4415-B4415)*24</f>
        <v/>
      </c>
      <c r="E4415" s="5">
        <f>IF(AND(HOUR(B4415)&gt;=6,HOUR(B4415)&lt;18),"Day Shift","Night Shift")</f>
        <v/>
      </c>
      <c r="F4415" s="6">
        <f>INT(B4415)</f>
        <v/>
      </c>
      <c r="G4415" s="6">
        <f>INT(C4415)</f>
        <v/>
      </c>
    </row>
    <row r="4416">
      <c r="A4416" s="2" t="inlineStr">
        <is>
          <t>EXD408</t>
        </is>
      </c>
      <c r="B4416" s="3" t="n">
        <v>46099.59726851852</v>
      </c>
      <c r="C4416" s="3" t="n">
        <v>46099.75</v>
      </c>
      <c r="D4416" s="4">
        <f>(C4416-B4416)*24</f>
        <v/>
      </c>
      <c r="E4416" s="5">
        <f>IF(AND(HOUR(B4416)&gt;=6,HOUR(B4416)&lt;18),"Day Shift","Night Shift")</f>
        <v/>
      </c>
      <c r="F4416" s="6">
        <f>INT(B4416)</f>
        <v/>
      </c>
      <c r="G4416" s="6">
        <f>INT(C4416)</f>
        <v/>
      </c>
    </row>
    <row r="4417">
      <c r="A4417" s="7" t="inlineStr">
        <is>
          <t>EXD408</t>
        </is>
      </c>
      <c r="B4417" s="8" t="n">
        <v>46099.75</v>
      </c>
      <c r="C4417" s="8" t="n">
        <v>46100.22575231481</v>
      </c>
      <c r="D4417" s="9">
        <f>(C4417-B4417)*24</f>
        <v/>
      </c>
      <c r="E4417" s="10">
        <f>IF(AND(HOUR(B4417)&gt;=6,HOUR(B4417)&lt;18),"Day Shift","Night Shift")</f>
        <v/>
      </c>
      <c r="F4417" s="11">
        <f>INT(B4417)</f>
        <v/>
      </c>
      <c r="G4417" s="11">
        <f>INT(C4417)</f>
        <v/>
      </c>
    </row>
    <row r="4418">
      <c r="A4418" s="2" t="inlineStr">
        <is>
          <t>EDD175;EDD1932;EDD2134;EDD812</t>
        </is>
      </c>
      <c r="B4418" s="3" t="n">
        <v>46099.68114583333</v>
      </c>
      <c r="C4418" s="3" t="n">
        <v>46099.75</v>
      </c>
      <c r="D4418" s="4">
        <f>(C4418-B4418)*24</f>
        <v/>
      </c>
      <c r="E4418" s="5">
        <f>IF(AND(HOUR(B4418)&gt;=6,HOUR(B4418)&lt;18),"Day Shift","Night Shift")</f>
        <v/>
      </c>
      <c r="F4418" s="6">
        <f>INT(B4418)</f>
        <v/>
      </c>
      <c r="G4418" s="6">
        <f>INT(C4418)</f>
        <v/>
      </c>
    </row>
    <row r="4419">
      <c r="A4419" s="7" t="inlineStr">
        <is>
          <t>EDD175;EDD1932;EDD2134;EDD812</t>
        </is>
      </c>
      <c r="B4419" s="8" t="n">
        <v>46099.75</v>
      </c>
      <c r="C4419" s="8" t="n">
        <v>46099.87334490741</v>
      </c>
      <c r="D4419" s="9">
        <f>(C4419-B4419)*24</f>
        <v/>
      </c>
      <c r="E4419" s="10">
        <f>IF(AND(HOUR(B4419)&gt;=6,HOUR(B4419)&lt;18),"Day Shift","Night Shift")</f>
        <v/>
      </c>
      <c r="F4419" s="11">
        <f>INT(B4419)</f>
        <v/>
      </c>
      <c r="G4419" s="11">
        <f>INT(C4419)</f>
        <v/>
      </c>
    </row>
    <row r="4420">
      <c r="A4420" s="2" t="inlineStr">
        <is>
          <t>EXD51</t>
        </is>
      </c>
      <c r="B4420" s="3" t="n">
        <v>46099.74072916667</v>
      </c>
      <c r="C4420" s="3" t="n">
        <v>46099.75</v>
      </c>
      <c r="D4420" s="4">
        <f>(C4420-B4420)*24</f>
        <v/>
      </c>
      <c r="E4420" s="5">
        <f>IF(AND(HOUR(B4420)&gt;=6,HOUR(B4420)&lt;18),"Day Shift","Night Shift")</f>
        <v/>
      </c>
      <c r="F4420" s="6">
        <f>INT(B4420)</f>
        <v/>
      </c>
      <c r="G4420" s="6">
        <f>INT(C4420)</f>
        <v/>
      </c>
    </row>
    <row r="4421">
      <c r="A4421" s="7" t="inlineStr">
        <is>
          <t>EXD51</t>
        </is>
      </c>
      <c r="B4421" s="8" t="n">
        <v>46099.75</v>
      </c>
      <c r="C4421" s="8" t="n">
        <v>46100.25</v>
      </c>
      <c r="D4421" s="9">
        <f>(C4421-B4421)*24</f>
        <v/>
      </c>
      <c r="E4421" s="10">
        <f>IF(AND(HOUR(B4421)&gt;=6,HOUR(B4421)&lt;18),"Day Shift","Night Shift")</f>
        <v/>
      </c>
      <c r="F4421" s="11">
        <f>INT(B4421)</f>
        <v/>
      </c>
      <c r="G4421" s="11">
        <f>INT(C4421)</f>
        <v/>
      </c>
    </row>
    <row r="4422">
      <c r="A4422" s="2" t="inlineStr">
        <is>
          <t>EXD51</t>
        </is>
      </c>
      <c r="B4422" s="3" t="n">
        <v>46100.25</v>
      </c>
      <c r="C4422" s="3" t="n">
        <v>46100.75</v>
      </c>
      <c r="D4422" s="4">
        <f>(C4422-B4422)*24</f>
        <v/>
      </c>
      <c r="E4422" s="5">
        <f>IF(AND(HOUR(B4422)&gt;=6,HOUR(B4422)&lt;18),"Day Shift","Night Shift")</f>
        <v/>
      </c>
      <c r="F4422" s="6">
        <f>INT(B4422)</f>
        <v/>
      </c>
      <c r="G4422" s="6">
        <f>INT(C4422)</f>
        <v/>
      </c>
    </row>
    <row r="4423">
      <c r="A4423" s="7" t="inlineStr">
        <is>
          <t>EXD51</t>
        </is>
      </c>
      <c r="B4423" s="8" t="n">
        <v>46100.75</v>
      </c>
      <c r="C4423" s="8" t="n">
        <v>46101.25</v>
      </c>
      <c r="D4423" s="9">
        <f>(C4423-B4423)*24</f>
        <v/>
      </c>
      <c r="E4423" s="10">
        <f>IF(AND(HOUR(B4423)&gt;=6,HOUR(B4423)&lt;18),"Day Shift","Night Shift")</f>
        <v/>
      </c>
      <c r="F4423" s="11">
        <f>INT(B4423)</f>
        <v/>
      </c>
      <c r="G4423" s="11">
        <f>INT(C4423)</f>
        <v/>
      </c>
    </row>
    <row r="4424">
      <c r="A4424" s="2" t="inlineStr">
        <is>
          <t>EXD51</t>
        </is>
      </c>
      <c r="B4424" s="3" t="n">
        <v>46101.25</v>
      </c>
      <c r="C4424" s="3" t="n">
        <v>46101.75</v>
      </c>
      <c r="D4424" s="4">
        <f>(C4424-B4424)*24</f>
        <v/>
      </c>
      <c r="E4424" s="5">
        <f>IF(AND(HOUR(B4424)&gt;=6,HOUR(B4424)&lt;18),"Day Shift","Night Shift")</f>
        <v/>
      </c>
      <c r="F4424" s="6">
        <f>INT(B4424)</f>
        <v/>
      </c>
      <c r="G4424" s="6">
        <f>INT(C4424)</f>
        <v/>
      </c>
    </row>
    <row r="4425">
      <c r="A4425" s="7" t="inlineStr">
        <is>
          <t>EXD51</t>
        </is>
      </c>
      <c r="B4425" s="8" t="n">
        <v>46101.75</v>
      </c>
      <c r="C4425" s="8" t="n">
        <v>46102.25</v>
      </c>
      <c r="D4425" s="9">
        <f>(C4425-B4425)*24</f>
        <v/>
      </c>
      <c r="E4425" s="10">
        <f>IF(AND(HOUR(B4425)&gt;=6,HOUR(B4425)&lt;18),"Day Shift","Night Shift")</f>
        <v/>
      </c>
      <c r="F4425" s="11">
        <f>INT(B4425)</f>
        <v/>
      </c>
      <c r="G4425" s="11">
        <f>INT(C4425)</f>
        <v/>
      </c>
    </row>
    <row r="4426">
      <c r="A4426" s="2" t="inlineStr">
        <is>
          <t>EXD51</t>
        </is>
      </c>
      <c r="B4426" s="3" t="n">
        <v>46102.25</v>
      </c>
      <c r="C4426" s="3" t="n">
        <v>46102.75</v>
      </c>
      <c r="D4426" s="4">
        <f>(C4426-B4426)*24</f>
        <v/>
      </c>
      <c r="E4426" s="5">
        <f>IF(AND(HOUR(B4426)&gt;=6,HOUR(B4426)&lt;18),"Day Shift","Night Shift")</f>
        <v/>
      </c>
      <c r="F4426" s="6">
        <f>INT(B4426)</f>
        <v/>
      </c>
      <c r="G4426" s="6">
        <f>INT(C4426)</f>
        <v/>
      </c>
    </row>
    <row r="4427">
      <c r="A4427" s="7" t="inlineStr">
        <is>
          <t>EXD51</t>
        </is>
      </c>
      <c r="B4427" s="8" t="n">
        <v>46102.75</v>
      </c>
      <c r="C4427" s="8" t="n">
        <v>46103.25</v>
      </c>
      <c r="D4427" s="9">
        <f>(C4427-B4427)*24</f>
        <v/>
      </c>
      <c r="E4427" s="10">
        <f>IF(AND(HOUR(B4427)&gt;=6,HOUR(B4427)&lt;18),"Day Shift","Night Shift")</f>
        <v/>
      </c>
      <c r="F4427" s="11">
        <f>INT(B4427)</f>
        <v/>
      </c>
      <c r="G4427" s="11">
        <f>INT(C4427)</f>
        <v/>
      </c>
    </row>
    <row r="4428">
      <c r="A4428" s="2" t="inlineStr">
        <is>
          <t>EXD51</t>
        </is>
      </c>
      <c r="B4428" s="3" t="n">
        <v>46103.25</v>
      </c>
      <c r="C4428" s="3" t="n">
        <v>46103.75</v>
      </c>
      <c r="D4428" s="4">
        <f>(C4428-B4428)*24</f>
        <v/>
      </c>
      <c r="E4428" s="5">
        <f>IF(AND(HOUR(B4428)&gt;=6,HOUR(B4428)&lt;18),"Day Shift","Night Shift")</f>
        <v/>
      </c>
      <c r="F4428" s="6">
        <f>INT(B4428)</f>
        <v/>
      </c>
      <c r="G4428" s="6">
        <f>INT(C4428)</f>
        <v/>
      </c>
    </row>
    <row r="4429">
      <c r="A4429" s="7" t="inlineStr">
        <is>
          <t>EXD51</t>
        </is>
      </c>
      <c r="B4429" s="8" t="n">
        <v>46103.75</v>
      </c>
      <c r="C4429" s="8" t="n">
        <v>46104.10549768519</v>
      </c>
      <c r="D4429" s="9">
        <f>(C4429-B4429)*24</f>
        <v/>
      </c>
      <c r="E4429" s="10">
        <f>IF(AND(HOUR(B4429)&gt;=6,HOUR(B4429)&lt;18),"Day Shift","Night Shift")</f>
        <v/>
      </c>
      <c r="F4429" s="11">
        <f>INT(B4429)</f>
        <v/>
      </c>
      <c r="G4429" s="11">
        <f>INT(C4429)</f>
        <v/>
      </c>
    </row>
    <row r="4430">
      <c r="A4430" s="7" t="inlineStr">
        <is>
          <t>EXD100</t>
        </is>
      </c>
      <c r="B4430" s="8" t="n">
        <v>46099.75873842592</v>
      </c>
      <c r="C4430" s="8" t="n">
        <v>46100.25</v>
      </c>
      <c r="D4430" s="9">
        <f>(C4430-B4430)*24</f>
        <v/>
      </c>
      <c r="E4430" s="10">
        <f>IF(AND(HOUR(B4430)&gt;=6,HOUR(B4430)&lt;18),"Day Shift","Night Shift")</f>
        <v/>
      </c>
      <c r="F4430" s="11">
        <f>INT(B4430)</f>
        <v/>
      </c>
      <c r="G4430" s="11">
        <f>INT(C4430)</f>
        <v/>
      </c>
    </row>
    <row r="4431">
      <c r="A4431" s="2" t="inlineStr">
        <is>
          <t>EXD100</t>
        </is>
      </c>
      <c r="B4431" s="3" t="n">
        <v>46100.25</v>
      </c>
      <c r="C4431" s="3" t="n">
        <v>46100.39765046296</v>
      </c>
      <c r="D4431" s="4">
        <f>(C4431-B4431)*24</f>
        <v/>
      </c>
      <c r="E4431" s="5">
        <f>IF(AND(HOUR(B4431)&gt;=6,HOUR(B4431)&lt;18),"Day Shift","Night Shift")</f>
        <v/>
      </c>
      <c r="F4431" s="6">
        <f>INT(B4431)</f>
        <v/>
      </c>
      <c r="G4431" s="6">
        <f>INT(C4431)</f>
        <v/>
      </c>
    </row>
    <row r="4432">
      <c r="A4432" s="7" t="inlineStr">
        <is>
          <t>EXD407</t>
        </is>
      </c>
      <c r="B4432" s="8" t="n">
        <v>46099.79851851852</v>
      </c>
      <c r="C4432" s="8" t="n">
        <v>46100.25</v>
      </c>
      <c r="D4432" s="9">
        <f>(C4432-B4432)*24</f>
        <v/>
      </c>
      <c r="E4432" s="10">
        <f>IF(AND(HOUR(B4432)&gt;=6,HOUR(B4432)&lt;18),"Day Shift","Night Shift")</f>
        <v/>
      </c>
      <c r="F4432" s="11">
        <f>INT(B4432)</f>
        <v/>
      </c>
      <c r="G4432" s="11">
        <f>INT(C4432)</f>
        <v/>
      </c>
    </row>
    <row r="4433">
      <c r="A4433" s="2" t="inlineStr">
        <is>
          <t>EXD407</t>
        </is>
      </c>
      <c r="B4433" s="3" t="n">
        <v>46100.25</v>
      </c>
      <c r="C4433" s="3" t="n">
        <v>46100.75</v>
      </c>
      <c r="D4433" s="4">
        <f>(C4433-B4433)*24</f>
        <v/>
      </c>
      <c r="E4433" s="5">
        <f>IF(AND(HOUR(B4433)&gt;=6,HOUR(B4433)&lt;18),"Day Shift","Night Shift")</f>
        <v/>
      </c>
      <c r="F4433" s="6">
        <f>INT(B4433)</f>
        <v/>
      </c>
      <c r="G4433" s="6">
        <f>INT(C4433)</f>
        <v/>
      </c>
    </row>
    <row r="4434">
      <c r="A4434" s="7" t="inlineStr">
        <is>
          <t>EXD407</t>
        </is>
      </c>
      <c r="B4434" s="8" t="n">
        <v>46100.75</v>
      </c>
      <c r="C4434" s="8" t="n">
        <v>46101.25</v>
      </c>
      <c r="D4434" s="9">
        <f>(C4434-B4434)*24</f>
        <v/>
      </c>
      <c r="E4434" s="10">
        <f>IF(AND(HOUR(B4434)&gt;=6,HOUR(B4434)&lt;18),"Day Shift","Night Shift")</f>
        <v/>
      </c>
      <c r="F4434" s="11">
        <f>INT(B4434)</f>
        <v/>
      </c>
      <c r="G4434" s="11">
        <f>INT(C4434)</f>
        <v/>
      </c>
    </row>
    <row r="4435">
      <c r="A4435" s="2" t="inlineStr">
        <is>
          <t>EXD407</t>
        </is>
      </c>
      <c r="B4435" s="3" t="n">
        <v>46101.25</v>
      </c>
      <c r="C4435" s="3" t="n">
        <v>46101.27793981481</v>
      </c>
      <c r="D4435" s="4">
        <f>(C4435-B4435)*24</f>
        <v/>
      </c>
      <c r="E4435" s="5">
        <f>IF(AND(HOUR(B4435)&gt;=6,HOUR(B4435)&lt;18),"Day Shift","Night Shift")</f>
        <v/>
      </c>
      <c r="F4435" s="6">
        <f>INT(B4435)</f>
        <v/>
      </c>
      <c r="G4435" s="6">
        <f>INT(C4435)</f>
        <v/>
      </c>
    </row>
    <row r="4436">
      <c r="A4436" s="7" t="inlineStr">
        <is>
          <t>Sprint 1</t>
        </is>
      </c>
      <c r="B4436" s="8" t="n">
        <v>46099.80803240741</v>
      </c>
      <c r="C4436" s="8" t="n">
        <v>46100.23712962963</v>
      </c>
      <c r="D4436" s="9">
        <f>(C4436-B4436)*24</f>
        <v/>
      </c>
      <c r="E4436" s="10">
        <f>IF(AND(HOUR(B4436)&gt;=6,HOUR(B4436)&lt;18),"Day Shift","Night Shift")</f>
        <v/>
      </c>
      <c r="F4436" s="11">
        <f>INT(B4436)</f>
        <v/>
      </c>
      <c r="G4436" s="11">
        <f>INT(C4436)</f>
        <v/>
      </c>
    </row>
    <row r="4437">
      <c r="A4437" s="7" t="inlineStr">
        <is>
          <t>EXD56</t>
        </is>
      </c>
      <c r="B4437" s="8" t="n">
        <v>46099.8453125</v>
      </c>
      <c r="C4437" s="8" t="n">
        <v>46100.0184375</v>
      </c>
      <c r="D4437" s="9">
        <f>(C4437-B4437)*24</f>
        <v/>
      </c>
      <c r="E4437" s="10">
        <f>IF(AND(HOUR(B4437)&gt;=6,HOUR(B4437)&lt;18),"Day Shift","Night Shift")</f>
        <v/>
      </c>
      <c r="F4437" s="11">
        <f>INT(B4437)</f>
        <v/>
      </c>
      <c r="G4437" s="11">
        <f>INT(C4437)</f>
        <v/>
      </c>
    </row>
    <row r="4438">
      <c r="A4438" s="7" t="inlineStr">
        <is>
          <t>EXD98</t>
        </is>
      </c>
      <c r="B4438" s="8" t="n">
        <v>46099.86083333333</v>
      </c>
      <c r="C4438" s="8" t="n">
        <v>46100.10885416667</v>
      </c>
      <c r="D4438" s="9">
        <f>(C4438-B4438)*24</f>
        <v/>
      </c>
      <c r="E4438" s="10">
        <f>IF(AND(HOUR(B4438)&gt;=6,HOUR(B4438)&lt;18),"Day Shift","Night Shift")</f>
        <v/>
      </c>
      <c r="F4438" s="11">
        <f>INT(B4438)</f>
        <v/>
      </c>
      <c r="G4438" s="11">
        <f>INT(C4438)</f>
        <v/>
      </c>
    </row>
    <row r="4439">
      <c r="A4439" s="7" t="inlineStr">
        <is>
          <t>EXD52</t>
        </is>
      </c>
      <c r="B4439" s="8" t="n">
        <v>46099.86160879629</v>
      </c>
      <c r="C4439" s="8" t="n">
        <v>46100.25</v>
      </c>
      <c r="D4439" s="9">
        <f>(C4439-B4439)*24</f>
        <v/>
      </c>
      <c r="E4439" s="10">
        <f>IF(AND(HOUR(B4439)&gt;=6,HOUR(B4439)&lt;18),"Day Shift","Night Shift")</f>
        <v/>
      </c>
      <c r="F4439" s="11">
        <f>INT(B4439)</f>
        <v/>
      </c>
      <c r="G4439" s="11">
        <f>INT(C4439)</f>
        <v/>
      </c>
    </row>
    <row r="4440">
      <c r="A4440" s="2" t="inlineStr">
        <is>
          <t>EXD52</t>
        </is>
      </c>
      <c r="B4440" s="3" t="n">
        <v>46100.25</v>
      </c>
      <c r="C4440" s="3" t="n">
        <v>46100.25251157407</v>
      </c>
      <c r="D4440" s="4">
        <f>(C4440-B4440)*24</f>
        <v/>
      </c>
      <c r="E4440" s="5">
        <f>IF(AND(HOUR(B4440)&gt;=6,HOUR(B4440)&lt;18),"Day Shift","Night Shift")</f>
        <v/>
      </c>
      <c r="F4440" s="6">
        <f>INT(B4440)</f>
        <v/>
      </c>
      <c r="G4440" s="6">
        <f>INT(C4440)</f>
        <v/>
      </c>
    </row>
    <row r="4441">
      <c r="A4441" s="7" t="inlineStr">
        <is>
          <t>EDD175;EDD1932;EDD2134;EDD812</t>
        </is>
      </c>
      <c r="B4441" s="8" t="n">
        <v>46099.87334490741</v>
      </c>
      <c r="C4441" s="8" t="n">
        <v>46100.06206018518</v>
      </c>
      <c r="D4441" s="9">
        <f>(C4441-B4441)*24</f>
        <v/>
      </c>
      <c r="E4441" s="10">
        <f>IF(AND(HOUR(B4441)&gt;=6,HOUR(B4441)&lt;18),"Day Shift","Night Shift")</f>
        <v/>
      </c>
      <c r="F4441" s="11">
        <f>INT(B4441)</f>
        <v/>
      </c>
      <c r="G4441" s="11">
        <f>INT(C4441)</f>
        <v/>
      </c>
    </row>
    <row r="4442">
      <c r="A4442" s="7" t="inlineStr">
        <is>
          <t>LDW262</t>
        </is>
      </c>
      <c r="B4442" s="8" t="n">
        <v>46099.90525462963</v>
      </c>
      <c r="C4442" s="8" t="n">
        <v>46100.25</v>
      </c>
      <c r="D4442" s="9">
        <f>(C4442-B4442)*24</f>
        <v/>
      </c>
      <c r="E4442" s="10">
        <f>IF(AND(HOUR(B4442)&gt;=6,HOUR(B4442)&lt;18),"Day Shift","Night Shift")</f>
        <v/>
      </c>
      <c r="F4442" s="11">
        <f>INT(B4442)</f>
        <v/>
      </c>
      <c r="G4442" s="11">
        <f>INT(C4442)</f>
        <v/>
      </c>
    </row>
    <row r="4443">
      <c r="A4443" s="2" t="inlineStr">
        <is>
          <t>LDW262</t>
        </is>
      </c>
      <c r="B4443" s="3" t="n">
        <v>46100.25</v>
      </c>
      <c r="C4443" s="3" t="n">
        <v>46100.75</v>
      </c>
      <c r="D4443" s="4">
        <f>(C4443-B4443)*24</f>
        <v/>
      </c>
      <c r="E4443" s="5">
        <f>IF(AND(HOUR(B4443)&gt;=6,HOUR(B4443)&lt;18),"Day Shift","Night Shift")</f>
        <v/>
      </c>
      <c r="F4443" s="6">
        <f>INT(B4443)</f>
        <v/>
      </c>
      <c r="G4443" s="6">
        <f>INT(C4443)</f>
        <v/>
      </c>
    </row>
    <row r="4444">
      <c r="A4444" s="7" t="inlineStr">
        <is>
          <t>LDW262</t>
        </is>
      </c>
      <c r="B4444" s="8" t="n">
        <v>46100.75</v>
      </c>
      <c r="C4444" s="8" t="n">
        <v>46101.25</v>
      </c>
      <c r="D4444" s="9">
        <f>(C4444-B4444)*24</f>
        <v/>
      </c>
      <c r="E4444" s="10">
        <f>IF(AND(HOUR(B4444)&gt;=6,HOUR(B4444)&lt;18),"Day Shift","Night Shift")</f>
        <v/>
      </c>
      <c r="F4444" s="11">
        <f>INT(B4444)</f>
        <v/>
      </c>
      <c r="G4444" s="11">
        <f>INT(C4444)</f>
        <v/>
      </c>
    </row>
    <row r="4445">
      <c r="A4445" s="2" t="inlineStr">
        <is>
          <t>LDW262</t>
        </is>
      </c>
      <c r="B4445" s="3" t="n">
        <v>46101.25</v>
      </c>
      <c r="C4445" s="3" t="n">
        <v>46101.4662962963</v>
      </c>
      <c r="D4445" s="4">
        <f>(C4445-B4445)*24</f>
        <v/>
      </c>
      <c r="E4445" s="5">
        <f>IF(AND(HOUR(B4445)&gt;=6,HOUR(B4445)&lt;18),"Day Shift","Night Shift")</f>
        <v/>
      </c>
      <c r="F4445" s="6">
        <f>INT(B4445)</f>
        <v/>
      </c>
      <c r="G4445" s="6">
        <f>INT(C4445)</f>
        <v/>
      </c>
    </row>
    <row r="4446">
      <c r="A4446" s="7" t="inlineStr">
        <is>
          <t>Blast Crew</t>
        </is>
      </c>
      <c r="B4446" s="8" t="n">
        <v>46099.99813657408</v>
      </c>
      <c r="C4446" s="8" t="n">
        <v>46100.17575231481</v>
      </c>
      <c r="D4446" s="9">
        <f>(C4446-B4446)*24</f>
        <v/>
      </c>
      <c r="E4446" s="10">
        <f>IF(AND(HOUR(B4446)&gt;=6,HOUR(B4446)&lt;18),"Day Shift","Night Shift")</f>
        <v/>
      </c>
      <c r="F4446" s="11">
        <f>INT(B4446)</f>
        <v/>
      </c>
      <c r="G4446" s="11">
        <f>INT(C4446)</f>
        <v/>
      </c>
    </row>
    <row r="4447">
      <c r="A4447" s="7" t="inlineStr">
        <is>
          <t>EXD56</t>
        </is>
      </c>
      <c r="B4447" s="8" t="n">
        <v>46100.0184375</v>
      </c>
      <c r="C4447" s="8" t="n">
        <v>46100.25</v>
      </c>
      <c r="D4447" s="9">
        <f>(C4447-B4447)*24</f>
        <v/>
      </c>
      <c r="E4447" s="10">
        <f>IF(AND(HOUR(B4447)&gt;=6,HOUR(B4447)&lt;18),"Day Shift","Night Shift")</f>
        <v/>
      </c>
      <c r="F4447" s="11">
        <f>INT(B4447)</f>
        <v/>
      </c>
      <c r="G4447" s="11">
        <f>INT(C4447)</f>
        <v/>
      </c>
    </row>
    <row r="4448">
      <c r="A4448" s="2" t="inlineStr">
        <is>
          <t>EXD56</t>
        </is>
      </c>
      <c r="B4448" s="3" t="n">
        <v>46100.25</v>
      </c>
      <c r="C4448" s="3" t="n">
        <v>46100.71486111111</v>
      </c>
      <c r="D4448" s="4">
        <f>(C4448-B4448)*24</f>
        <v/>
      </c>
      <c r="E4448" s="5">
        <f>IF(AND(HOUR(B4448)&gt;=6,HOUR(B4448)&lt;18),"Day Shift","Night Shift")</f>
        <v/>
      </c>
      <c r="F4448" s="6">
        <f>INT(B4448)</f>
        <v/>
      </c>
      <c r="G4448" s="6">
        <f>INT(C4448)</f>
        <v/>
      </c>
    </row>
    <row r="4449">
      <c r="A4449" s="7" t="inlineStr">
        <is>
          <t>EDD175;EDD1932;EDD2134;EDD812</t>
        </is>
      </c>
      <c r="B4449" s="8" t="n">
        <v>46100.06206018518</v>
      </c>
      <c r="C4449" s="8" t="n">
        <v>46100.25</v>
      </c>
      <c r="D4449" s="9">
        <f>(C4449-B4449)*24</f>
        <v/>
      </c>
      <c r="E4449" s="10">
        <f>IF(AND(HOUR(B4449)&gt;=6,HOUR(B4449)&lt;18),"Day Shift","Night Shift")</f>
        <v/>
      </c>
      <c r="F4449" s="11">
        <f>INT(B4449)</f>
        <v/>
      </c>
      <c r="G4449" s="11">
        <f>INT(C4449)</f>
        <v/>
      </c>
    </row>
    <row r="4450">
      <c r="A4450" s="2" t="inlineStr">
        <is>
          <t>EDD175;EDD1932;EDD2134;EDD812</t>
        </is>
      </c>
      <c r="B4450" s="3" t="n">
        <v>46100.25</v>
      </c>
      <c r="C4450" s="3" t="n">
        <v>46100.25291666666</v>
      </c>
      <c r="D4450" s="4">
        <f>(C4450-B4450)*24</f>
        <v/>
      </c>
      <c r="E4450" s="5">
        <f>IF(AND(HOUR(B4450)&gt;=6,HOUR(B4450)&lt;18),"Day Shift","Night Shift")</f>
        <v/>
      </c>
      <c r="F4450" s="6">
        <f>INT(B4450)</f>
        <v/>
      </c>
      <c r="G4450" s="6">
        <f>INT(C4450)</f>
        <v/>
      </c>
    </row>
    <row r="4451">
      <c r="A4451" s="7" t="inlineStr">
        <is>
          <t>EXD98</t>
        </is>
      </c>
      <c r="B4451" s="8" t="n">
        <v>46100.15324074074</v>
      </c>
      <c r="C4451" s="8" t="n">
        <v>46100.25</v>
      </c>
      <c r="D4451" s="9">
        <f>(C4451-B4451)*24</f>
        <v/>
      </c>
      <c r="E4451" s="10">
        <f>IF(AND(HOUR(B4451)&gt;=6,HOUR(B4451)&lt;18),"Day Shift","Night Shift")</f>
        <v/>
      </c>
      <c r="F4451" s="11">
        <f>INT(B4451)</f>
        <v/>
      </c>
      <c r="G4451" s="11">
        <f>INT(C4451)</f>
        <v/>
      </c>
    </row>
    <row r="4452">
      <c r="A4452" s="2" t="inlineStr">
        <is>
          <t>EXD98</t>
        </is>
      </c>
      <c r="B4452" s="3" t="n">
        <v>46100.25</v>
      </c>
      <c r="C4452" s="3" t="n">
        <v>46100.33660879629</v>
      </c>
      <c r="D4452" s="4">
        <f>(C4452-B4452)*24</f>
        <v/>
      </c>
      <c r="E4452" s="5">
        <f>IF(AND(HOUR(B4452)&gt;=6,HOUR(B4452)&lt;18),"Day Shift","Night Shift")</f>
        <v/>
      </c>
      <c r="F4452" s="6">
        <f>INT(B4452)</f>
        <v/>
      </c>
      <c r="G4452" s="6">
        <f>INT(C4452)</f>
        <v/>
      </c>
    </row>
    <row r="4453">
      <c r="A4453" s="7" t="inlineStr">
        <is>
          <t>Blast Crew</t>
        </is>
      </c>
      <c r="B4453" s="8" t="n">
        <v>46100.17575231481</v>
      </c>
      <c r="C4453" s="8" t="n">
        <v>46100.25</v>
      </c>
      <c r="D4453" s="9">
        <f>(C4453-B4453)*24</f>
        <v/>
      </c>
      <c r="E4453" s="10">
        <f>IF(AND(HOUR(B4453)&gt;=6,HOUR(B4453)&lt;18),"Day Shift","Night Shift")</f>
        <v/>
      </c>
      <c r="F4453" s="11">
        <f>INT(B4453)</f>
        <v/>
      </c>
      <c r="G4453" s="11">
        <f>INT(C4453)</f>
        <v/>
      </c>
    </row>
    <row r="4454">
      <c r="A4454" s="2" t="inlineStr">
        <is>
          <t>Blast Crew</t>
        </is>
      </c>
      <c r="B4454" s="3" t="n">
        <v>46100.25</v>
      </c>
      <c r="C4454" s="3" t="n">
        <v>46100.35135416667</v>
      </c>
      <c r="D4454" s="4">
        <f>(C4454-B4454)*24</f>
        <v/>
      </c>
      <c r="E4454" s="5">
        <f>IF(AND(HOUR(B4454)&gt;=6,HOUR(B4454)&lt;18),"Day Shift","Night Shift")</f>
        <v/>
      </c>
      <c r="F4454" s="6">
        <f>INT(B4454)</f>
        <v/>
      </c>
      <c r="G4454" s="6">
        <f>INT(C4454)</f>
        <v/>
      </c>
    </row>
    <row r="4455">
      <c r="A4455" s="7" t="inlineStr">
        <is>
          <t>EXD408</t>
        </is>
      </c>
      <c r="B4455" s="8" t="n">
        <v>46100.22587962963</v>
      </c>
      <c r="C4455" s="8" t="n">
        <v>46100.25</v>
      </c>
      <c r="D4455" s="9">
        <f>(C4455-B4455)*24</f>
        <v/>
      </c>
      <c r="E4455" s="10">
        <f>IF(AND(HOUR(B4455)&gt;=6,HOUR(B4455)&lt;18),"Day Shift","Night Shift")</f>
        <v/>
      </c>
      <c r="F4455" s="11">
        <f>INT(B4455)</f>
        <v/>
      </c>
      <c r="G4455" s="11">
        <f>INT(C4455)</f>
        <v/>
      </c>
    </row>
    <row r="4456">
      <c r="A4456" s="2" t="inlineStr">
        <is>
          <t>EXD408</t>
        </is>
      </c>
      <c r="B4456" s="3" t="n">
        <v>46100.25</v>
      </c>
      <c r="C4456" s="3" t="n">
        <v>46100.75</v>
      </c>
      <c r="D4456" s="4">
        <f>(C4456-B4456)*24</f>
        <v/>
      </c>
      <c r="E4456" s="5">
        <f>IF(AND(HOUR(B4456)&gt;=6,HOUR(B4456)&lt;18),"Day Shift","Night Shift")</f>
        <v/>
      </c>
      <c r="F4456" s="6">
        <f>INT(B4456)</f>
        <v/>
      </c>
      <c r="G4456" s="6">
        <f>INT(C4456)</f>
        <v/>
      </c>
    </row>
    <row r="4457">
      <c r="A4457" s="7" t="inlineStr">
        <is>
          <t>EXD408</t>
        </is>
      </c>
      <c r="B4457" s="8" t="n">
        <v>46100.75</v>
      </c>
      <c r="C4457" s="8" t="n">
        <v>46100.81962962963</v>
      </c>
      <c r="D4457" s="9">
        <f>(C4457-B4457)*24</f>
        <v/>
      </c>
      <c r="E4457" s="10">
        <f>IF(AND(HOUR(B4457)&gt;=6,HOUR(B4457)&lt;18),"Day Shift","Night Shift")</f>
        <v/>
      </c>
      <c r="F4457" s="11">
        <f>INT(B4457)</f>
        <v/>
      </c>
      <c r="G4457" s="11">
        <f>INT(C4457)</f>
        <v/>
      </c>
    </row>
    <row r="4458">
      <c r="A4458" s="7" t="inlineStr">
        <is>
          <t>Sprint 1</t>
        </is>
      </c>
      <c r="B4458" s="8" t="n">
        <v>46100.23712962963</v>
      </c>
      <c r="C4458" s="8" t="n">
        <v>46100.25</v>
      </c>
      <c r="D4458" s="9">
        <f>(C4458-B4458)*24</f>
        <v/>
      </c>
      <c r="E4458" s="10">
        <f>IF(AND(HOUR(B4458)&gt;=6,HOUR(B4458)&lt;18),"Day Shift","Night Shift")</f>
        <v/>
      </c>
      <c r="F4458" s="11">
        <f>INT(B4458)</f>
        <v/>
      </c>
      <c r="G4458" s="11">
        <f>INT(C4458)</f>
        <v/>
      </c>
    </row>
    <row r="4459">
      <c r="A4459" s="2" t="inlineStr">
        <is>
          <t>Sprint 1</t>
        </is>
      </c>
      <c r="B4459" s="3" t="n">
        <v>46100.25</v>
      </c>
      <c r="C4459" s="3" t="n">
        <v>46100.66539351852</v>
      </c>
      <c r="D4459" s="4">
        <f>(C4459-B4459)*24</f>
        <v/>
      </c>
      <c r="E4459" s="5">
        <f>IF(AND(HOUR(B4459)&gt;=6,HOUR(B4459)&lt;18),"Day Shift","Night Shift")</f>
        <v/>
      </c>
      <c r="F4459" s="6">
        <f>INT(B4459)</f>
        <v/>
      </c>
      <c r="G4459" s="6">
        <f>INT(C4459)</f>
        <v/>
      </c>
    </row>
    <row r="4460">
      <c r="A4460" s="2" t="inlineStr">
        <is>
          <t>EDD175;EDD1932;EDD2134;EDD812</t>
        </is>
      </c>
      <c r="B4460" s="3" t="n">
        <v>46100.25291666666</v>
      </c>
      <c r="C4460" s="3" t="n">
        <v>46100.44744212963</v>
      </c>
      <c r="D4460" s="4">
        <f>(C4460-B4460)*24</f>
        <v/>
      </c>
      <c r="E4460" s="5">
        <f>IF(AND(HOUR(B4460)&gt;=6,HOUR(B4460)&lt;18),"Day Shift","Night Shift")</f>
        <v/>
      </c>
      <c r="F4460" s="6">
        <f>INT(B4460)</f>
        <v/>
      </c>
      <c r="G4460" s="6">
        <f>INT(C4460)</f>
        <v/>
      </c>
    </row>
    <row r="4461">
      <c r="A4461" s="2" t="inlineStr">
        <is>
          <t>EXD60</t>
        </is>
      </c>
      <c r="B4461" s="3" t="n">
        <v>46100.27943287037</v>
      </c>
      <c r="C4461" s="3" t="n">
        <v>46100.75</v>
      </c>
      <c r="D4461" s="4">
        <f>(C4461-B4461)*24</f>
        <v/>
      </c>
      <c r="E4461" s="5">
        <f>IF(AND(HOUR(B4461)&gt;=6,HOUR(B4461)&lt;18),"Day Shift","Night Shift")</f>
        <v/>
      </c>
      <c r="F4461" s="6">
        <f>INT(B4461)</f>
        <v/>
      </c>
      <c r="G4461" s="6">
        <f>INT(C4461)</f>
        <v/>
      </c>
    </row>
    <row r="4462">
      <c r="A4462" s="7" t="inlineStr">
        <is>
          <t>EXD60</t>
        </is>
      </c>
      <c r="B4462" s="8" t="n">
        <v>46100.75</v>
      </c>
      <c r="C4462" s="8" t="n">
        <v>46101.25</v>
      </c>
      <c r="D4462" s="9">
        <f>(C4462-B4462)*24</f>
        <v/>
      </c>
      <c r="E4462" s="10">
        <f>IF(AND(HOUR(B4462)&gt;=6,HOUR(B4462)&lt;18),"Day Shift","Night Shift")</f>
        <v/>
      </c>
      <c r="F4462" s="11">
        <f>INT(B4462)</f>
        <v/>
      </c>
      <c r="G4462" s="11">
        <f>INT(C4462)</f>
        <v/>
      </c>
    </row>
    <row r="4463">
      <c r="A4463" s="2" t="inlineStr">
        <is>
          <t>EXD60</t>
        </is>
      </c>
      <c r="B4463" s="3" t="n">
        <v>46101.25</v>
      </c>
      <c r="C4463" s="3" t="n">
        <v>46101.75</v>
      </c>
      <c r="D4463" s="4">
        <f>(C4463-B4463)*24</f>
        <v/>
      </c>
      <c r="E4463" s="5">
        <f>IF(AND(HOUR(B4463)&gt;=6,HOUR(B4463)&lt;18),"Day Shift","Night Shift")</f>
        <v/>
      </c>
      <c r="F4463" s="6">
        <f>INT(B4463)</f>
        <v/>
      </c>
      <c r="G4463" s="6">
        <f>INT(C4463)</f>
        <v/>
      </c>
    </row>
    <row r="4464">
      <c r="A4464" s="7" t="inlineStr">
        <is>
          <t>EXD60</t>
        </is>
      </c>
      <c r="B4464" s="8" t="n">
        <v>46101.75</v>
      </c>
      <c r="C4464" s="8" t="n">
        <v>46102.25</v>
      </c>
      <c r="D4464" s="9">
        <f>(C4464-B4464)*24</f>
        <v/>
      </c>
      <c r="E4464" s="10">
        <f>IF(AND(HOUR(B4464)&gt;=6,HOUR(B4464)&lt;18),"Day Shift","Night Shift")</f>
        <v/>
      </c>
      <c r="F4464" s="11">
        <f>INT(B4464)</f>
        <v/>
      </c>
      <c r="G4464" s="11">
        <f>INT(C4464)</f>
        <v/>
      </c>
    </row>
    <row r="4465">
      <c r="A4465" s="2" t="inlineStr">
        <is>
          <t>EXD60</t>
        </is>
      </c>
      <c r="B4465" s="3" t="n">
        <v>46102.25</v>
      </c>
      <c r="C4465" s="3" t="n">
        <v>46102.75</v>
      </c>
      <c r="D4465" s="4">
        <f>(C4465-B4465)*24</f>
        <v/>
      </c>
      <c r="E4465" s="5">
        <f>IF(AND(HOUR(B4465)&gt;=6,HOUR(B4465)&lt;18),"Day Shift","Night Shift")</f>
        <v/>
      </c>
      <c r="F4465" s="6">
        <f>INT(B4465)</f>
        <v/>
      </c>
      <c r="G4465" s="6">
        <f>INT(C4465)</f>
        <v/>
      </c>
    </row>
    <row r="4466">
      <c r="A4466" s="7" t="inlineStr">
        <is>
          <t>EXD60</t>
        </is>
      </c>
      <c r="B4466" s="8" t="n">
        <v>46102.75</v>
      </c>
      <c r="C4466" s="8" t="n">
        <v>46103.25</v>
      </c>
      <c r="D4466" s="9">
        <f>(C4466-B4466)*24</f>
        <v/>
      </c>
      <c r="E4466" s="10">
        <f>IF(AND(HOUR(B4466)&gt;=6,HOUR(B4466)&lt;18),"Day Shift","Night Shift")</f>
        <v/>
      </c>
      <c r="F4466" s="11">
        <f>INT(B4466)</f>
        <v/>
      </c>
      <c r="G4466" s="11">
        <f>INT(C4466)</f>
        <v/>
      </c>
    </row>
    <row r="4467">
      <c r="A4467" s="2" t="inlineStr">
        <is>
          <t>EXD60</t>
        </is>
      </c>
      <c r="B4467" s="3" t="n">
        <v>46103.25</v>
      </c>
      <c r="C4467" s="3" t="n">
        <v>46103.75</v>
      </c>
      <c r="D4467" s="4">
        <f>(C4467-B4467)*24</f>
        <v/>
      </c>
      <c r="E4467" s="5">
        <f>IF(AND(HOUR(B4467)&gt;=6,HOUR(B4467)&lt;18),"Day Shift","Night Shift")</f>
        <v/>
      </c>
      <c r="F4467" s="6">
        <f>INT(B4467)</f>
        <v/>
      </c>
      <c r="G4467" s="6">
        <f>INT(C4467)</f>
        <v/>
      </c>
    </row>
    <row r="4468">
      <c r="A4468" s="7" t="inlineStr">
        <is>
          <t>EXD60</t>
        </is>
      </c>
      <c r="B4468" s="8" t="n">
        <v>46103.75</v>
      </c>
      <c r="C4468" s="8" t="n">
        <v>46104.25</v>
      </c>
      <c r="D4468" s="9">
        <f>(C4468-B4468)*24</f>
        <v/>
      </c>
      <c r="E4468" s="10">
        <f>IF(AND(HOUR(B4468)&gt;=6,HOUR(B4468)&lt;18),"Day Shift","Night Shift")</f>
        <v/>
      </c>
      <c r="F4468" s="11">
        <f>INT(B4468)</f>
        <v/>
      </c>
      <c r="G4468" s="11">
        <f>INT(C4468)</f>
        <v/>
      </c>
    </row>
    <row r="4469">
      <c r="A4469" s="2" t="inlineStr">
        <is>
          <t>EXD60</t>
        </is>
      </c>
      <c r="B4469" s="3" t="n">
        <v>46104.25</v>
      </c>
      <c r="C4469" s="3" t="n">
        <v>46104.31263888889</v>
      </c>
      <c r="D4469" s="4">
        <f>(C4469-B4469)*24</f>
        <v/>
      </c>
      <c r="E4469" s="5">
        <f>IF(AND(HOUR(B4469)&gt;=6,HOUR(B4469)&lt;18),"Day Shift","Night Shift")</f>
        <v/>
      </c>
      <c r="F4469" s="6">
        <f>INT(B4469)</f>
        <v/>
      </c>
      <c r="G4469" s="6">
        <f>INT(C4469)</f>
        <v/>
      </c>
    </row>
    <row r="4470">
      <c r="A4470" s="2" t="inlineStr">
        <is>
          <t>EXD61</t>
        </is>
      </c>
      <c r="B4470" s="3" t="n">
        <v>46100.28744212963</v>
      </c>
      <c r="C4470" s="3" t="n">
        <v>46100.75</v>
      </c>
      <c r="D4470" s="4">
        <f>(C4470-B4470)*24</f>
        <v/>
      </c>
      <c r="E4470" s="5">
        <f>IF(AND(HOUR(B4470)&gt;=6,HOUR(B4470)&lt;18),"Day Shift","Night Shift")</f>
        <v/>
      </c>
      <c r="F4470" s="6">
        <f>INT(B4470)</f>
        <v/>
      </c>
      <c r="G4470" s="6">
        <f>INT(C4470)</f>
        <v/>
      </c>
    </row>
    <row r="4471">
      <c r="A4471" s="7" t="inlineStr">
        <is>
          <t>EXD61</t>
        </is>
      </c>
      <c r="B4471" s="8" t="n">
        <v>46100.75</v>
      </c>
      <c r="C4471" s="8" t="n">
        <v>46101.12436342592</v>
      </c>
      <c r="D4471" s="9">
        <f>(C4471-B4471)*24</f>
        <v/>
      </c>
      <c r="E4471" s="10">
        <f>IF(AND(HOUR(B4471)&gt;=6,HOUR(B4471)&lt;18),"Day Shift","Night Shift")</f>
        <v/>
      </c>
      <c r="F4471" s="11">
        <f>INT(B4471)</f>
        <v/>
      </c>
      <c r="G4471" s="11">
        <f>INT(C4471)</f>
        <v/>
      </c>
    </row>
    <row r="4472">
      <c r="A4472" s="2" t="inlineStr">
        <is>
          <t>EXD100</t>
        </is>
      </c>
      <c r="B4472" s="3" t="n">
        <v>46100.39765046296</v>
      </c>
      <c r="C4472" s="3" t="n">
        <v>46100.75</v>
      </c>
      <c r="D4472" s="4">
        <f>(C4472-B4472)*24</f>
        <v/>
      </c>
      <c r="E4472" s="5">
        <f>IF(AND(HOUR(B4472)&gt;=6,HOUR(B4472)&lt;18),"Day Shift","Night Shift")</f>
        <v/>
      </c>
      <c r="F4472" s="6">
        <f>INT(B4472)</f>
        <v/>
      </c>
      <c r="G4472" s="6">
        <f>INT(C4472)</f>
        <v/>
      </c>
    </row>
    <row r="4473">
      <c r="A4473" s="7" t="inlineStr">
        <is>
          <t>EXD100</t>
        </is>
      </c>
      <c r="B4473" s="8" t="n">
        <v>46100.75</v>
      </c>
      <c r="C4473" s="8" t="n">
        <v>46101.07810185185</v>
      </c>
      <c r="D4473" s="9">
        <f>(C4473-B4473)*24</f>
        <v/>
      </c>
      <c r="E4473" s="10">
        <f>IF(AND(HOUR(B4473)&gt;=6,HOUR(B4473)&lt;18),"Day Shift","Night Shift")</f>
        <v/>
      </c>
      <c r="F4473" s="11">
        <f>INT(B4473)</f>
        <v/>
      </c>
      <c r="G4473" s="11">
        <f>INT(C4473)</f>
        <v/>
      </c>
    </row>
    <row r="4474">
      <c r="A4474" s="2" t="inlineStr">
        <is>
          <t>EXD101</t>
        </is>
      </c>
      <c r="B4474" s="3" t="n">
        <v>46100.43903935186</v>
      </c>
      <c r="C4474" s="3" t="n">
        <v>46100.75</v>
      </c>
      <c r="D4474" s="4">
        <f>(C4474-B4474)*24</f>
        <v/>
      </c>
      <c r="E4474" s="5">
        <f>IF(AND(HOUR(B4474)&gt;=6,HOUR(B4474)&lt;18),"Day Shift","Night Shift")</f>
        <v/>
      </c>
      <c r="F4474" s="6">
        <f>INT(B4474)</f>
        <v/>
      </c>
      <c r="G4474" s="6">
        <f>INT(C4474)</f>
        <v/>
      </c>
    </row>
    <row r="4475">
      <c r="A4475" s="7" t="inlineStr">
        <is>
          <t>EXD101</t>
        </is>
      </c>
      <c r="B4475" s="8" t="n">
        <v>46100.75</v>
      </c>
      <c r="C4475" s="8" t="n">
        <v>46101.25</v>
      </c>
      <c r="D4475" s="9">
        <f>(C4475-B4475)*24</f>
        <v/>
      </c>
      <c r="E4475" s="10">
        <f>IF(AND(HOUR(B4475)&gt;=6,HOUR(B4475)&lt;18),"Day Shift","Night Shift")</f>
        <v/>
      </c>
      <c r="F4475" s="11">
        <f>INT(B4475)</f>
        <v/>
      </c>
      <c r="G4475" s="11">
        <f>INT(C4475)</f>
        <v/>
      </c>
    </row>
    <row r="4476">
      <c r="A4476" s="2" t="inlineStr">
        <is>
          <t>EXD101</t>
        </is>
      </c>
      <c r="B4476" s="3" t="n">
        <v>46101.25</v>
      </c>
      <c r="C4476" s="3" t="n">
        <v>46101.42697916667</v>
      </c>
      <c r="D4476" s="4">
        <f>(C4476-B4476)*24</f>
        <v/>
      </c>
      <c r="E4476" s="5">
        <f>IF(AND(HOUR(B4476)&gt;=6,HOUR(B4476)&lt;18),"Day Shift","Night Shift")</f>
        <v/>
      </c>
      <c r="F4476" s="6">
        <f>INT(B4476)</f>
        <v/>
      </c>
      <c r="G4476" s="6">
        <f>INT(C4476)</f>
        <v/>
      </c>
    </row>
    <row r="4477">
      <c r="A4477" s="2" t="inlineStr">
        <is>
          <t>EDD175;EDD1932;EDD2134;EDD812</t>
        </is>
      </c>
      <c r="B4477" s="3" t="n">
        <v>46100.44744212963</v>
      </c>
      <c r="C4477" s="3" t="n">
        <v>46100.63496527778</v>
      </c>
      <c r="D4477" s="4">
        <f>(C4477-B4477)*24</f>
        <v/>
      </c>
      <c r="E4477" s="5">
        <f>IF(AND(HOUR(B4477)&gt;=6,HOUR(B4477)&lt;18),"Day Shift","Night Shift")</f>
        <v/>
      </c>
      <c r="F4477" s="6">
        <f>INT(B4477)</f>
        <v/>
      </c>
      <c r="G4477" s="6">
        <f>INT(C4477)</f>
        <v/>
      </c>
    </row>
    <row r="4478">
      <c r="A4478" s="2" t="inlineStr">
        <is>
          <t>Blast</t>
        </is>
      </c>
      <c r="B4478" s="3" t="n">
        <v>46100.45833333334</v>
      </c>
      <c r="C4478" s="3" t="n">
        <v>46100.45853009259</v>
      </c>
      <c r="D4478" s="4">
        <f>(C4478-B4478)*24</f>
        <v/>
      </c>
      <c r="E4478" s="5">
        <f>IF(AND(HOUR(B4478)&gt;=6,HOUR(B4478)&lt;18),"Day Shift","Night Shift")</f>
        <v/>
      </c>
      <c r="F4478" s="6">
        <f>INT(B4478)</f>
        <v/>
      </c>
      <c r="G4478" s="6">
        <f>INT(C4478)</f>
        <v/>
      </c>
    </row>
    <row r="4479">
      <c r="A4479" s="2" t="inlineStr">
        <is>
          <t>Blast</t>
        </is>
      </c>
      <c r="B4479" s="3" t="n">
        <v>46100.45853009259</v>
      </c>
      <c r="C4479" s="3" t="n">
        <v>46100.45872685185</v>
      </c>
      <c r="D4479" s="4">
        <f>(C4479-B4479)*24</f>
        <v/>
      </c>
      <c r="E4479" s="5">
        <f>IF(AND(HOUR(B4479)&gt;=6,HOUR(B4479)&lt;18),"Day Shift","Night Shift")</f>
        <v/>
      </c>
      <c r="F4479" s="6">
        <f>INT(B4479)</f>
        <v/>
      </c>
      <c r="G4479" s="6">
        <f>INT(C4479)</f>
        <v/>
      </c>
    </row>
    <row r="4480">
      <c r="A4480" s="2" t="inlineStr">
        <is>
          <t>Blast</t>
        </is>
      </c>
      <c r="B4480" s="3" t="n">
        <v>46100.45872685185</v>
      </c>
      <c r="C4480" s="3" t="n">
        <v>46100.45892361111</v>
      </c>
      <c r="D4480" s="4">
        <f>(C4480-B4480)*24</f>
        <v/>
      </c>
      <c r="E4480" s="5">
        <f>IF(AND(HOUR(B4480)&gt;=6,HOUR(B4480)&lt;18),"Day Shift","Night Shift")</f>
        <v/>
      </c>
      <c r="F4480" s="6">
        <f>INT(B4480)</f>
        <v/>
      </c>
      <c r="G4480" s="6">
        <f>INT(C4480)</f>
        <v/>
      </c>
    </row>
    <row r="4481">
      <c r="A4481" s="2" t="inlineStr">
        <is>
          <t>Blast</t>
        </is>
      </c>
      <c r="B4481" s="3" t="n">
        <v>46100.45892361111</v>
      </c>
      <c r="C4481" s="3" t="n">
        <v>46100.45912037037</v>
      </c>
      <c r="D4481" s="4">
        <f>(C4481-B4481)*24</f>
        <v/>
      </c>
      <c r="E4481" s="5">
        <f>IF(AND(HOUR(B4481)&gt;=6,HOUR(B4481)&lt;18),"Day Shift","Night Shift")</f>
        <v/>
      </c>
      <c r="F4481" s="6">
        <f>INT(B4481)</f>
        <v/>
      </c>
      <c r="G4481" s="6">
        <f>INT(C4481)</f>
        <v/>
      </c>
    </row>
    <row r="4482">
      <c r="A4482" s="2" t="inlineStr">
        <is>
          <t>Blast</t>
        </is>
      </c>
      <c r="B4482" s="3" t="n">
        <v>46100.45912037037</v>
      </c>
      <c r="C4482" s="3" t="n">
        <v>46100.45931712963</v>
      </c>
      <c r="D4482" s="4">
        <f>(C4482-B4482)*24</f>
        <v/>
      </c>
      <c r="E4482" s="5">
        <f>IF(AND(HOUR(B4482)&gt;=6,HOUR(B4482)&lt;18),"Day Shift","Night Shift")</f>
        <v/>
      </c>
      <c r="F4482" s="6">
        <f>INT(B4482)</f>
        <v/>
      </c>
      <c r="G4482" s="6">
        <f>INT(C4482)</f>
        <v/>
      </c>
    </row>
    <row r="4483">
      <c r="A4483" s="2" t="inlineStr">
        <is>
          <t>Blast</t>
        </is>
      </c>
      <c r="B4483" s="3" t="n">
        <v>46100.45931712963</v>
      </c>
      <c r="C4483" s="3" t="n">
        <v>46100.45952546296</v>
      </c>
      <c r="D4483" s="4">
        <f>(C4483-B4483)*24</f>
        <v/>
      </c>
      <c r="E4483" s="5">
        <f>IF(AND(HOUR(B4483)&gt;=6,HOUR(B4483)&lt;18),"Day Shift","Night Shift")</f>
        <v/>
      </c>
      <c r="F4483" s="6">
        <f>INT(B4483)</f>
        <v/>
      </c>
      <c r="G4483" s="6">
        <f>INT(C4483)</f>
        <v/>
      </c>
    </row>
    <row r="4484">
      <c r="A4484" s="2" t="inlineStr">
        <is>
          <t>Blast</t>
        </is>
      </c>
      <c r="B4484" s="3" t="n">
        <v>46100.45952546296</v>
      </c>
      <c r="C4484" s="3" t="n">
        <v>46100.45974537037</v>
      </c>
      <c r="D4484" s="4">
        <f>(C4484-B4484)*24</f>
        <v/>
      </c>
      <c r="E4484" s="5">
        <f>IF(AND(HOUR(B4484)&gt;=6,HOUR(B4484)&lt;18),"Day Shift","Night Shift")</f>
        <v/>
      </c>
      <c r="F4484" s="6">
        <f>INT(B4484)</f>
        <v/>
      </c>
      <c r="G4484" s="6">
        <f>INT(C4484)</f>
        <v/>
      </c>
    </row>
    <row r="4485">
      <c r="A4485" s="2" t="inlineStr">
        <is>
          <t>Blast</t>
        </is>
      </c>
      <c r="B4485" s="3" t="n">
        <v>46100.45974537037</v>
      </c>
      <c r="C4485" s="3" t="n">
        <v>46100.45996527778</v>
      </c>
      <c r="D4485" s="4">
        <f>(C4485-B4485)*24</f>
        <v/>
      </c>
      <c r="E4485" s="5">
        <f>IF(AND(HOUR(B4485)&gt;=6,HOUR(B4485)&lt;18),"Day Shift","Night Shift")</f>
        <v/>
      </c>
      <c r="F4485" s="6">
        <f>INT(B4485)</f>
        <v/>
      </c>
      <c r="G4485" s="6">
        <f>INT(C4485)</f>
        <v/>
      </c>
    </row>
    <row r="4486">
      <c r="A4486" s="2" t="inlineStr">
        <is>
          <t>Blast</t>
        </is>
      </c>
      <c r="B4486" s="3" t="n">
        <v>46100.45996527778</v>
      </c>
      <c r="C4486" s="3" t="n">
        <v>46100.46017361111</v>
      </c>
      <c r="D4486" s="4">
        <f>(C4486-B4486)*24</f>
        <v/>
      </c>
      <c r="E4486" s="5">
        <f>IF(AND(HOUR(B4486)&gt;=6,HOUR(B4486)&lt;18),"Day Shift","Night Shift")</f>
        <v/>
      </c>
      <c r="F4486" s="6">
        <f>INT(B4486)</f>
        <v/>
      </c>
      <c r="G4486" s="6">
        <f>INT(C4486)</f>
        <v/>
      </c>
    </row>
    <row r="4487">
      <c r="A4487" s="2" t="inlineStr">
        <is>
          <t>Blast</t>
        </is>
      </c>
      <c r="B4487" s="3" t="n">
        <v>46100.46017361111</v>
      </c>
      <c r="C4487" s="3" t="n">
        <v>46100.46038194445</v>
      </c>
      <c r="D4487" s="4">
        <f>(C4487-B4487)*24</f>
        <v/>
      </c>
      <c r="E4487" s="5">
        <f>IF(AND(HOUR(B4487)&gt;=6,HOUR(B4487)&lt;18),"Day Shift","Night Shift")</f>
        <v/>
      </c>
      <c r="F4487" s="6">
        <f>INT(B4487)</f>
        <v/>
      </c>
      <c r="G4487" s="6">
        <f>INT(C4487)</f>
        <v/>
      </c>
    </row>
    <row r="4488">
      <c r="A4488" s="2" t="inlineStr">
        <is>
          <t>Blast</t>
        </is>
      </c>
      <c r="B4488" s="3" t="n">
        <v>46100.46038194445</v>
      </c>
      <c r="C4488" s="3" t="n">
        <v>46100.46061342592</v>
      </c>
      <c r="D4488" s="4">
        <f>(C4488-B4488)*24</f>
        <v/>
      </c>
      <c r="E4488" s="5">
        <f>IF(AND(HOUR(B4488)&gt;=6,HOUR(B4488)&lt;18),"Day Shift","Night Shift")</f>
        <v/>
      </c>
      <c r="F4488" s="6">
        <f>INT(B4488)</f>
        <v/>
      </c>
      <c r="G4488" s="6">
        <f>INT(C4488)</f>
        <v/>
      </c>
    </row>
    <row r="4489">
      <c r="A4489" s="2" t="inlineStr">
        <is>
          <t>Blast</t>
        </is>
      </c>
      <c r="B4489" s="3" t="n">
        <v>46100.46061342592</v>
      </c>
      <c r="C4489" s="3" t="n">
        <v>46100.46084490741</v>
      </c>
      <c r="D4489" s="4">
        <f>(C4489-B4489)*24</f>
        <v/>
      </c>
      <c r="E4489" s="5">
        <f>IF(AND(HOUR(B4489)&gt;=6,HOUR(B4489)&lt;18),"Day Shift","Night Shift")</f>
        <v/>
      </c>
      <c r="F4489" s="6">
        <f>INT(B4489)</f>
        <v/>
      </c>
      <c r="G4489" s="6">
        <f>INT(C4489)</f>
        <v/>
      </c>
    </row>
    <row r="4490">
      <c r="A4490" s="2" t="inlineStr">
        <is>
          <t>Blast</t>
        </is>
      </c>
      <c r="B4490" s="3" t="n">
        <v>46100.46084490741</v>
      </c>
      <c r="C4490" s="3" t="n">
        <v>46100.46108796296</v>
      </c>
      <c r="D4490" s="4">
        <f>(C4490-B4490)*24</f>
        <v/>
      </c>
      <c r="E4490" s="5">
        <f>IF(AND(HOUR(B4490)&gt;=6,HOUR(B4490)&lt;18),"Day Shift","Night Shift")</f>
        <v/>
      </c>
      <c r="F4490" s="6">
        <f>INT(B4490)</f>
        <v/>
      </c>
      <c r="G4490" s="6">
        <f>INT(C4490)</f>
        <v/>
      </c>
    </row>
    <row r="4491">
      <c r="A4491" s="2" t="inlineStr">
        <is>
          <t>Blast</t>
        </is>
      </c>
      <c r="B4491" s="3" t="n">
        <v>46100.46108796296</v>
      </c>
      <c r="C4491" s="3" t="n">
        <v>46100.46131944445</v>
      </c>
      <c r="D4491" s="4">
        <f>(C4491-B4491)*24</f>
        <v/>
      </c>
      <c r="E4491" s="5">
        <f>IF(AND(HOUR(B4491)&gt;=6,HOUR(B4491)&lt;18),"Day Shift","Night Shift")</f>
        <v/>
      </c>
      <c r="F4491" s="6">
        <f>INT(B4491)</f>
        <v/>
      </c>
      <c r="G4491" s="6">
        <f>INT(C4491)</f>
        <v/>
      </c>
    </row>
    <row r="4492">
      <c r="A4492" s="2" t="inlineStr">
        <is>
          <t>Blast</t>
        </is>
      </c>
      <c r="B4492" s="3" t="n">
        <v>46100.46131944445</v>
      </c>
      <c r="C4492" s="3" t="n">
        <v>46100.4615162037</v>
      </c>
      <c r="D4492" s="4">
        <f>(C4492-B4492)*24</f>
        <v/>
      </c>
      <c r="E4492" s="5">
        <f>IF(AND(HOUR(B4492)&gt;=6,HOUR(B4492)&lt;18),"Day Shift","Night Shift")</f>
        <v/>
      </c>
      <c r="F4492" s="6">
        <f>INT(B4492)</f>
        <v/>
      </c>
      <c r="G4492" s="6">
        <f>INT(C4492)</f>
        <v/>
      </c>
    </row>
    <row r="4493">
      <c r="A4493" s="2" t="inlineStr">
        <is>
          <t>Blast</t>
        </is>
      </c>
      <c r="B4493" s="3" t="n">
        <v>46100.4615162037</v>
      </c>
      <c r="C4493" s="3" t="n">
        <v>46100.46170138889</v>
      </c>
      <c r="D4493" s="4">
        <f>(C4493-B4493)*24</f>
        <v/>
      </c>
      <c r="E4493" s="5">
        <f>IF(AND(HOUR(B4493)&gt;=6,HOUR(B4493)&lt;18),"Day Shift","Night Shift")</f>
        <v/>
      </c>
      <c r="F4493" s="6">
        <f>INT(B4493)</f>
        <v/>
      </c>
      <c r="G4493" s="6">
        <f>INT(C4493)</f>
        <v/>
      </c>
    </row>
    <row r="4494">
      <c r="A4494" s="2" t="inlineStr">
        <is>
          <t>Blast</t>
        </is>
      </c>
      <c r="B4494" s="3" t="n">
        <v>46100.46170138889</v>
      </c>
      <c r="C4494" s="3" t="n">
        <v>46100.46188657408</v>
      </c>
      <c r="D4494" s="4">
        <f>(C4494-B4494)*24</f>
        <v/>
      </c>
      <c r="E4494" s="5">
        <f>IF(AND(HOUR(B4494)&gt;=6,HOUR(B4494)&lt;18),"Day Shift","Night Shift")</f>
        <v/>
      </c>
      <c r="F4494" s="6">
        <f>INT(B4494)</f>
        <v/>
      </c>
      <c r="G4494" s="6">
        <f>INT(C4494)</f>
        <v/>
      </c>
    </row>
    <row r="4495">
      <c r="A4495" s="2" t="inlineStr">
        <is>
          <t>Blast</t>
        </is>
      </c>
      <c r="B4495" s="3" t="n">
        <v>46100.46188657408</v>
      </c>
      <c r="C4495" s="3" t="n">
        <v>46100.46209490741</v>
      </c>
      <c r="D4495" s="4">
        <f>(C4495-B4495)*24</f>
        <v/>
      </c>
      <c r="E4495" s="5">
        <f>IF(AND(HOUR(B4495)&gt;=6,HOUR(B4495)&lt;18),"Day Shift","Night Shift")</f>
        <v/>
      </c>
      <c r="F4495" s="6">
        <f>INT(B4495)</f>
        <v/>
      </c>
      <c r="G4495" s="6">
        <f>INT(C4495)</f>
        <v/>
      </c>
    </row>
    <row r="4496">
      <c r="A4496" s="2" t="inlineStr">
        <is>
          <t>Blast</t>
        </is>
      </c>
      <c r="B4496" s="3" t="n">
        <v>46100.46209490741</v>
      </c>
      <c r="C4496" s="3" t="n">
        <v>46100.46230324074</v>
      </c>
      <c r="D4496" s="4">
        <f>(C4496-B4496)*24</f>
        <v/>
      </c>
      <c r="E4496" s="5">
        <f>IF(AND(HOUR(B4496)&gt;=6,HOUR(B4496)&lt;18),"Day Shift","Night Shift")</f>
        <v/>
      </c>
      <c r="F4496" s="6">
        <f>INT(B4496)</f>
        <v/>
      </c>
      <c r="G4496" s="6">
        <f>INT(C4496)</f>
        <v/>
      </c>
    </row>
    <row r="4497">
      <c r="A4497" s="2" t="inlineStr">
        <is>
          <t>Blast</t>
        </is>
      </c>
      <c r="B4497" s="3" t="n">
        <v>46100.46230324074</v>
      </c>
      <c r="C4497" s="3" t="n">
        <v>46100.46247685186</v>
      </c>
      <c r="D4497" s="4">
        <f>(C4497-B4497)*24</f>
        <v/>
      </c>
      <c r="E4497" s="5">
        <f>IF(AND(HOUR(B4497)&gt;=6,HOUR(B4497)&lt;18),"Day Shift","Night Shift")</f>
        <v/>
      </c>
      <c r="F4497" s="6">
        <f>INT(B4497)</f>
        <v/>
      </c>
      <c r="G4497" s="6">
        <f>INT(C4497)</f>
        <v/>
      </c>
    </row>
    <row r="4498">
      <c r="A4498" s="2" t="inlineStr">
        <is>
          <t>Blast</t>
        </is>
      </c>
      <c r="B4498" s="3" t="n">
        <v>46100.46247685186</v>
      </c>
      <c r="C4498" s="3" t="n">
        <v>46100.46248842592</v>
      </c>
      <c r="D4498" s="4">
        <f>(C4498-B4498)*24</f>
        <v/>
      </c>
      <c r="E4498" s="5">
        <f>IF(AND(HOUR(B4498)&gt;=6,HOUR(B4498)&lt;18),"Day Shift","Night Shift")</f>
        <v/>
      </c>
      <c r="F4498" s="6">
        <f>INT(B4498)</f>
        <v/>
      </c>
      <c r="G4498" s="6">
        <f>INT(C4498)</f>
        <v/>
      </c>
    </row>
    <row r="4499">
      <c r="A4499" s="2" t="inlineStr">
        <is>
          <t>Blast</t>
        </is>
      </c>
      <c r="B4499" s="3" t="n">
        <v>46100.46248842592</v>
      </c>
      <c r="C4499" s="3" t="n">
        <v>46100.4625</v>
      </c>
      <c r="D4499" s="4">
        <f>(C4499-B4499)*24</f>
        <v/>
      </c>
      <c r="E4499" s="5">
        <f>IF(AND(HOUR(B4499)&gt;=6,HOUR(B4499)&lt;18),"Day Shift","Night Shift")</f>
        <v/>
      </c>
      <c r="F4499" s="6">
        <f>INT(B4499)</f>
        <v/>
      </c>
      <c r="G4499" s="6">
        <f>INT(C4499)</f>
        <v/>
      </c>
    </row>
    <row r="4500">
      <c r="A4500" s="2" t="inlineStr">
        <is>
          <t>Blast</t>
        </is>
      </c>
      <c r="B4500" s="3" t="n">
        <v>46100.4625</v>
      </c>
      <c r="C4500" s="3" t="n">
        <v>46100.46251157407</v>
      </c>
      <c r="D4500" s="4">
        <f>(C4500-B4500)*24</f>
        <v/>
      </c>
      <c r="E4500" s="5">
        <f>IF(AND(HOUR(B4500)&gt;=6,HOUR(B4500)&lt;18),"Day Shift","Night Shift")</f>
        <v/>
      </c>
      <c r="F4500" s="6">
        <f>INT(B4500)</f>
        <v/>
      </c>
      <c r="G4500" s="6">
        <f>INT(C4500)</f>
        <v/>
      </c>
    </row>
    <row r="4501">
      <c r="A4501" s="2" t="inlineStr">
        <is>
          <t>Blast</t>
        </is>
      </c>
      <c r="B4501" s="3" t="n">
        <v>46100.46251157407</v>
      </c>
      <c r="C4501" s="3" t="n">
        <v>46100.46271990741</v>
      </c>
      <c r="D4501" s="4">
        <f>(C4501-B4501)*24</f>
        <v/>
      </c>
      <c r="E4501" s="5">
        <f>IF(AND(HOUR(B4501)&gt;=6,HOUR(B4501)&lt;18),"Day Shift","Night Shift")</f>
        <v/>
      </c>
      <c r="F4501" s="6">
        <f>INT(B4501)</f>
        <v/>
      </c>
      <c r="G4501" s="6">
        <f>INT(C4501)</f>
        <v/>
      </c>
    </row>
    <row r="4502">
      <c r="A4502" s="2" t="inlineStr">
        <is>
          <t>Blast</t>
        </is>
      </c>
      <c r="B4502" s="3" t="n">
        <v>46100.46271990741</v>
      </c>
      <c r="C4502" s="3" t="n">
        <v>46100.46292824074</v>
      </c>
      <c r="D4502" s="4">
        <f>(C4502-B4502)*24</f>
        <v/>
      </c>
      <c r="E4502" s="5">
        <f>IF(AND(HOUR(B4502)&gt;=6,HOUR(B4502)&lt;18),"Day Shift","Night Shift")</f>
        <v/>
      </c>
      <c r="F4502" s="6">
        <f>INT(B4502)</f>
        <v/>
      </c>
      <c r="G4502" s="6">
        <f>INT(C4502)</f>
        <v/>
      </c>
    </row>
    <row r="4503">
      <c r="A4503" s="2" t="inlineStr">
        <is>
          <t>Blast</t>
        </is>
      </c>
      <c r="B4503" s="3" t="n">
        <v>46100.46292824074</v>
      </c>
      <c r="C4503" s="3" t="n">
        <v>46100.46313657407</v>
      </c>
      <c r="D4503" s="4">
        <f>(C4503-B4503)*24</f>
        <v/>
      </c>
      <c r="E4503" s="5">
        <f>IF(AND(HOUR(B4503)&gt;=6,HOUR(B4503)&lt;18),"Day Shift","Night Shift")</f>
        <v/>
      </c>
      <c r="F4503" s="6">
        <f>INT(B4503)</f>
        <v/>
      </c>
      <c r="G4503" s="6">
        <f>INT(C4503)</f>
        <v/>
      </c>
    </row>
    <row r="4504">
      <c r="A4504" s="2" t="inlineStr">
        <is>
          <t>Blast</t>
        </is>
      </c>
      <c r="B4504" s="3" t="n">
        <v>46100.46313657407</v>
      </c>
      <c r="C4504" s="3" t="n">
        <v>46100.46331018519</v>
      </c>
      <c r="D4504" s="4">
        <f>(C4504-B4504)*24</f>
        <v/>
      </c>
      <c r="E4504" s="5">
        <f>IF(AND(HOUR(B4504)&gt;=6,HOUR(B4504)&lt;18),"Day Shift","Night Shift")</f>
        <v/>
      </c>
      <c r="F4504" s="6">
        <f>INT(B4504)</f>
        <v/>
      </c>
      <c r="G4504" s="6">
        <f>INT(C4504)</f>
        <v/>
      </c>
    </row>
    <row r="4505">
      <c r="A4505" s="2" t="inlineStr">
        <is>
          <t>Blast</t>
        </is>
      </c>
      <c r="B4505" s="3" t="n">
        <v>46100.46331018519</v>
      </c>
      <c r="C4505" s="3" t="n">
        <v>46100.46351851852</v>
      </c>
      <c r="D4505" s="4">
        <f>(C4505-B4505)*24</f>
        <v/>
      </c>
      <c r="E4505" s="5">
        <f>IF(AND(HOUR(B4505)&gt;=6,HOUR(B4505)&lt;18),"Day Shift","Night Shift")</f>
        <v/>
      </c>
      <c r="F4505" s="6">
        <f>INT(B4505)</f>
        <v/>
      </c>
      <c r="G4505" s="6">
        <f>INT(C4505)</f>
        <v/>
      </c>
    </row>
    <row r="4506">
      <c r="A4506" s="2" t="inlineStr">
        <is>
          <t>Blast</t>
        </is>
      </c>
      <c r="B4506" s="3" t="n">
        <v>46100.46351851852</v>
      </c>
      <c r="C4506" s="3" t="n">
        <v>46100.46373842593</v>
      </c>
      <c r="D4506" s="4">
        <f>(C4506-B4506)*24</f>
        <v/>
      </c>
      <c r="E4506" s="5">
        <f>IF(AND(HOUR(B4506)&gt;=6,HOUR(B4506)&lt;18),"Day Shift","Night Shift")</f>
        <v/>
      </c>
      <c r="F4506" s="6">
        <f>INT(B4506)</f>
        <v/>
      </c>
      <c r="G4506" s="6">
        <f>INT(C4506)</f>
        <v/>
      </c>
    </row>
    <row r="4507">
      <c r="A4507" s="2" t="inlineStr">
        <is>
          <t>Blast</t>
        </is>
      </c>
      <c r="B4507" s="3" t="n">
        <v>46100.46373842593</v>
      </c>
      <c r="C4507" s="3" t="n">
        <v>46100.46396990741</v>
      </c>
      <c r="D4507" s="4">
        <f>(C4507-B4507)*24</f>
        <v/>
      </c>
      <c r="E4507" s="5">
        <f>IF(AND(HOUR(B4507)&gt;=6,HOUR(B4507)&lt;18),"Day Shift","Night Shift")</f>
        <v/>
      </c>
      <c r="F4507" s="6">
        <f>INT(B4507)</f>
        <v/>
      </c>
      <c r="G4507" s="6">
        <f>INT(C4507)</f>
        <v/>
      </c>
    </row>
    <row r="4508">
      <c r="A4508" s="2" t="inlineStr">
        <is>
          <t>Blast</t>
        </is>
      </c>
      <c r="B4508" s="3" t="n">
        <v>46100.46396990741</v>
      </c>
      <c r="C4508" s="3" t="n">
        <v>46100.4641550926</v>
      </c>
      <c r="D4508" s="4">
        <f>(C4508-B4508)*24</f>
        <v/>
      </c>
      <c r="E4508" s="5">
        <f>IF(AND(HOUR(B4508)&gt;=6,HOUR(B4508)&lt;18),"Day Shift","Night Shift")</f>
        <v/>
      </c>
      <c r="F4508" s="6">
        <f>INT(B4508)</f>
        <v/>
      </c>
      <c r="G4508" s="6">
        <f>INT(C4508)</f>
        <v/>
      </c>
    </row>
    <row r="4509">
      <c r="A4509" s="2" t="inlineStr">
        <is>
          <t>Blast</t>
        </is>
      </c>
      <c r="B4509" s="3" t="n">
        <v>46100.4641550926</v>
      </c>
      <c r="C4509" s="3" t="n">
        <v>46100.464375</v>
      </c>
      <c r="D4509" s="4">
        <f>(C4509-B4509)*24</f>
        <v/>
      </c>
      <c r="E4509" s="5">
        <f>IF(AND(HOUR(B4509)&gt;=6,HOUR(B4509)&lt;18),"Day Shift","Night Shift")</f>
        <v/>
      </c>
      <c r="F4509" s="6">
        <f>INT(B4509)</f>
        <v/>
      </c>
      <c r="G4509" s="6">
        <f>INT(C4509)</f>
        <v/>
      </c>
    </row>
    <row r="4510">
      <c r="A4510" s="2" t="inlineStr">
        <is>
          <t>Blast</t>
        </is>
      </c>
      <c r="B4510" s="3" t="n">
        <v>46100.464375</v>
      </c>
      <c r="C4510" s="3" t="n">
        <v>46100.46460648148</v>
      </c>
      <c r="D4510" s="4">
        <f>(C4510-B4510)*24</f>
        <v/>
      </c>
      <c r="E4510" s="5">
        <f>IF(AND(HOUR(B4510)&gt;=6,HOUR(B4510)&lt;18),"Day Shift","Night Shift")</f>
        <v/>
      </c>
      <c r="F4510" s="6">
        <f>INT(B4510)</f>
        <v/>
      </c>
      <c r="G4510" s="6">
        <f>INT(C4510)</f>
        <v/>
      </c>
    </row>
    <row r="4511">
      <c r="A4511" s="2" t="inlineStr">
        <is>
          <t>Blast</t>
        </is>
      </c>
      <c r="B4511" s="3" t="n">
        <v>46100.46460648148</v>
      </c>
      <c r="C4511" s="3" t="n">
        <v>46100.46481481481</v>
      </c>
      <c r="D4511" s="4">
        <f>(C4511-B4511)*24</f>
        <v/>
      </c>
      <c r="E4511" s="5">
        <f>IF(AND(HOUR(B4511)&gt;=6,HOUR(B4511)&lt;18),"Day Shift","Night Shift")</f>
        <v/>
      </c>
      <c r="F4511" s="6">
        <f>INT(B4511)</f>
        <v/>
      </c>
      <c r="G4511" s="6">
        <f>INT(C4511)</f>
        <v/>
      </c>
    </row>
    <row r="4512">
      <c r="A4512" s="2" t="inlineStr">
        <is>
          <t>Blast</t>
        </is>
      </c>
      <c r="B4512" s="3" t="n">
        <v>46100.46481481481</v>
      </c>
      <c r="C4512" s="3" t="n">
        <v>46100.46496527778</v>
      </c>
      <c r="D4512" s="4">
        <f>(C4512-B4512)*24</f>
        <v/>
      </c>
      <c r="E4512" s="5">
        <f>IF(AND(HOUR(B4512)&gt;=6,HOUR(B4512)&lt;18),"Day Shift","Night Shift")</f>
        <v/>
      </c>
      <c r="F4512" s="6">
        <f>INT(B4512)</f>
        <v/>
      </c>
      <c r="G4512" s="6">
        <f>INT(C4512)</f>
        <v/>
      </c>
    </row>
    <row r="4513">
      <c r="A4513" s="2" t="inlineStr">
        <is>
          <t>Blast</t>
        </is>
      </c>
      <c r="B4513" s="3" t="n">
        <v>46100.46496527778</v>
      </c>
      <c r="C4513" s="3" t="n">
        <v>46100.46498842593</v>
      </c>
      <c r="D4513" s="4">
        <f>(C4513-B4513)*24</f>
        <v/>
      </c>
      <c r="E4513" s="5">
        <f>IF(AND(HOUR(B4513)&gt;=6,HOUR(B4513)&lt;18),"Day Shift","Night Shift")</f>
        <v/>
      </c>
      <c r="F4513" s="6">
        <f>INT(B4513)</f>
        <v/>
      </c>
      <c r="G4513" s="6">
        <f>INT(C4513)</f>
        <v/>
      </c>
    </row>
    <row r="4514">
      <c r="A4514" s="2" t="inlineStr">
        <is>
          <t>Blast</t>
        </is>
      </c>
      <c r="B4514" s="3" t="n">
        <v>46100.46498842593</v>
      </c>
      <c r="C4514" s="3" t="n">
        <v>46100.46502314815</v>
      </c>
      <c r="D4514" s="4">
        <f>(C4514-B4514)*24</f>
        <v/>
      </c>
      <c r="E4514" s="5">
        <f>IF(AND(HOUR(B4514)&gt;=6,HOUR(B4514)&lt;18),"Day Shift","Night Shift")</f>
        <v/>
      </c>
      <c r="F4514" s="6">
        <f>INT(B4514)</f>
        <v/>
      </c>
      <c r="G4514" s="6">
        <f>INT(C4514)</f>
        <v/>
      </c>
    </row>
    <row r="4515">
      <c r="A4515" s="2" t="inlineStr">
        <is>
          <t>Blast</t>
        </is>
      </c>
      <c r="B4515" s="3" t="n">
        <v>46100.46502314815</v>
      </c>
      <c r="C4515" s="3" t="n">
        <v>46100.4650462963</v>
      </c>
      <c r="D4515" s="4">
        <f>(C4515-B4515)*24</f>
        <v/>
      </c>
      <c r="E4515" s="5">
        <f>IF(AND(HOUR(B4515)&gt;=6,HOUR(B4515)&lt;18),"Day Shift","Night Shift")</f>
        <v/>
      </c>
      <c r="F4515" s="6">
        <f>INT(B4515)</f>
        <v/>
      </c>
      <c r="G4515" s="6">
        <f>INT(C4515)</f>
        <v/>
      </c>
    </row>
    <row r="4516">
      <c r="A4516" s="2" t="inlineStr">
        <is>
          <t>Blast</t>
        </is>
      </c>
      <c r="B4516" s="3" t="n">
        <v>46100.4650462963</v>
      </c>
      <c r="C4516" s="3" t="n">
        <v>46100.46508101852</v>
      </c>
      <c r="D4516" s="4">
        <f>(C4516-B4516)*24</f>
        <v/>
      </c>
      <c r="E4516" s="5">
        <f>IF(AND(HOUR(B4516)&gt;=6,HOUR(B4516)&lt;18),"Day Shift","Night Shift")</f>
        <v/>
      </c>
      <c r="F4516" s="6">
        <f>INT(B4516)</f>
        <v/>
      </c>
      <c r="G4516" s="6">
        <f>INT(C4516)</f>
        <v/>
      </c>
    </row>
    <row r="4517">
      <c r="A4517" s="2" t="inlineStr">
        <is>
          <t>EXD98</t>
        </is>
      </c>
      <c r="B4517" s="3" t="n">
        <v>46100.54518518518</v>
      </c>
      <c r="C4517" s="3" t="n">
        <v>46100.75</v>
      </c>
      <c r="D4517" s="4">
        <f>(C4517-B4517)*24</f>
        <v/>
      </c>
      <c r="E4517" s="5">
        <f>IF(AND(HOUR(B4517)&gt;=6,HOUR(B4517)&lt;18),"Day Shift","Night Shift")</f>
        <v/>
      </c>
      <c r="F4517" s="6">
        <f>INT(B4517)</f>
        <v/>
      </c>
      <c r="G4517" s="6">
        <f>INT(C4517)</f>
        <v/>
      </c>
    </row>
    <row r="4518">
      <c r="A4518" s="7" t="inlineStr">
        <is>
          <t>EXD98</t>
        </is>
      </c>
      <c r="B4518" s="8" t="n">
        <v>46100.75</v>
      </c>
      <c r="C4518" s="8" t="n">
        <v>46101.25</v>
      </c>
      <c r="D4518" s="9">
        <f>(C4518-B4518)*24</f>
        <v/>
      </c>
      <c r="E4518" s="10">
        <f>IF(AND(HOUR(B4518)&gt;=6,HOUR(B4518)&lt;18),"Day Shift","Night Shift")</f>
        <v/>
      </c>
      <c r="F4518" s="11">
        <f>INT(B4518)</f>
        <v/>
      </c>
      <c r="G4518" s="11">
        <f>INT(C4518)</f>
        <v/>
      </c>
    </row>
    <row r="4519">
      <c r="A4519" s="2" t="inlineStr">
        <is>
          <t>EXD98</t>
        </is>
      </c>
      <c r="B4519" s="3" t="n">
        <v>46101.25</v>
      </c>
      <c r="C4519" s="3" t="n">
        <v>46101.39747685185</v>
      </c>
      <c r="D4519" s="4">
        <f>(C4519-B4519)*24</f>
        <v/>
      </c>
      <c r="E4519" s="5">
        <f>IF(AND(HOUR(B4519)&gt;=6,HOUR(B4519)&lt;18),"Day Shift","Night Shift")</f>
        <v/>
      </c>
      <c r="F4519" s="6">
        <f>INT(B4519)</f>
        <v/>
      </c>
      <c r="G4519" s="6">
        <f>INT(C4519)</f>
        <v/>
      </c>
    </row>
    <row r="4520">
      <c r="A4520" s="2" t="inlineStr">
        <is>
          <t>EXD73</t>
        </is>
      </c>
      <c r="B4520" s="3" t="n">
        <v>46100.60643518518</v>
      </c>
      <c r="C4520" s="3" t="n">
        <v>46100.75</v>
      </c>
      <c r="D4520" s="4">
        <f>(C4520-B4520)*24</f>
        <v/>
      </c>
      <c r="E4520" s="5">
        <f>IF(AND(HOUR(B4520)&gt;=6,HOUR(B4520)&lt;18),"Day Shift","Night Shift")</f>
        <v/>
      </c>
      <c r="F4520" s="6">
        <f>INT(B4520)</f>
        <v/>
      </c>
      <c r="G4520" s="6">
        <f>INT(C4520)</f>
        <v/>
      </c>
    </row>
    <row r="4521">
      <c r="A4521" s="7" t="inlineStr">
        <is>
          <t>EXD73</t>
        </is>
      </c>
      <c r="B4521" s="8" t="n">
        <v>46100.75</v>
      </c>
      <c r="C4521" s="8" t="n">
        <v>46101.25</v>
      </c>
      <c r="D4521" s="9">
        <f>(C4521-B4521)*24</f>
        <v/>
      </c>
      <c r="E4521" s="10">
        <f>IF(AND(HOUR(B4521)&gt;=6,HOUR(B4521)&lt;18),"Day Shift","Night Shift")</f>
        <v/>
      </c>
      <c r="F4521" s="11">
        <f>INT(B4521)</f>
        <v/>
      </c>
      <c r="G4521" s="11">
        <f>INT(C4521)</f>
        <v/>
      </c>
    </row>
    <row r="4522">
      <c r="A4522" s="2" t="inlineStr">
        <is>
          <t>EXD73</t>
        </is>
      </c>
      <c r="B4522" s="3" t="n">
        <v>46101.25</v>
      </c>
      <c r="C4522" s="3" t="n">
        <v>46101.66215277778</v>
      </c>
      <c r="D4522" s="4">
        <f>(C4522-B4522)*24</f>
        <v/>
      </c>
      <c r="E4522" s="5">
        <f>IF(AND(HOUR(B4522)&gt;=6,HOUR(B4522)&lt;18),"Day Shift","Night Shift")</f>
        <v/>
      </c>
      <c r="F4522" s="6">
        <f>INT(B4522)</f>
        <v/>
      </c>
      <c r="G4522" s="6">
        <f>INT(C4522)</f>
        <v/>
      </c>
    </row>
    <row r="4523">
      <c r="A4523" s="2" t="inlineStr">
        <is>
          <t>EDD175;EDD1932;EDD2134;EDD812</t>
        </is>
      </c>
      <c r="B4523" s="3" t="n">
        <v>46100.63496527778</v>
      </c>
      <c r="C4523" s="3" t="n">
        <v>46100.75</v>
      </c>
      <c r="D4523" s="4">
        <f>(C4523-B4523)*24</f>
        <v/>
      </c>
      <c r="E4523" s="5">
        <f>IF(AND(HOUR(B4523)&gt;=6,HOUR(B4523)&lt;18),"Day Shift","Night Shift")</f>
        <v/>
      </c>
      <c r="F4523" s="6">
        <f>INT(B4523)</f>
        <v/>
      </c>
      <c r="G4523" s="6">
        <f>INT(C4523)</f>
        <v/>
      </c>
    </row>
    <row r="4524">
      <c r="A4524" s="7" t="inlineStr">
        <is>
          <t>EDD175;EDD1932;EDD2134;EDD812</t>
        </is>
      </c>
      <c r="B4524" s="8" t="n">
        <v>46100.75</v>
      </c>
      <c r="C4524" s="8" t="n">
        <v>46100.81648148148</v>
      </c>
      <c r="D4524" s="9">
        <f>(C4524-B4524)*24</f>
        <v/>
      </c>
      <c r="E4524" s="10">
        <f>IF(AND(HOUR(B4524)&gt;=6,HOUR(B4524)&lt;18),"Day Shift","Night Shift")</f>
        <v/>
      </c>
      <c r="F4524" s="11">
        <f>INT(B4524)</f>
        <v/>
      </c>
      <c r="G4524" s="11">
        <f>INT(C4524)</f>
        <v/>
      </c>
    </row>
    <row r="4525">
      <c r="A4525" s="2" t="inlineStr">
        <is>
          <t>DRE08</t>
        </is>
      </c>
      <c r="B4525" s="3" t="n">
        <v>46100.65267361111</v>
      </c>
      <c r="C4525" s="3" t="n">
        <v>46100.75</v>
      </c>
      <c r="D4525" s="4">
        <f>(C4525-B4525)*24</f>
        <v/>
      </c>
      <c r="E4525" s="5">
        <f>IF(AND(HOUR(B4525)&gt;=6,HOUR(B4525)&lt;18),"Day Shift","Night Shift")</f>
        <v/>
      </c>
      <c r="F4525" s="6">
        <f>INT(B4525)</f>
        <v/>
      </c>
      <c r="G4525" s="6">
        <f>INT(C4525)</f>
        <v/>
      </c>
    </row>
    <row r="4526">
      <c r="A4526" s="7" t="inlineStr">
        <is>
          <t>DRE08</t>
        </is>
      </c>
      <c r="B4526" s="8" t="n">
        <v>46100.75</v>
      </c>
      <c r="C4526" s="8" t="n">
        <v>46101.25</v>
      </c>
      <c r="D4526" s="9">
        <f>(C4526-B4526)*24</f>
        <v/>
      </c>
      <c r="E4526" s="10">
        <f>IF(AND(HOUR(B4526)&gt;=6,HOUR(B4526)&lt;18),"Day Shift","Night Shift")</f>
        <v/>
      </c>
      <c r="F4526" s="11">
        <f>INT(B4526)</f>
        <v/>
      </c>
      <c r="G4526" s="11">
        <f>INT(C4526)</f>
        <v/>
      </c>
    </row>
    <row r="4527">
      <c r="A4527" s="2" t="inlineStr">
        <is>
          <t>DRE08</t>
        </is>
      </c>
      <c r="B4527" s="3" t="n">
        <v>46101.25</v>
      </c>
      <c r="C4527" s="3" t="n">
        <v>46101.75</v>
      </c>
      <c r="D4527" s="4">
        <f>(C4527-B4527)*24</f>
        <v/>
      </c>
      <c r="E4527" s="5">
        <f>IF(AND(HOUR(B4527)&gt;=6,HOUR(B4527)&lt;18),"Day Shift","Night Shift")</f>
        <v/>
      </c>
      <c r="F4527" s="6">
        <f>INT(B4527)</f>
        <v/>
      </c>
      <c r="G4527" s="6">
        <f>INT(C4527)</f>
        <v/>
      </c>
    </row>
    <row r="4528">
      <c r="A4528" s="7" t="inlineStr">
        <is>
          <t>DRE08</t>
        </is>
      </c>
      <c r="B4528" s="8" t="n">
        <v>46101.75</v>
      </c>
      <c r="C4528" s="8" t="n">
        <v>46102.25</v>
      </c>
      <c r="D4528" s="9">
        <f>(C4528-B4528)*24</f>
        <v/>
      </c>
      <c r="E4528" s="10">
        <f>IF(AND(HOUR(B4528)&gt;=6,HOUR(B4528)&lt;18),"Day Shift","Night Shift")</f>
        <v/>
      </c>
      <c r="F4528" s="11">
        <f>INT(B4528)</f>
        <v/>
      </c>
      <c r="G4528" s="11">
        <f>INT(C4528)</f>
        <v/>
      </c>
    </row>
    <row r="4529">
      <c r="A4529" s="2" t="inlineStr">
        <is>
          <t>DRE08</t>
        </is>
      </c>
      <c r="B4529" s="3" t="n">
        <v>46102.25</v>
      </c>
      <c r="C4529" s="3" t="n">
        <v>46102.56232638889</v>
      </c>
      <c r="D4529" s="4">
        <f>(C4529-B4529)*24</f>
        <v/>
      </c>
      <c r="E4529" s="5">
        <f>IF(AND(HOUR(B4529)&gt;=6,HOUR(B4529)&lt;18),"Day Shift","Night Shift")</f>
        <v/>
      </c>
      <c r="F4529" s="6">
        <f>INT(B4529)</f>
        <v/>
      </c>
      <c r="G4529" s="6">
        <f>INT(C4529)</f>
        <v/>
      </c>
    </row>
    <row r="4530">
      <c r="A4530" s="2" t="inlineStr">
        <is>
          <t>Sprint 1</t>
        </is>
      </c>
      <c r="B4530" s="3" t="n">
        <v>46100.66539351852</v>
      </c>
      <c r="C4530" s="3" t="n">
        <v>46100.75</v>
      </c>
      <c r="D4530" s="4">
        <f>(C4530-B4530)*24</f>
        <v/>
      </c>
      <c r="E4530" s="5">
        <f>IF(AND(HOUR(B4530)&gt;=6,HOUR(B4530)&lt;18),"Day Shift","Night Shift")</f>
        <v/>
      </c>
      <c r="F4530" s="6">
        <f>INT(B4530)</f>
        <v/>
      </c>
      <c r="G4530" s="6">
        <f>INT(C4530)</f>
        <v/>
      </c>
    </row>
    <row r="4531">
      <c r="A4531" s="7" t="inlineStr">
        <is>
          <t>Sprint 1</t>
        </is>
      </c>
      <c r="B4531" s="8" t="n">
        <v>46100.75</v>
      </c>
      <c r="C4531" s="8" t="n">
        <v>46101.16575231482</v>
      </c>
      <c r="D4531" s="9">
        <f>(C4531-B4531)*24</f>
        <v/>
      </c>
      <c r="E4531" s="10">
        <f>IF(AND(HOUR(B4531)&gt;=6,HOUR(B4531)&lt;18),"Day Shift","Night Shift")</f>
        <v/>
      </c>
      <c r="F4531" s="11">
        <f>INT(B4531)</f>
        <v/>
      </c>
      <c r="G4531" s="11">
        <f>INT(C4531)</f>
        <v/>
      </c>
    </row>
    <row r="4532">
      <c r="A4532" s="2" t="inlineStr">
        <is>
          <t>EXD56</t>
        </is>
      </c>
      <c r="B4532" s="3" t="n">
        <v>46100.71486111111</v>
      </c>
      <c r="C4532" s="3" t="n">
        <v>46100.75</v>
      </c>
      <c r="D4532" s="4">
        <f>(C4532-B4532)*24</f>
        <v/>
      </c>
      <c r="E4532" s="5">
        <f>IF(AND(HOUR(B4532)&gt;=6,HOUR(B4532)&lt;18),"Day Shift","Night Shift")</f>
        <v/>
      </c>
      <c r="F4532" s="6">
        <f>INT(B4532)</f>
        <v/>
      </c>
      <c r="G4532" s="6">
        <f>INT(C4532)</f>
        <v/>
      </c>
    </row>
    <row r="4533">
      <c r="A4533" s="7" t="inlineStr">
        <is>
          <t>EXD56</t>
        </is>
      </c>
      <c r="B4533" s="8" t="n">
        <v>46100.75</v>
      </c>
      <c r="C4533" s="8" t="n">
        <v>46101.25</v>
      </c>
      <c r="D4533" s="9">
        <f>(C4533-B4533)*24</f>
        <v/>
      </c>
      <c r="E4533" s="10">
        <f>IF(AND(HOUR(B4533)&gt;=6,HOUR(B4533)&lt;18),"Day Shift","Night Shift")</f>
        <v/>
      </c>
      <c r="F4533" s="11">
        <f>INT(B4533)</f>
        <v/>
      </c>
      <c r="G4533" s="11">
        <f>INT(C4533)</f>
        <v/>
      </c>
    </row>
    <row r="4534">
      <c r="A4534" s="2" t="inlineStr">
        <is>
          <t>EXD56</t>
        </is>
      </c>
      <c r="B4534" s="3" t="n">
        <v>46101.25</v>
      </c>
      <c r="C4534" s="3" t="n">
        <v>46101.75</v>
      </c>
      <c r="D4534" s="4">
        <f>(C4534-B4534)*24</f>
        <v/>
      </c>
      <c r="E4534" s="5">
        <f>IF(AND(HOUR(B4534)&gt;=6,HOUR(B4534)&lt;18),"Day Shift","Night Shift")</f>
        <v/>
      </c>
      <c r="F4534" s="6">
        <f>INT(B4534)</f>
        <v/>
      </c>
      <c r="G4534" s="6">
        <f>INT(C4534)</f>
        <v/>
      </c>
    </row>
    <row r="4535">
      <c r="A4535" s="7" t="inlineStr">
        <is>
          <t>EXD56</t>
        </is>
      </c>
      <c r="B4535" s="8" t="n">
        <v>46101.75</v>
      </c>
      <c r="C4535" s="8" t="n">
        <v>46102.25</v>
      </c>
      <c r="D4535" s="9">
        <f>(C4535-B4535)*24</f>
        <v/>
      </c>
      <c r="E4535" s="10">
        <f>IF(AND(HOUR(B4535)&gt;=6,HOUR(B4535)&lt;18),"Day Shift","Night Shift")</f>
        <v/>
      </c>
      <c r="F4535" s="11">
        <f>INT(B4535)</f>
        <v/>
      </c>
      <c r="G4535" s="11">
        <f>INT(C4535)</f>
        <v/>
      </c>
    </row>
    <row r="4536">
      <c r="A4536" s="2" t="inlineStr">
        <is>
          <t>EXD56</t>
        </is>
      </c>
      <c r="B4536" s="3" t="n">
        <v>46102.25</v>
      </c>
      <c r="C4536" s="3" t="n">
        <v>46102.75</v>
      </c>
      <c r="D4536" s="4">
        <f>(C4536-B4536)*24</f>
        <v/>
      </c>
      <c r="E4536" s="5">
        <f>IF(AND(HOUR(B4536)&gt;=6,HOUR(B4536)&lt;18),"Day Shift","Night Shift")</f>
        <v/>
      </c>
      <c r="F4536" s="6">
        <f>INT(B4536)</f>
        <v/>
      </c>
      <c r="G4536" s="6">
        <f>INT(C4536)</f>
        <v/>
      </c>
    </row>
    <row r="4537">
      <c r="A4537" s="7" t="inlineStr">
        <is>
          <t>EXD56</t>
        </is>
      </c>
      <c r="B4537" s="8" t="n">
        <v>46102.75</v>
      </c>
      <c r="C4537" s="8" t="n">
        <v>46103.25</v>
      </c>
      <c r="D4537" s="9">
        <f>(C4537-B4537)*24</f>
        <v/>
      </c>
      <c r="E4537" s="10">
        <f>IF(AND(HOUR(B4537)&gt;=6,HOUR(B4537)&lt;18),"Day Shift","Night Shift")</f>
        <v/>
      </c>
      <c r="F4537" s="11">
        <f>INT(B4537)</f>
        <v/>
      </c>
      <c r="G4537" s="11">
        <f>INT(C4537)</f>
        <v/>
      </c>
    </row>
    <row r="4538">
      <c r="A4538" s="2" t="inlineStr">
        <is>
          <t>EXD56</t>
        </is>
      </c>
      <c r="B4538" s="3" t="n">
        <v>46103.25</v>
      </c>
      <c r="C4538" s="3" t="n">
        <v>46103.75</v>
      </c>
      <c r="D4538" s="4">
        <f>(C4538-B4538)*24</f>
        <v/>
      </c>
      <c r="E4538" s="5">
        <f>IF(AND(HOUR(B4538)&gt;=6,HOUR(B4538)&lt;18),"Day Shift","Night Shift")</f>
        <v/>
      </c>
      <c r="F4538" s="6">
        <f>INT(B4538)</f>
        <v/>
      </c>
      <c r="G4538" s="6">
        <f>INT(C4538)</f>
        <v/>
      </c>
    </row>
    <row r="4539">
      <c r="A4539" s="7" t="inlineStr">
        <is>
          <t>EXD56</t>
        </is>
      </c>
      <c r="B4539" s="8" t="n">
        <v>46103.75</v>
      </c>
      <c r="C4539" s="8" t="n">
        <v>46104.25</v>
      </c>
      <c r="D4539" s="9">
        <f>(C4539-B4539)*24</f>
        <v/>
      </c>
      <c r="E4539" s="10">
        <f>IF(AND(HOUR(B4539)&gt;=6,HOUR(B4539)&lt;18),"Day Shift","Night Shift")</f>
        <v/>
      </c>
      <c r="F4539" s="11">
        <f>INT(B4539)</f>
        <v/>
      </c>
      <c r="G4539" s="11">
        <f>INT(C4539)</f>
        <v/>
      </c>
    </row>
    <row r="4540">
      <c r="A4540" s="2" t="inlineStr">
        <is>
          <t>EXD56</t>
        </is>
      </c>
      <c r="B4540" s="3" t="n">
        <v>46104.25</v>
      </c>
      <c r="C4540" s="3" t="n">
        <v>46104.75</v>
      </c>
      <c r="D4540" s="4">
        <f>(C4540-B4540)*24</f>
        <v/>
      </c>
      <c r="E4540" s="5">
        <f>IF(AND(HOUR(B4540)&gt;=6,HOUR(B4540)&lt;18),"Day Shift","Night Shift")</f>
        <v/>
      </c>
      <c r="F4540" s="6">
        <f>INT(B4540)</f>
        <v/>
      </c>
      <c r="G4540" s="6">
        <f>INT(C4540)</f>
        <v/>
      </c>
    </row>
    <row r="4541">
      <c r="A4541" s="7" t="inlineStr">
        <is>
          <t>EXD56</t>
        </is>
      </c>
      <c r="B4541" s="8" t="n">
        <v>46104.75</v>
      </c>
      <c r="C4541" s="8" t="n">
        <v>46105.24270833333</v>
      </c>
      <c r="D4541" s="9">
        <f>(C4541-B4541)*24</f>
        <v/>
      </c>
      <c r="E4541" s="10">
        <f>IF(AND(HOUR(B4541)&gt;=6,HOUR(B4541)&lt;18),"Day Shift","Night Shift")</f>
        <v/>
      </c>
      <c r="F4541" s="11">
        <f>INT(B4541)</f>
        <v/>
      </c>
      <c r="G4541" s="11">
        <f>INT(C4541)</f>
        <v/>
      </c>
    </row>
    <row r="4542">
      <c r="A4542" s="7" t="inlineStr">
        <is>
          <t>EDD175;EDD1932;EDD2134;EDD812</t>
        </is>
      </c>
      <c r="B4542" s="8" t="n">
        <v>46100.81648148148</v>
      </c>
      <c r="C4542" s="8" t="n">
        <v>46100.9880787037</v>
      </c>
      <c r="D4542" s="9">
        <f>(C4542-B4542)*24</f>
        <v/>
      </c>
      <c r="E4542" s="10">
        <f>IF(AND(HOUR(B4542)&gt;=6,HOUR(B4542)&lt;18),"Day Shift","Night Shift")</f>
        <v/>
      </c>
      <c r="F4542" s="11">
        <f>INT(B4542)</f>
        <v/>
      </c>
      <c r="G4542" s="11">
        <f>INT(C4542)</f>
        <v/>
      </c>
    </row>
    <row r="4543">
      <c r="A4543" s="7" t="inlineStr">
        <is>
          <t>EXD408</t>
        </is>
      </c>
      <c r="B4543" s="8" t="n">
        <v>46100.81975694445</v>
      </c>
      <c r="C4543" s="8" t="n">
        <v>46101.25</v>
      </c>
      <c r="D4543" s="9">
        <f>(C4543-B4543)*24</f>
        <v/>
      </c>
      <c r="E4543" s="10">
        <f>IF(AND(HOUR(B4543)&gt;=6,HOUR(B4543)&lt;18),"Day Shift","Night Shift")</f>
        <v/>
      </c>
      <c r="F4543" s="11">
        <f>INT(B4543)</f>
        <v/>
      </c>
      <c r="G4543" s="11">
        <f>INT(C4543)</f>
        <v/>
      </c>
    </row>
    <row r="4544">
      <c r="A4544" s="2" t="inlineStr">
        <is>
          <t>EXD408</t>
        </is>
      </c>
      <c r="B4544" s="3" t="n">
        <v>46101.25</v>
      </c>
      <c r="C4544" s="3" t="n">
        <v>46101.65030092592</v>
      </c>
      <c r="D4544" s="4">
        <f>(C4544-B4544)*24</f>
        <v/>
      </c>
      <c r="E4544" s="5">
        <f>IF(AND(HOUR(B4544)&gt;=6,HOUR(B4544)&lt;18),"Day Shift","Night Shift")</f>
        <v/>
      </c>
      <c r="F4544" s="6">
        <f>INT(B4544)</f>
        <v/>
      </c>
      <c r="G4544" s="6">
        <f>INT(C4544)</f>
        <v/>
      </c>
    </row>
    <row r="4545">
      <c r="A4545" s="7" t="inlineStr">
        <is>
          <t>EDD175;EDD1932;EDD2134;EDD812</t>
        </is>
      </c>
      <c r="B4545" s="8" t="n">
        <v>46100.9880787037</v>
      </c>
      <c r="C4545" s="8" t="n">
        <v>46101.17255787037</v>
      </c>
      <c r="D4545" s="9">
        <f>(C4545-B4545)*24</f>
        <v/>
      </c>
      <c r="E4545" s="10">
        <f>IF(AND(HOUR(B4545)&gt;=6,HOUR(B4545)&lt;18),"Day Shift","Night Shift")</f>
        <v/>
      </c>
      <c r="F4545" s="11">
        <f>INT(B4545)</f>
        <v/>
      </c>
      <c r="G4545" s="11">
        <f>INT(C4545)</f>
        <v/>
      </c>
    </row>
    <row r="4546">
      <c r="A4546" s="7" t="inlineStr">
        <is>
          <t>EXD100</t>
        </is>
      </c>
      <c r="B4546" s="8" t="n">
        <v>46101.07810185185</v>
      </c>
      <c r="C4546" s="8" t="n">
        <v>46101.25</v>
      </c>
      <c r="D4546" s="9">
        <f>(C4546-B4546)*24</f>
        <v/>
      </c>
      <c r="E4546" s="10">
        <f>IF(AND(HOUR(B4546)&gt;=6,HOUR(B4546)&lt;18),"Day Shift","Night Shift")</f>
        <v/>
      </c>
      <c r="F4546" s="11">
        <f>INT(B4546)</f>
        <v/>
      </c>
      <c r="G4546" s="11">
        <f>INT(C4546)</f>
        <v/>
      </c>
    </row>
    <row r="4547">
      <c r="A4547" s="2" t="inlineStr">
        <is>
          <t>EXD100</t>
        </is>
      </c>
      <c r="B4547" s="3" t="n">
        <v>46101.25</v>
      </c>
      <c r="C4547" s="3" t="n">
        <v>46101.75</v>
      </c>
      <c r="D4547" s="4">
        <f>(C4547-B4547)*24</f>
        <v/>
      </c>
      <c r="E4547" s="5">
        <f>IF(AND(HOUR(B4547)&gt;=6,HOUR(B4547)&lt;18),"Day Shift","Night Shift")</f>
        <v/>
      </c>
      <c r="F4547" s="6">
        <f>INT(B4547)</f>
        <v/>
      </c>
      <c r="G4547" s="6">
        <f>INT(C4547)</f>
        <v/>
      </c>
    </row>
    <row r="4548">
      <c r="A4548" s="7" t="inlineStr">
        <is>
          <t>EXD100</t>
        </is>
      </c>
      <c r="B4548" s="8" t="n">
        <v>46101.75</v>
      </c>
      <c r="C4548" s="8" t="n">
        <v>46101.77469907407</v>
      </c>
      <c r="D4548" s="9">
        <f>(C4548-B4548)*24</f>
        <v/>
      </c>
      <c r="E4548" s="10">
        <f>IF(AND(HOUR(B4548)&gt;=6,HOUR(B4548)&lt;18),"Day Shift","Night Shift")</f>
        <v/>
      </c>
      <c r="F4548" s="11">
        <f>INT(B4548)</f>
        <v/>
      </c>
      <c r="G4548" s="11">
        <f>INT(C4548)</f>
        <v/>
      </c>
    </row>
    <row r="4549">
      <c r="A4549" s="7" t="inlineStr">
        <is>
          <t>EXD61</t>
        </is>
      </c>
      <c r="B4549" s="8" t="n">
        <v>46101.12436342592</v>
      </c>
      <c r="C4549" s="8" t="n">
        <v>46101.25</v>
      </c>
      <c r="D4549" s="9">
        <f>(C4549-B4549)*24</f>
        <v/>
      </c>
      <c r="E4549" s="10">
        <f>IF(AND(HOUR(B4549)&gt;=6,HOUR(B4549)&lt;18),"Day Shift","Night Shift")</f>
        <v/>
      </c>
      <c r="F4549" s="11">
        <f>INT(B4549)</f>
        <v/>
      </c>
      <c r="G4549" s="11">
        <f>INT(C4549)</f>
        <v/>
      </c>
    </row>
    <row r="4550">
      <c r="A4550" s="2" t="inlineStr">
        <is>
          <t>EXD61</t>
        </is>
      </c>
      <c r="B4550" s="3" t="n">
        <v>46101.25</v>
      </c>
      <c r="C4550" s="3" t="n">
        <v>46101.33140046296</v>
      </c>
      <c r="D4550" s="4">
        <f>(C4550-B4550)*24</f>
        <v/>
      </c>
      <c r="E4550" s="5">
        <f>IF(AND(HOUR(B4550)&gt;=6,HOUR(B4550)&lt;18),"Day Shift","Night Shift")</f>
        <v/>
      </c>
      <c r="F4550" s="6">
        <f>INT(B4550)</f>
        <v/>
      </c>
      <c r="G4550" s="6">
        <f>INT(C4550)</f>
        <v/>
      </c>
    </row>
    <row r="4551">
      <c r="A4551" s="7" t="inlineStr">
        <is>
          <t>EDD2541;EDD175;EDD1932;EDD2134;EDD812</t>
        </is>
      </c>
      <c r="B4551" s="8" t="n">
        <v>46101.13974537037</v>
      </c>
      <c r="C4551" s="8" t="n">
        <v>46101.25</v>
      </c>
      <c r="D4551" s="9">
        <f>(C4551-B4551)*24</f>
        <v/>
      </c>
      <c r="E4551" s="10">
        <f>IF(AND(HOUR(B4551)&gt;=6,HOUR(B4551)&lt;18),"Day Shift","Night Shift")</f>
        <v/>
      </c>
      <c r="F4551" s="11">
        <f>INT(B4551)</f>
        <v/>
      </c>
      <c r="G4551" s="11">
        <f>INT(C4551)</f>
        <v/>
      </c>
    </row>
    <row r="4552">
      <c r="A4552" s="2" t="inlineStr">
        <is>
          <t>EDD2541;EDD175;EDD1932;EDD2134;EDD812</t>
        </is>
      </c>
      <c r="B4552" s="3" t="n">
        <v>46101.25</v>
      </c>
      <c r="C4552" s="3" t="n">
        <v>46101.75</v>
      </c>
      <c r="D4552" s="4">
        <f>(C4552-B4552)*24</f>
        <v/>
      </c>
      <c r="E4552" s="5">
        <f>IF(AND(HOUR(B4552)&gt;=6,HOUR(B4552)&lt;18),"Day Shift","Night Shift")</f>
        <v/>
      </c>
      <c r="F4552" s="6">
        <f>INT(B4552)</f>
        <v/>
      </c>
      <c r="G4552" s="6">
        <f>INT(C4552)</f>
        <v/>
      </c>
    </row>
    <row r="4553">
      <c r="A4553" s="7" t="inlineStr">
        <is>
          <t>EDD2541;EDD175;EDD1932;EDD2134;EDD812</t>
        </is>
      </c>
      <c r="B4553" s="8" t="n">
        <v>46101.75</v>
      </c>
      <c r="C4553" s="8" t="n">
        <v>46102.25</v>
      </c>
      <c r="D4553" s="9">
        <f>(C4553-B4553)*24</f>
        <v/>
      </c>
      <c r="E4553" s="10">
        <f>IF(AND(HOUR(B4553)&gt;=6,HOUR(B4553)&lt;18),"Day Shift","Night Shift")</f>
        <v/>
      </c>
      <c r="F4553" s="11">
        <f>INT(B4553)</f>
        <v/>
      </c>
      <c r="G4553" s="11">
        <f>INT(C4553)</f>
        <v/>
      </c>
    </row>
    <row r="4554">
      <c r="A4554" s="2" t="inlineStr">
        <is>
          <t>EDD2541;EDD175;EDD1932;EDD2134;EDD812</t>
        </is>
      </c>
      <c r="B4554" s="3" t="n">
        <v>46102.25</v>
      </c>
      <c r="C4554" s="3" t="n">
        <v>46102.75</v>
      </c>
      <c r="D4554" s="4">
        <f>(C4554-B4554)*24</f>
        <v/>
      </c>
      <c r="E4554" s="5">
        <f>IF(AND(HOUR(B4554)&gt;=6,HOUR(B4554)&lt;18),"Day Shift","Night Shift")</f>
        <v/>
      </c>
      <c r="F4554" s="6">
        <f>INT(B4554)</f>
        <v/>
      </c>
      <c r="G4554" s="6">
        <f>INT(C4554)</f>
        <v/>
      </c>
    </row>
    <row r="4555">
      <c r="A4555" s="7" t="inlineStr">
        <is>
          <t>EDD2541;EDD175;EDD1932;EDD2134;EDD812</t>
        </is>
      </c>
      <c r="B4555" s="8" t="n">
        <v>46102.75</v>
      </c>
      <c r="C4555" s="8" t="n">
        <v>46103.25</v>
      </c>
      <c r="D4555" s="9">
        <f>(C4555-B4555)*24</f>
        <v/>
      </c>
      <c r="E4555" s="10">
        <f>IF(AND(HOUR(B4555)&gt;=6,HOUR(B4555)&lt;18),"Day Shift","Night Shift")</f>
        <v/>
      </c>
      <c r="F4555" s="11">
        <f>INT(B4555)</f>
        <v/>
      </c>
      <c r="G4555" s="11">
        <f>INT(C4555)</f>
        <v/>
      </c>
    </row>
    <row r="4556">
      <c r="A4556" s="2" t="inlineStr">
        <is>
          <t>EDD2541;EDD175;EDD1932;EDD2134;EDD812</t>
        </is>
      </c>
      <c r="B4556" s="3" t="n">
        <v>46103.25</v>
      </c>
      <c r="C4556" s="3" t="n">
        <v>46103.75</v>
      </c>
      <c r="D4556" s="4">
        <f>(C4556-B4556)*24</f>
        <v/>
      </c>
      <c r="E4556" s="5">
        <f>IF(AND(HOUR(B4556)&gt;=6,HOUR(B4556)&lt;18),"Day Shift","Night Shift")</f>
        <v/>
      </c>
      <c r="F4556" s="6">
        <f>INT(B4556)</f>
        <v/>
      </c>
      <c r="G4556" s="6">
        <f>INT(C4556)</f>
        <v/>
      </c>
    </row>
    <row r="4557">
      <c r="A4557" s="7" t="inlineStr">
        <is>
          <t>EDD2541;EDD175;EDD1932;EDD2134;EDD812</t>
        </is>
      </c>
      <c r="B4557" s="8" t="n">
        <v>46103.75</v>
      </c>
      <c r="C4557" s="8" t="n">
        <v>46104.25</v>
      </c>
      <c r="D4557" s="9">
        <f>(C4557-B4557)*24</f>
        <v/>
      </c>
      <c r="E4557" s="10">
        <f>IF(AND(HOUR(B4557)&gt;=6,HOUR(B4557)&lt;18),"Day Shift","Night Shift")</f>
        <v/>
      </c>
      <c r="F4557" s="11">
        <f>INT(B4557)</f>
        <v/>
      </c>
      <c r="G4557" s="11">
        <f>INT(C4557)</f>
        <v/>
      </c>
    </row>
    <row r="4558">
      <c r="A4558" s="2" t="inlineStr">
        <is>
          <t>EDD2541;EDD175;EDD1932;EDD2134;EDD812</t>
        </is>
      </c>
      <c r="B4558" s="3" t="n">
        <v>46104.25</v>
      </c>
      <c r="C4558" s="3" t="n">
        <v>46104.75</v>
      </c>
      <c r="D4558" s="4">
        <f>(C4558-B4558)*24</f>
        <v/>
      </c>
      <c r="E4558" s="5">
        <f>IF(AND(HOUR(B4558)&gt;=6,HOUR(B4558)&lt;18),"Day Shift","Night Shift")</f>
        <v/>
      </c>
      <c r="F4558" s="6">
        <f>INT(B4558)</f>
        <v/>
      </c>
      <c r="G4558" s="6">
        <f>INT(C4558)</f>
        <v/>
      </c>
    </row>
    <row r="4559">
      <c r="A4559" s="7" t="inlineStr">
        <is>
          <t>EDD2541;EDD175;EDD1932;EDD2134;EDD812</t>
        </is>
      </c>
      <c r="B4559" s="8" t="n">
        <v>46104.75</v>
      </c>
      <c r="C4559" s="8" t="n">
        <v>46105.25</v>
      </c>
      <c r="D4559" s="9">
        <f>(C4559-B4559)*24</f>
        <v/>
      </c>
      <c r="E4559" s="10">
        <f>IF(AND(HOUR(B4559)&gt;=6,HOUR(B4559)&lt;18),"Day Shift","Night Shift")</f>
        <v/>
      </c>
      <c r="F4559" s="11">
        <f>INT(B4559)</f>
        <v/>
      </c>
      <c r="G4559" s="11">
        <f>INT(C4559)</f>
        <v/>
      </c>
    </row>
    <row r="4560">
      <c r="A4560" s="2" t="inlineStr">
        <is>
          <t>EDD2541;EDD175;EDD1932;EDD2134;EDD812</t>
        </is>
      </c>
      <c r="B4560" s="3" t="n">
        <v>46105.25</v>
      </c>
      <c r="C4560" s="3" t="n">
        <v>46105.75</v>
      </c>
      <c r="D4560" s="4">
        <f>(C4560-B4560)*24</f>
        <v/>
      </c>
      <c r="E4560" s="5">
        <f>IF(AND(HOUR(B4560)&gt;=6,HOUR(B4560)&lt;18),"Day Shift","Night Shift")</f>
        <v/>
      </c>
      <c r="F4560" s="6">
        <f>INT(B4560)</f>
        <v/>
      </c>
      <c r="G4560" s="6">
        <f>INT(C4560)</f>
        <v/>
      </c>
    </row>
    <row r="4561">
      <c r="A4561" s="7" t="inlineStr">
        <is>
          <t>EDD2541;EDD175;EDD1932;EDD2134;EDD812</t>
        </is>
      </c>
      <c r="B4561" s="8" t="n">
        <v>46105.75</v>
      </c>
      <c r="C4561" s="8" t="n">
        <v>46106.25</v>
      </c>
      <c r="D4561" s="9">
        <f>(C4561-B4561)*24</f>
        <v/>
      </c>
      <c r="E4561" s="10">
        <f>IF(AND(HOUR(B4561)&gt;=6,HOUR(B4561)&lt;18),"Day Shift","Night Shift")</f>
        <v/>
      </c>
      <c r="F4561" s="11">
        <f>INT(B4561)</f>
        <v/>
      </c>
      <c r="G4561" s="11">
        <f>INT(C4561)</f>
        <v/>
      </c>
    </row>
    <row r="4562">
      <c r="A4562" s="2" t="inlineStr">
        <is>
          <t>EDD2541;EDD175;EDD1932;EDD2134;EDD812</t>
        </is>
      </c>
      <c r="B4562" s="3" t="n">
        <v>46106.25</v>
      </c>
      <c r="C4562" s="3" t="n">
        <v>46106.41460648148</v>
      </c>
      <c r="D4562" s="4">
        <f>(C4562-B4562)*24</f>
        <v/>
      </c>
      <c r="E4562" s="5">
        <f>IF(AND(HOUR(B4562)&gt;=6,HOUR(B4562)&lt;18),"Day Shift","Night Shift")</f>
        <v/>
      </c>
      <c r="F4562" s="6">
        <f>INT(B4562)</f>
        <v/>
      </c>
      <c r="G4562" s="6">
        <f>INT(C4562)</f>
        <v/>
      </c>
    </row>
    <row r="4563">
      <c r="A4563" s="7" t="inlineStr">
        <is>
          <t>Sprint 1</t>
        </is>
      </c>
      <c r="B4563" s="8" t="n">
        <v>46101.16575231482</v>
      </c>
      <c r="C4563" s="8" t="n">
        <v>46101.25</v>
      </c>
      <c r="D4563" s="9">
        <f>(C4563-B4563)*24</f>
        <v/>
      </c>
      <c r="E4563" s="10">
        <f>IF(AND(HOUR(B4563)&gt;=6,HOUR(B4563)&lt;18),"Day Shift","Night Shift")</f>
        <v/>
      </c>
      <c r="F4563" s="11">
        <f>INT(B4563)</f>
        <v/>
      </c>
      <c r="G4563" s="11">
        <f>INT(C4563)</f>
        <v/>
      </c>
    </row>
    <row r="4564">
      <c r="A4564" s="2" t="inlineStr">
        <is>
          <t>Sprint 1</t>
        </is>
      </c>
      <c r="B4564" s="3" t="n">
        <v>46101.25</v>
      </c>
      <c r="C4564" s="3" t="n">
        <v>46101.55332175926</v>
      </c>
      <c r="D4564" s="4">
        <f>(C4564-B4564)*24</f>
        <v/>
      </c>
      <c r="E4564" s="5">
        <f>IF(AND(HOUR(B4564)&gt;=6,HOUR(B4564)&lt;18),"Day Shift","Night Shift")</f>
        <v/>
      </c>
      <c r="F4564" s="6">
        <f>INT(B4564)</f>
        <v/>
      </c>
      <c r="G4564" s="6">
        <f>INT(C4564)</f>
        <v/>
      </c>
    </row>
    <row r="4565">
      <c r="A4565" s="7" t="inlineStr">
        <is>
          <t>EDD175;EDD1932;EDD2134;EDD812</t>
        </is>
      </c>
      <c r="B4565" s="8" t="n">
        <v>46101.17255787037</v>
      </c>
      <c r="C4565" s="8" t="n">
        <v>46101.25</v>
      </c>
      <c r="D4565" s="9">
        <f>(C4565-B4565)*24</f>
        <v/>
      </c>
      <c r="E4565" s="10">
        <f>IF(AND(HOUR(B4565)&gt;=6,HOUR(B4565)&lt;18),"Day Shift","Night Shift")</f>
        <v/>
      </c>
      <c r="F4565" s="11">
        <f>INT(B4565)</f>
        <v/>
      </c>
      <c r="G4565" s="11">
        <f>INT(C4565)</f>
        <v/>
      </c>
    </row>
    <row r="4566">
      <c r="A4566" s="2" t="inlineStr">
        <is>
          <t>EDD175;EDD1932;EDD2134;EDD812</t>
        </is>
      </c>
      <c r="B4566" s="3" t="n">
        <v>46101.25</v>
      </c>
      <c r="C4566" s="3" t="n">
        <v>46101.3943287037</v>
      </c>
      <c r="D4566" s="4">
        <f>(C4566-B4566)*24</f>
        <v/>
      </c>
      <c r="E4566" s="5">
        <f>IF(AND(HOUR(B4566)&gt;=6,HOUR(B4566)&lt;18),"Day Shift","Night Shift")</f>
        <v/>
      </c>
      <c r="F4566" s="6">
        <f>INT(B4566)</f>
        <v/>
      </c>
      <c r="G4566" s="6">
        <f>INT(C4566)</f>
        <v/>
      </c>
    </row>
    <row r="4567">
      <c r="A4567" s="2" t="inlineStr">
        <is>
          <t>EXD407</t>
        </is>
      </c>
      <c r="B4567" s="3" t="n">
        <v>46101.27793981481</v>
      </c>
      <c r="C4567" s="3" t="n">
        <v>46101.75</v>
      </c>
      <c r="D4567" s="4">
        <f>(C4567-B4567)*24</f>
        <v/>
      </c>
      <c r="E4567" s="5">
        <f>IF(AND(HOUR(B4567)&gt;=6,HOUR(B4567)&lt;18),"Day Shift","Night Shift")</f>
        <v/>
      </c>
      <c r="F4567" s="6">
        <f>INT(B4567)</f>
        <v/>
      </c>
      <c r="G4567" s="6">
        <f>INT(C4567)</f>
        <v/>
      </c>
    </row>
    <row r="4568">
      <c r="A4568" s="7" t="inlineStr">
        <is>
          <t>EXD407</t>
        </is>
      </c>
      <c r="B4568" s="8" t="n">
        <v>46101.75</v>
      </c>
      <c r="C4568" s="8" t="n">
        <v>46102.25</v>
      </c>
      <c r="D4568" s="9">
        <f>(C4568-B4568)*24</f>
        <v/>
      </c>
      <c r="E4568" s="10">
        <f>IF(AND(HOUR(B4568)&gt;=6,HOUR(B4568)&lt;18),"Day Shift","Night Shift")</f>
        <v/>
      </c>
      <c r="F4568" s="11">
        <f>INT(B4568)</f>
        <v/>
      </c>
      <c r="G4568" s="11">
        <f>INT(C4568)</f>
        <v/>
      </c>
    </row>
    <row r="4569">
      <c r="A4569" s="2" t="inlineStr">
        <is>
          <t>EXD407</t>
        </is>
      </c>
      <c r="B4569" s="3" t="n">
        <v>46102.25</v>
      </c>
      <c r="C4569" s="3" t="n">
        <v>46102.74711805556</v>
      </c>
      <c r="D4569" s="4">
        <f>(C4569-B4569)*24</f>
        <v/>
      </c>
      <c r="E4569" s="5">
        <f>IF(AND(HOUR(B4569)&gt;=6,HOUR(B4569)&lt;18),"Day Shift","Night Shift")</f>
        <v/>
      </c>
      <c r="F4569" s="6">
        <f>INT(B4569)</f>
        <v/>
      </c>
      <c r="G4569" s="6">
        <f>INT(C4569)</f>
        <v/>
      </c>
    </row>
    <row r="4570">
      <c r="A4570" s="2" t="inlineStr">
        <is>
          <t>EXD61</t>
        </is>
      </c>
      <c r="B4570" s="3" t="n">
        <v>46101.33140046296</v>
      </c>
      <c r="C4570" s="3" t="n">
        <v>46101.75</v>
      </c>
      <c r="D4570" s="4">
        <f>(C4570-B4570)*24</f>
        <v/>
      </c>
      <c r="E4570" s="5">
        <f>IF(AND(HOUR(B4570)&gt;=6,HOUR(B4570)&lt;18),"Day Shift","Night Shift")</f>
        <v/>
      </c>
      <c r="F4570" s="6">
        <f>INT(B4570)</f>
        <v/>
      </c>
      <c r="G4570" s="6">
        <f>INT(C4570)</f>
        <v/>
      </c>
    </row>
    <row r="4571">
      <c r="A4571" s="7" t="inlineStr">
        <is>
          <t>EXD61</t>
        </is>
      </c>
      <c r="B4571" s="8" t="n">
        <v>46101.75</v>
      </c>
      <c r="C4571" s="8" t="n">
        <v>46102.25</v>
      </c>
      <c r="D4571" s="9">
        <f>(C4571-B4571)*24</f>
        <v/>
      </c>
      <c r="E4571" s="10">
        <f>IF(AND(HOUR(B4571)&gt;=6,HOUR(B4571)&lt;18),"Day Shift","Night Shift")</f>
        <v/>
      </c>
      <c r="F4571" s="11">
        <f>INT(B4571)</f>
        <v/>
      </c>
      <c r="G4571" s="11">
        <f>INT(C4571)</f>
        <v/>
      </c>
    </row>
    <row r="4572">
      <c r="A4572" s="2" t="inlineStr">
        <is>
          <t>EXD61</t>
        </is>
      </c>
      <c r="B4572" s="3" t="n">
        <v>46102.25</v>
      </c>
      <c r="C4572" s="3" t="n">
        <v>46102.75</v>
      </c>
      <c r="D4572" s="4">
        <f>(C4572-B4572)*24</f>
        <v/>
      </c>
      <c r="E4572" s="5">
        <f>IF(AND(HOUR(B4572)&gt;=6,HOUR(B4572)&lt;18),"Day Shift","Night Shift")</f>
        <v/>
      </c>
      <c r="F4572" s="6">
        <f>INT(B4572)</f>
        <v/>
      </c>
      <c r="G4572" s="6">
        <f>INT(C4572)</f>
        <v/>
      </c>
    </row>
    <row r="4573">
      <c r="A4573" s="7" t="inlineStr">
        <is>
          <t>EXD61</t>
        </is>
      </c>
      <c r="B4573" s="8" t="n">
        <v>46102.75</v>
      </c>
      <c r="C4573" s="8" t="n">
        <v>46102.8515162037</v>
      </c>
      <c r="D4573" s="9">
        <f>(C4573-B4573)*24</f>
        <v/>
      </c>
      <c r="E4573" s="10">
        <f>IF(AND(HOUR(B4573)&gt;=6,HOUR(B4573)&lt;18),"Day Shift","Night Shift")</f>
        <v/>
      </c>
      <c r="F4573" s="11">
        <f>INT(B4573)</f>
        <v/>
      </c>
      <c r="G4573" s="11">
        <f>INT(C4573)</f>
        <v/>
      </c>
    </row>
    <row r="4574">
      <c r="A4574" s="2" t="inlineStr">
        <is>
          <t>EDD175;EDD1932;EDD2134;EDD812</t>
        </is>
      </c>
      <c r="B4574" s="3" t="n">
        <v>46101.3943287037</v>
      </c>
      <c r="C4574" s="3" t="n">
        <v>46101.60990740741</v>
      </c>
      <c r="D4574" s="4">
        <f>(C4574-B4574)*24</f>
        <v/>
      </c>
      <c r="E4574" s="5">
        <f>IF(AND(HOUR(B4574)&gt;=6,HOUR(B4574)&lt;18),"Day Shift","Night Shift")</f>
        <v/>
      </c>
      <c r="F4574" s="6">
        <f>INT(B4574)</f>
        <v/>
      </c>
      <c r="G4574" s="6">
        <f>INT(C4574)</f>
        <v/>
      </c>
    </row>
    <row r="4575">
      <c r="A4575" s="2" t="inlineStr">
        <is>
          <t>DRE42</t>
        </is>
      </c>
      <c r="B4575" s="3" t="n">
        <v>46101.42640046297</v>
      </c>
      <c r="C4575" s="3" t="n">
        <v>46101.75</v>
      </c>
      <c r="D4575" s="4">
        <f>(C4575-B4575)*24</f>
        <v/>
      </c>
      <c r="E4575" s="5">
        <f>IF(AND(HOUR(B4575)&gt;=6,HOUR(B4575)&lt;18),"Day Shift","Night Shift")</f>
        <v/>
      </c>
      <c r="F4575" s="6">
        <f>INT(B4575)</f>
        <v/>
      </c>
      <c r="G4575" s="6">
        <f>INT(C4575)</f>
        <v/>
      </c>
    </row>
    <row r="4576">
      <c r="A4576" s="7" t="inlineStr">
        <is>
          <t>DRE42</t>
        </is>
      </c>
      <c r="B4576" s="8" t="n">
        <v>46101.75</v>
      </c>
      <c r="C4576" s="8" t="n">
        <v>46102.25</v>
      </c>
      <c r="D4576" s="9">
        <f>(C4576-B4576)*24</f>
        <v/>
      </c>
      <c r="E4576" s="10">
        <f>IF(AND(HOUR(B4576)&gt;=6,HOUR(B4576)&lt;18),"Day Shift","Night Shift")</f>
        <v/>
      </c>
      <c r="F4576" s="11">
        <f>INT(B4576)</f>
        <v/>
      </c>
      <c r="G4576" s="11">
        <f>INT(C4576)</f>
        <v/>
      </c>
    </row>
    <row r="4577">
      <c r="A4577" s="2" t="inlineStr">
        <is>
          <t>DRE42</t>
        </is>
      </c>
      <c r="B4577" s="3" t="n">
        <v>46102.25</v>
      </c>
      <c r="C4577" s="3" t="n">
        <v>46102.75</v>
      </c>
      <c r="D4577" s="4">
        <f>(C4577-B4577)*24</f>
        <v/>
      </c>
      <c r="E4577" s="5">
        <f>IF(AND(HOUR(B4577)&gt;=6,HOUR(B4577)&lt;18),"Day Shift","Night Shift")</f>
        <v/>
      </c>
      <c r="F4577" s="6">
        <f>INT(B4577)</f>
        <v/>
      </c>
      <c r="G4577" s="6">
        <f>INT(C4577)</f>
        <v/>
      </c>
    </row>
    <row r="4578">
      <c r="A4578" s="7" t="inlineStr">
        <is>
          <t>DRE42</t>
        </is>
      </c>
      <c r="B4578" s="8" t="n">
        <v>46102.75</v>
      </c>
      <c r="C4578" s="8" t="n">
        <v>46103.25</v>
      </c>
      <c r="D4578" s="9">
        <f>(C4578-B4578)*24</f>
        <v/>
      </c>
      <c r="E4578" s="10">
        <f>IF(AND(HOUR(B4578)&gt;=6,HOUR(B4578)&lt;18),"Day Shift","Night Shift")</f>
        <v/>
      </c>
      <c r="F4578" s="11">
        <f>INT(B4578)</f>
        <v/>
      </c>
      <c r="G4578" s="11">
        <f>INT(C4578)</f>
        <v/>
      </c>
    </row>
    <row r="4579">
      <c r="A4579" s="2" t="inlineStr">
        <is>
          <t>DRE42</t>
        </is>
      </c>
      <c r="B4579" s="3" t="n">
        <v>46103.25</v>
      </c>
      <c r="C4579" s="3" t="n">
        <v>46103.75</v>
      </c>
      <c r="D4579" s="4">
        <f>(C4579-B4579)*24</f>
        <v/>
      </c>
      <c r="E4579" s="5">
        <f>IF(AND(HOUR(B4579)&gt;=6,HOUR(B4579)&lt;18),"Day Shift","Night Shift")</f>
        <v/>
      </c>
      <c r="F4579" s="6">
        <f>INT(B4579)</f>
        <v/>
      </c>
      <c r="G4579" s="6">
        <f>INT(C4579)</f>
        <v/>
      </c>
    </row>
    <row r="4580">
      <c r="A4580" s="7" t="inlineStr">
        <is>
          <t>DRE42</t>
        </is>
      </c>
      <c r="B4580" s="8" t="n">
        <v>46103.75</v>
      </c>
      <c r="C4580" s="8" t="n">
        <v>46104.25</v>
      </c>
      <c r="D4580" s="9">
        <f>(C4580-B4580)*24</f>
        <v/>
      </c>
      <c r="E4580" s="10">
        <f>IF(AND(HOUR(B4580)&gt;=6,HOUR(B4580)&lt;18),"Day Shift","Night Shift")</f>
        <v/>
      </c>
      <c r="F4580" s="11">
        <f>INT(B4580)</f>
        <v/>
      </c>
      <c r="G4580" s="11">
        <f>INT(C4580)</f>
        <v/>
      </c>
    </row>
    <row r="4581">
      <c r="A4581" s="2" t="inlineStr">
        <is>
          <t>DRE42</t>
        </is>
      </c>
      <c r="B4581" s="3" t="n">
        <v>46104.25</v>
      </c>
      <c r="C4581" s="3" t="n">
        <v>46104.75</v>
      </c>
      <c r="D4581" s="4">
        <f>(C4581-B4581)*24</f>
        <v/>
      </c>
      <c r="E4581" s="5">
        <f>IF(AND(HOUR(B4581)&gt;=6,HOUR(B4581)&lt;18),"Day Shift","Night Shift")</f>
        <v/>
      </c>
      <c r="F4581" s="6">
        <f>INT(B4581)</f>
        <v/>
      </c>
      <c r="G4581" s="6">
        <f>INT(C4581)</f>
        <v/>
      </c>
    </row>
    <row r="4582">
      <c r="A4582" s="7" t="inlineStr">
        <is>
          <t>DRE42</t>
        </is>
      </c>
      <c r="B4582" s="8" t="n">
        <v>46104.75</v>
      </c>
      <c r="C4582" s="8" t="n">
        <v>46105.25</v>
      </c>
      <c r="D4582" s="9">
        <f>(C4582-B4582)*24</f>
        <v/>
      </c>
      <c r="E4582" s="10">
        <f>IF(AND(HOUR(B4582)&gt;=6,HOUR(B4582)&lt;18),"Day Shift","Night Shift")</f>
        <v/>
      </c>
      <c r="F4582" s="11">
        <f>INT(B4582)</f>
        <v/>
      </c>
      <c r="G4582" s="11">
        <f>INT(C4582)</f>
        <v/>
      </c>
    </row>
    <row r="4583">
      <c r="A4583" s="2" t="inlineStr">
        <is>
          <t>DRE42</t>
        </is>
      </c>
      <c r="B4583" s="3" t="n">
        <v>46105.25</v>
      </c>
      <c r="C4583" s="3" t="n">
        <v>46105.75</v>
      </c>
      <c r="D4583" s="4">
        <f>(C4583-B4583)*24</f>
        <v/>
      </c>
      <c r="E4583" s="5">
        <f>IF(AND(HOUR(B4583)&gt;=6,HOUR(B4583)&lt;18),"Day Shift","Night Shift")</f>
        <v/>
      </c>
      <c r="F4583" s="6">
        <f>INT(B4583)</f>
        <v/>
      </c>
      <c r="G4583" s="6">
        <f>INT(C4583)</f>
        <v/>
      </c>
    </row>
    <row r="4584">
      <c r="A4584" s="7" t="inlineStr">
        <is>
          <t>DRE42</t>
        </is>
      </c>
      <c r="B4584" s="8" t="n">
        <v>46105.75</v>
      </c>
      <c r="C4584" s="8" t="n">
        <v>46106.25</v>
      </c>
      <c r="D4584" s="9">
        <f>(C4584-B4584)*24</f>
        <v/>
      </c>
      <c r="E4584" s="10">
        <f>IF(AND(HOUR(B4584)&gt;=6,HOUR(B4584)&lt;18),"Day Shift","Night Shift")</f>
        <v/>
      </c>
      <c r="F4584" s="11">
        <f>INT(B4584)</f>
        <v/>
      </c>
      <c r="G4584" s="11">
        <f>INT(C4584)</f>
        <v/>
      </c>
    </row>
    <row r="4585">
      <c r="A4585" s="2" t="inlineStr">
        <is>
          <t>DRE42</t>
        </is>
      </c>
      <c r="B4585" s="3" t="n">
        <v>46106.25</v>
      </c>
      <c r="C4585" s="3" t="n">
        <v>46106.75</v>
      </c>
      <c r="D4585" s="4">
        <f>(C4585-B4585)*24</f>
        <v/>
      </c>
      <c r="E4585" s="5">
        <f>IF(AND(HOUR(B4585)&gt;=6,HOUR(B4585)&lt;18),"Day Shift","Night Shift")</f>
        <v/>
      </c>
      <c r="F4585" s="6">
        <f>INT(B4585)</f>
        <v/>
      </c>
      <c r="G4585" s="6">
        <f>INT(C4585)</f>
        <v/>
      </c>
    </row>
    <row r="4586">
      <c r="A4586" s="7" t="inlineStr">
        <is>
          <t>DRE42</t>
        </is>
      </c>
      <c r="B4586" s="8" t="n">
        <v>46106.75</v>
      </c>
      <c r="C4586" s="8" t="n">
        <v>46107.25</v>
      </c>
      <c r="D4586" s="9">
        <f>(C4586-B4586)*24</f>
        <v/>
      </c>
      <c r="E4586" s="10">
        <f>IF(AND(HOUR(B4586)&gt;=6,HOUR(B4586)&lt;18),"Day Shift","Night Shift")</f>
        <v/>
      </c>
      <c r="F4586" s="11">
        <f>INT(B4586)</f>
        <v/>
      </c>
      <c r="G4586" s="11">
        <f>INT(C4586)</f>
        <v/>
      </c>
    </row>
    <row r="4587">
      <c r="A4587" s="2" t="inlineStr">
        <is>
          <t>DRE42</t>
        </is>
      </c>
      <c r="B4587" s="3" t="n">
        <v>46107.25</v>
      </c>
      <c r="C4587" s="3" t="n">
        <v>46107.33390046296</v>
      </c>
      <c r="D4587" s="4">
        <f>(C4587-B4587)*24</f>
        <v/>
      </c>
      <c r="E4587" s="5">
        <f>IF(AND(HOUR(B4587)&gt;=6,HOUR(B4587)&lt;18),"Day Shift","Night Shift")</f>
        <v/>
      </c>
      <c r="F4587" s="6">
        <f>INT(B4587)</f>
        <v/>
      </c>
      <c r="G4587" s="6">
        <f>INT(C4587)</f>
        <v/>
      </c>
    </row>
    <row r="4588">
      <c r="A4588" s="2" t="inlineStr">
        <is>
          <t>EXD101</t>
        </is>
      </c>
      <c r="B4588" s="3" t="n">
        <v>46101.42730324074</v>
      </c>
      <c r="C4588" s="3" t="n">
        <v>46101.75</v>
      </c>
      <c r="D4588" s="4">
        <f>(C4588-B4588)*24</f>
        <v/>
      </c>
      <c r="E4588" s="5">
        <f>IF(AND(HOUR(B4588)&gt;=6,HOUR(B4588)&lt;18),"Day Shift","Night Shift")</f>
        <v/>
      </c>
      <c r="F4588" s="6">
        <f>INT(B4588)</f>
        <v/>
      </c>
      <c r="G4588" s="6">
        <f>INT(C4588)</f>
        <v/>
      </c>
    </row>
    <row r="4589">
      <c r="A4589" s="7" t="inlineStr">
        <is>
          <t>EXD101</t>
        </is>
      </c>
      <c r="B4589" s="8" t="n">
        <v>46101.75</v>
      </c>
      <c r="C4589" s="8" t="n">
        <v>46102.25</v>
      </c>
      <c r="D4589" s="9">
        <f>(C4589-B4589)*24</f>
        <v/>
      </c>
      <c r="E4589" s="10">
        <f>IF(AND(HOUR(B4589)&gt;=6,HOUR(B4589)&lt;18),"Day Shift","Night Shift")</f>
        <v/>
      </c>
      <c r="F4589" s="11">
        <f>INT(B4589)</f>
        <v/>
      </c>
      <c r="G4589" s="11">
        <f>INT(C4589)</f>
        <v/>
      </c>
    </row>
    <row r="4590">
      <c r="A4590" s="2" t="inlineStr">
        <is>
          <t>EXD101</t>
        </is>
      </c>
      <c r="B4590" s="3" t="n">
        <v>46102.25</v>
      </c>
      <c r="C4590" s="3" t="n">
        <v>46102.47024305556</v>
      </c>
      <c r="D4590" s="4">
        <f>(C4590-B4590)*24</f>
        <v/>
      </c>
      <c r="E4590" s="5">
        <f>IF(AND(HOUR(B4590)&gt;=6,HOUR(B4590)&lt;18),"Day Shift","Night Shift")</f>
        <v/>
      </c>
      <c r="F4590" s="6">
        <f>INT(B4590)</f>
        <v/>
      </c>
      <c r="G4590" s="6">
        <f>INT(C4590)</f>
        <v/>
      </c>
    </row>
    <row r="4591">
      <c r="A4591" s="2" t="inlineStr">
        <is>
          <t>LDW262</t>
        </is>
      </c>
      <c r="B4591" s="3" t="n">
        <v>46101.4662962963</v>
      </c>
      <c r="C4591" s="3" t="n">
        <v>46101.75</v>
      </c>
      <c r="D4591" s="4">
        <f>(C4591-B4591)*24</f>
        <v/>
      </c>
      <c r="E4591" s="5">
        <f>IF(AND(HOUR(B4591)&gt;=6,HOUR(B4591)&lt;18),"Day Shift","Night Shift")</f>
        <v/>
      </c>
      <c r="F4591" s="6">
        <f>INT(B4591)</f>
        <v/>
      </c>
      <c r="G4591" s="6">
        <f>INT(C4591)</f>
        <v/>
      </c>
    </row>
    <row r="4592">
      <c r="A4592" s="7" t="inlineStr">
        <is>
          <t>LDW262</t>
        </is>
      </c>
      <c r="B4592" s="8" t="n">
        <v>46101.75</v>
      </c>
      <c r="C4592" s="8" t="n">
        <v>46101.98724537037</v>
      </c>
      <c r="D4592" s="9">
        <f>(C4592-B4592)*24</f>
        <v/>
      </c>
      <c r="E4592" s="10">
        <f>IF(AND(HOUR(B4592)&gt;=6,HOUR(B4592)&lt;18),"Day Shift","Night Shift")</f>
        <v/>
      </c>
      <c r="F4592" s="11">
        <f>INT(B4592)</f>
        <v/>
      </c>
      <c r="G4592" s="11">
        <f>INT(C4592)</f>
        <v/>
      </c>
    </row>
    <row r="4593">
      <c r="A4593" s="2" t="inlineStr">
        <is>
          <t>EXD98</t>
        </is>
      </c>
      <c r="B4593" s="3" t="n">
        <v>46101.48049768519</v>
      </c>
      <c r="C4593" s="3" t="n">
        <v>46101.75</v>
      </c>
      <c r="D4593" s="4">
        <f>(C4593-B4593)*24</f>
        <v/>
      </c>
      <c r="E4593" s="5">
        <f>IF(AND(HOUR(B4593)&gt;=6,HOUR(B4593)&lt;18),"Day Shift","Night Shift")</f>
        <v/>
      </c>
      <c r="F4593" s="6">
        <f>INT(B4593)</f>
        <v/>
      </c>
      <c r="G4593" s="6">
        <f>INT(C4593)</f>
        <v/>
      </c>
    </row>
    <row r="4594">
      <c r="A4594" s="7" t="inlineStr">
        <is>
          <t>EXD98</t>
        </is>
      </c>
      <c r="B4594" s="8" t="n">
        <v>46101.75</v>
      </c>
      <c r="C4594" s="8" t="n">
        <v>46102.20869212963</v>
      </c>
      <c r="D4594" s="9">
        <f>(C4594-B4594)*24</f>
        <v/>
      </c>
      <c r="E4594" s="10">
        <f>IF(AND(HOUR(B4594)&gt;=6,HOUR(B4594)&lt;18),"Day Shift","Night Shift")</f>
        <v/>
      </c>
      <c r="F4594" s="11">
        <f>INT(B4594)</f>
        <v/>
      </c>
      <c r="G4594" s="11">
        <f>INT(C4594)</f>
        <v/>
      </c>
    </row>
    <row r="4595">
      <c r="A4595" s="2" t="inlineStr">
        <is>
          <t>EDD175;EDD1932;EDD2134;EDD812</t>
        </is>
      </c>
      <c r="B4595" s="3" t="n">
        <v>46101.60990740741</v>
      </c>
      <c r="C4595" s="3" t="n">
        <v>46101.75</v>
      </c>
      <c r="D4595" s="4">
        <f>(C4595-B4595)*24</f>
        <v/>
      </c>
      <c r="E4595" s="5">
        <f>IF(AND(HOUR(B4595)&gt;=6,HOUR(B4595)&lt;18),"Day Shift","Night Shift")</f>
        <v/>
      </c>
      <c r="F4595" s="6">
        <f>INT(B4595)</f>
        <v/>
      </c>
      <c r="G4595" s="6">
        <f>INT(C4595)</f>
        <v/>
      </c>
    </row>
    <row r="4596">
      <c r="A4596" s="7" t="inlineStr">
        <is>
          <t>EDD175;EDD1932;EDD2134;EDD812</t>
        </is>
      </c>
      <c r="B4596" s="8" t="n">
        <v>46101.75</v>
      </c>
      <c r="C4596" s="8" t="n">
        <v>46101.79513888889</v>
      </c>
      <c r="D4596" s="9">
        <f>(C4596-B4596)*24</f>
        <v/>
      </c>
      <c r="E4596" s="10">
        <f>IF(AND(HOUR(B4596)&gt;=6,HOUR(B4596)&lt;18),"Day Shift","Night Shift")</f>
        <v/>
      </c>
      <c r="F4596" s="11">
        <f>INT(B4596)</f>
        <v/>
      </c>
      <c r="G4596" s="11">
        <f>INT(C4596)</f>
        <v/>
      </c>
    </row>
    <row r="4597">
      <c r="A4597" s="2" t="inlineStr">
        <is>
          <t>EXD51</t>
        </is>
      </c>
      <c r="B4597" s="3" t="n">
        <v>46101.65041666666</v>
      </c>
      <c r="C4597" s="3" t="n">
        <v>46101.75</v>
      </c>
      <c r="D4597" s="4">
        <f>(C4597-B4597)*24</f>
        <v/>
      </c>
      <c r="E4597" s="5">
        <f>IF(AND(HOUR(B4597)&gt;=6,HOUR(B4597)&lt;18),"Day Shift","Night Shift")</f>
        <v/>
      </c>
      <c r="F4597" s="6">
        <f>INT(B4597)</f>
        <v/>
      </c>
      <c r="G4597" s="6">
        <f>INT(C4597)</f>
        <v/>
      </c>
    </row>
    <row r="4598">
      <c r="A4598" s="7" t="inlineStr">
        <is>
          <t>EXD51</t>
        </is>
      </c>
      <c r="B4598" s="8" t="n">
        <v>46101.75</v>
      </c>
      <c r="C4598" s="8" t="n">
        <v>46102.15070601852</v>
      </c>
      <c r="D4598" s="9">
        <f>(C4598-B4598)*24</f>
        <v/>
      </c>
      <c r="E4598" s="10">
        <f>IF(AND(HOUR(B4598)&gt;=6,HOUR(B4598)&lt;18),"Day Shift","Night Shift")</f>
        <v/>
      </c>
      <c r="F4598" s="11">
        <f>INT(B4598)</f>
        <v/>
      </c>
      <c r="G4598" s="11">
        <f>INT(C4598)</f>
        <v/>
      </c>
    </row>
    <row r="4599">
      <c r="A4599" s="2" t="inlineStr">
        <is>
          <t>EXD408</t>
        </is>
      </c>
      <c r="B4599" s="3" t="n">
        <v>46101.65041666666</v>
      </c>
      <c r="C4599" s="3" t="n">
        <v>46101.75</v>
      </c>
      <c r="D4599" s="4">
        <f>(C4599-B4599)*24</f>
        <v/>
      </c>
      <c r="E4599" s="5">
        <f>IF(AND(HOUR(B4599)&gt;=6,HOUR(B4599)&lt;18),"Day Shift","Night Shift")</f>
        <v/>
      </c>
      <c r="F4599" s="6">
        <f>INT(B4599)</f>
        <v/>
      </c>
      <c r="G4599" s="6">
        <f>INT(C4599)</f>
        <v/>
      </c>
    </row>
    <row r="4600">
      <c r="A4600" s="7" t="inlineStr">
        <is>
          <t>EXD408</t>
        </is>
      </c>
      <c r="B4600" s="8" t="n">
        <v>46101.75</v>
      </c>
      <c r="C4600" s="8" t="n">
        <v>46102.25</v>
      </c>
      <c r="D4600" s="9">
        <f>(C4600-B4600)*24</f>
        <v/>
      </c>
      <c r="E4600" s="10">
        <f>IF(AND(HOUR(B4600)&gt;=6,HOUR(B4600)&lt;18),"Day Shift","Night Shift")</f>
        <v/>
      </c>
      <c r="F4600" s="11">
        <f>INT(B4600)</f>
        <v/>
      </c>
      <c r="G4600" s="11">
        <f>INT(C4600)</f>
        <v/>
      </c>
    </row>
    <row r="4601">
      <c r="A4601" s="2" t="inlineStr">
        <is>
          <t>EXD408</t>
        </is>
      </c>
      <c r="B4601" s="3" t="n">
        <v>46102.25</v>
      </c>
      <c r="C4601" s="3" t="n">
        <v>46102.75</v>
      </c>
      <c r="D4601" s="4">
        <f>(C4601-B4601)*24</f>
        <v/>
      </c>
      <c r="E4601" s="5">
        <f>IF(AND(HOUR(B4601)&gt;=6,HOUR(B4601)&lt;18),"Day Shift","Night Shift")</f>
        <v/>
      </c>
      <c r="F4601" s="6">
        <f>INT(B4601)</f>
        <v/>
      </c>
      <c r="G4601" s="6">
        <f>INT(C4601)</f>
        <v/>
      </c>
    </row>
    <row r="4602">
      <c r="A4602" s="7" t="inlineStr">
        <is>
          <t>EXD408</t>
        </is>
      </c>
      <c r="B4602" s="8" t="n">
        <v>46102.75</v>
      </c>
      <c r="C4602" s="8" t="n">
        <v>46103.16793981481</v>
      </c>
      <c r="D4602" s="9">
        <f>(C4602-B4602)*24</f>
        <v/>
      </c>
      <c r="E4602" s="10">
        <f>IF(AND(HOUR(B4602)&gt;=6,HOUR(B4602)&lt;18),"Day Shift","Night Shift")</f>
        <v/>
      </c>
      <c r="F4602" s="11">
        <f>INT(B4602)</f>
        <v/>
      </c>
      <c r="G4602" s="11">
        <f>INT(C4602)</f>
        <v/>
      </c>
    </row>
    <row r="4603">
      <c r="A4603" s="2" t="inlineStr">
        <is>
          <t>Sprint 1</t>
        </is>
      </c>
      <c r="B4603" s="3" t="n">
        <v>46101.67175925926</v>
      </c>
      <c r="C4603" s="3" t="n">
        <v>46101.75</v>
      </c>
      <c r="D4603" s="4">
        <f>(C4603-B4603)*24</f>
        <v/>
      </c>
      <c r="E4603" s="5">
        <f>IF(AND(HOUR(B4603)&gt;=6,HOUR(B4603)&lt;18),"Day Shift","Night Shift")</f>
        <v/>
      </c>
      <c r="F4603" s="6">
        <f>INT(B4603)</f>
        <v/>
      </c>
      <c r="G4603" s="6">
        <f>INT(C4603)</f>
        <v/>
      </c>
    </row>
    <row r="4604">
      <c r="A4604" s="7" t="inlineStr">
        <is>
          <t>Sprint 1</t>
        </is>
      </c>
      <c r="B4604" s="8" t="n">
        <v>46101.75</v>
      </c>
      <c r="C4604" s="8" t="n">
        <v>46101.90834490741</v>
      </c>
      <c r="D4604" s="9">
        <f>(C4604-B4604)*24</f>
        <v/>
      </c>
      <c r="E4604" s="10">
        <f>IF(AND(HOUR(B4604)&gt;=6,HOUR(B4604)&lt;18),"Day Shift","Night Shift")</f>
        <v/>
      </c>
      <c r="F4604" s="11">
        <f>INT(B4604)</f>
        <v/>
      </c>
      <c r="G4604" s="11">
        <f>INT(C4604)</f>
        <v/>
      </c>
    </row>
    <row r="4605">
      <c r="A4605" s="7" t="inlineStr">
        <is>
          <t>EXD100</t>
        </is>
      </c>
      <c r="B4605" s="8" t="n">
        <v>46101.77469907407</v>
      </c>
      <c r="C4605" s="8" t="n">
        <v>46102.25</v>
      </c>
      <c r="D4605" s="9">
        <f>(C4605-B4605)*24</f>
        <v/>
      </c>
      <c r="E4605" s="10">
        <f>IF(AND(HOUR(B4605)&gt;=6,HOUR(B4605)&lt;18),"Day Shift","Night Shift")</f>
        <v/>
      </c>
      <c r="F4605" s="11">
        <f>INT(B4605)</f>
        <v/>
      </c>
      <c r="G4605" s="11">
        <f>INT(C4605)</f>
        <v/>
      </c>
    </row>
    <row r="4606">
      <c r="A4606" s="2" t="inlineStr">
        <is>
          <t>EXD100</t>
        </is>
      </c>
      <c r="B4606" s="3" t="n">
        <v>46102.25</v>
      </c>
      <c r="C4606" s="3" t="n">
        <v>46102.49473379629</v>
      </c>
      <c r="D4606" s="4">
        <f>(C4606-B4606)*24</f>
        <v/>
      </c>
      <c r="E4606" s="5">
        <f>IF(AND(HOUR(B4606)&gt;=6,HOUR(B4606)&lt;18),"Day Shift","Night Shift")</f>
        <v/>
      </c>
      <c r="F4606" s="6">
        <f>INT(B4606)</f>
        <v/>
      </c>
      <c r="G4606" s="6">
        <f>INT(C4606)</f>
        <v/>
      </c>
    </row>
    <row r="4607">
      <c r="A4607" s="7" t="inlineStr">
        <is>
          <t>EDD175;EDD1932;EDD2134;EDD812</t>
        </is>
      </c>
      <c r="B4607" s="8" t="n">
        <v>46101.79513888889</v>
      </c>
      <c r="C4607" s="8" t="n">
        <v>46101.97623842592</v>
      </c>
      <c r="D4607" s="9">
        <f>(C4607-B4607)*24</f>
        <v/>
      </c>
      <c r="E4607" s="10">
        <f>IF(AND(HOUR(B4607)&gt;=6,HOUR(B4607)&lt;18),"Day Shift","Night Shift")</f>
        <v/>
      </c>
      <c r="F4607" s="11">
        <f>INT(B4607)</f>
        <v/>
      </c>
      <c r="G4607" s="11">
        <f>INT(C4607)</f>
        <v/>
      </c>
    </row>
    <row r="4608">
      <c r="A4608" s="7" t="inlineStr">
        <is>
          <t>DRE12</t>
        </is>
      </c>
      <c r="B4608" s="8" t="n">
        <v>46101.84398148148</v>
      </c>
      <c r="C4608" s="8" t="n">
        <v>46102.25</v>
      </c>
      <c r="D4608" s="9">
        <f>(C4608-B4608)*24</f>
        <v/>
      </c>
      <c r="E4608" s="10">
        <f>IF(AND(HOUR(B4608)&gt;=6,HOUR(B4608)&lt;18),"Day Shift","Night Shift")</f>
        <v/>
      </c>
      <c r="F4608" s="11">
        <f>INT(B4608)</f>
        <v/>
      </c>
      <c r="G4608" s="11">
        <f>INT(C4608)</f>
        <v/>
      </c>
    </row>
    <row r="4609">
      <c r="A4609" s="2" t="inlineStr">
        <is>
          <t>DRE12</t>
        </is>
      </c>
      <c r="B4609" s="3" t="n">
        <v>46102.25</v>
      </c>
      <c r="C4609" s="3" t="n">
        <v>46102.75</v>
      </c>
      <c r="D4609" s="4">
        <f>(C4609-B4609)*24</f>
        <v/>
      </c>
      <c r="E4609" s="5">
        <f>IF(AND(HOUR(B4609)&gt;=6,HOUR(B4609)&lt;18),"Day Shift","Night Shift")</f>
        <v/>
      </c>
      <c r="F4609" s="6">
        <f>INT(B4609)</f>
        <v/>
      </c>
      <c r="G4609" s="6">
        <f>INT(C4609)</f>
        <v/>
      </c>
    </row>
    <row r="4610">
      <c r="A4610" s="7" t="inlineStr">
        <is>
          <t>DRE12</t>
        </is>
      </c>
      <c r="B4610" s="8" t="n">
        <v>46102.75</v>
      </c>
      <c r="C4610" s="8" t="n">
        <v>46102.88178240741</v>
      </c>
      <c r="D4610" s="9">
        <f>(C4610-B4610)*24</f>
        <v/>
      </c>
      <c r="E4610" s="10">
        <f>IF(AND(HOUR(B4610)&gt;=6,HOUR(B4610)&lt;18),"Day Shift","Night Shift")</f>
        <v/>
      </c>
      <c r="F4610" s="11">
        <f>INT(B4610)</f>
        <v/>
      </c>
      <c r="G4610" s="11">
        <f>INT(C4610)</f>
        <v/>
      </c>
    </row>
    <row r="4611">
      <c r="A4611" s="7" t="inlineStr">
        <is>
          <t>Sprint 1;EDD175;EDD1932;EDD2134;EDD2541;EDD812</t>
        </is>
      </c>
      <c r="B4611" s="8" t="n">
        <v>46101.90834490741</v>
      </c>
      <c r="C4611" s="8" t="n">
        <v>46102.25</v>
      </c>
      <c r="D4611" s="9">
        <f>(C4611-B4611)*24</f>
        <v/>
      </c>
      <c r="E4611" s="10">
        <f>IF(AND(HOUR(B4611)&gt;=6,HOUR(B4611)&lt;18),"Day Shift","Night Shift")</f>
        <v/>
      </c>
      <c r="F4611" s="11">
        <f>INT(B4611)</f>
        <v/>
      </c>
      <c r="G4611" s="11">
        <f>INT(C4611)</f>
        <v/>
      </c>
    </row>
    <row r="4612">
      <c r="A4612" s="2" t="inlineStr">
        <is>
          <t>Sprint 1;EDD175;EDD1932;EDD2134;EDD2541;EDD812</t>
        </is>
      </c>
      <c r="B4612" s="3" t="n">
        <v>46102.25</v>
      </c>
      <c r="C4612" s="3" t="n">
        <v>46102.75</v>
      </c>
      <c r="D4612" s="4">
        <f>(C4612-B4612)*24</f>
        <v/>
      </c>
      <c r="E4612" s="5">
        <f>IF(AND(HOUR(B4612)&gt;=6,HOUR(B4612)&lt;18),"Day Shift","Night Shift")</f>
        <v/>
      </c>
      <c r="F4612" s="6">
        <f>INT(B4612)</f>
        <v/>
      </c>
      <c r="G4612" s="6">
        <f>INT(C4612)</f>
        <v/>
      </c>
    </row>
    <row r="4613">
      <c r="A4613" s="7" t="inlineStr">
        <is>
          <t>Sprint 1;EDD175;EDD1932;EDD2134;EDD2541;EDD812</t>
        </is>
      </c>
      <c r="B4613" s="8" t="n">
        <v>46102.75</v>
      </c>
      <c r="C4613" s="8" t="n">
        <v>46103.25</v>
      </c>
      <c r="D4613" s="9">
        <f>(C4613-B4613)*24</f>
        <v/>
      </c>
      <c r="E4613" s="10">
        <f>IF(AND(HOUR(B4613)&gt;=6,HOUR(B4613)&lt;18),"Day Shift","Night Shift")</f>
        <v/>
      </c>
      <c r="F4613" s="11">
        <f>INT(B4613)</f>
        <v/>
      </c>
      <c r="G4613" s="11">
        <f>INT(C4613)</f>
        <v/>
      </c>
    </row>
    <row r="4614">
      <c r="A4614" s="2" t="inlineStr">
        <is>
          <t>Sprint 1;EDD175;EDD1932;EDD2134;EDD2541;EDD812</t>
        </is>
      </c>
      <c r="B4614" s="3" t="n">
        <v>46103.25</v>
      </c>
      <c r="C4614" s="3" t="n">
        <v>46103.75</v>
      </c>
      <c r="D4614" s="4">
        <f>(C4614-B4614)*24</f>
        <v/>
      </c>
      <c r="E4614" s="5">
        <f>IF(AND(HOUR(B4614)&gt;=6,HOUR(B4614)&lt;18),"Day Shift","Night Shift")</f>
        <v/>
      </c>
      <c r="F4614" s="6">
        <f>INT(B4614)</f>
        <v/>
      </c>
      <c r="G4614" s="6">
        <f>INT(C4614)</f>
        <v/>
      </c>
    </row>
    <row r="4615">
      <c r="A4615" s="7" t="inlineStr">
        <is>
          <t>Sprint 1;EDD175;EDD1932;EDD2134;EDD2541;EDD812</t>
        </is>
      </c>
      <c r="B4615" s="8" t="n">
        <v>46103.75</v>
      </c>
      <c r="C4615" s="8" t="n">
        <v>46104.25</v>
      </c>
      <c r="D4615" s="9">
        <f>(C4615-B4615)*24</f>
        <v/>
      </c>
      <c r="E4615" s="10">
        <f>IF(AND(HOUR(B4615)&gt;=6,HOUR(B4615)&lt;18),"Day Shift","Night Shift")</f>
        <v/>
      </c>
      <c r="F4615" s="11">
        <f>INT(B4615)</f>
        <v/>
      </c>
      <c r="G4615" s="11">
        <f>INT(C4615)</f>
        <v/>
      </c>
    </row>
    <row r="4616">
      <c r="A4616" s="2" t="inlineStr">
        <is>
          <t>Sprint 1;EDD175;EDD1932;EDD2134;EDD2541;EDD812</t>
        </is>
      </c>
      <c r="B4616" s="3" t="n">
        <v>46104.25</v>
      </c>
      <c r="C4616" s="3" t="n">
        <v>46104.75</v>
      </c>
      <c r="D4616" s="4">
        <f>(C4616-B4616)*24</f>
        <v/>
      </c>
      <c r="E4616" s="5">
        <f>IF(AND(HOUR(B4616)&gt;=6,HOUR(B4616)&lt;18),"Day Shift","Night Shift")</f>
        <v/>
      </c>
      <c r="F4616" s="6">
        <f>INT(B4616)</f>
        <v/>
      </c>
      <c r="G4616" s="6">
        <f>INT(C4616)</f>
        <v/>
      </c>
    </row>
    <row r="4617">
      <c r="A4617" s="7" t="inlineStr">
        <is>
          <t>Sprint 1;EDD175;EDD1932;EDD2134;EDD2541;EDD812</t>
        </is>
      </c>
      <c r="B4617" s="8" t="n">
        <v>46104.75</v>
      </c>
      <c r="C4617" s="8" t="n">
        <v>46105.25</v>
      </c>
      <c r="D4617" s="9">
        <f>(C4617-B4617)*24</f>
        <v/>
      </c>
      <c r="E4617" s="10">
        <f>IF(AND(HOUR(B4617)&gt;=6,HOUR(B4617)&lt;18),"Day Shift","Night Shift")</f>
        <v/>
      </c>
      <c r="F4617" s="11">
        <f>INT(B4617)</f>
        <v/>
      </c>
      <c r="G4617" s="11">
        <f>INT(C4617)</f>
        <v/>
      </c>
    </row>
    <row r="4618">
      <c r="A4618" s="2" t="inlineStr">
        <is>
          <t>Sprint 1;EDD175;EDD1932;EDD2134;EDD2541;EDD812</t>
        </is>
      </c>
      <c r="B4618" s="3" t="n">
        <v>46105.25</v>
      </c>
      <c r="C4618" s="3" t="n">
        <v>46105.75</v>
      </c>
      <c r="D4618" s="4">
        <f>(C4618-B4618)*24</f>
        <v/>
      </c>
      <c r="E4618" s="5">
        <f>IF(AND(HOUR(B4618)&gt;=6,HOUR(B4618)&lt;18),"Day Shift","Night Shift")</f>
        <v/>
      </c>
      <c r="F4618" s="6">
        <f>INT(B4618)</f>
        <v/>
      </c>
      <c r="G4618" s="6">
        <f>INT(C4618)</f>
        <v/>
      </c>
    </row>
    <row r="4619">
      <c r="A4619" s="7" t="inlineStr">
        <is>
          <t>Sprint 1;EDD175;EDD1932;EDD2134;EDD2541;EDD812</t>
        </is>
      </c>
      <c r="B4619" s="8" t="n">
        <v>46105.75</v>
      </c>
      <c r="C4619" s="8" t="n">
        <v>46106.25</v>
      </c>
      <c r="D4619" s="9">
        <f>(C4619-B4619)*24</f>
        <v/>
      </c>
      <c r="E4619" s="10">
        <f>IF(AND(HOUR(B4619)&gt;=6,HOUR(B4619)&lt;18),"Day Shift","Night Shift")</f>
        <v/>
      </c>
      <c r="F4619" s="11">
        <f>INT(B4619)</f>
        <v/>
      </c>
      <c r="G4619" s="11">
        <f>INT(C4619)</f>
        <v/>
      </c>
    </row>
    <row r="4620">
      <c r="A4620" s="2" t="inlineStr">
        <is>
          <t>Sprint 1;EDD175;EDD1932;EDD2134;EDD2541;EDD812</t>
        </is>
      </c>
      <c r="B4620" s="3" t="n">
        <v>46106.25</v>
      </c>
      <c r="C4620" s="3" t="n">
        <v>46106.75</v>
      </c>
      <c r="D4620" s="4">
        <f>(C4620-B4620)*24</f>
        <v/>
      </c>
      <c r="E4620" s="5">
        <f>IF(AND(HOUR(B4620)&gt;=6,HOUR(B4620)&lt;18),"Day Shift","Night Shift")</f>
        <v/>
      </c>
      <c r="F4620" s="6">
        <f>INT(B4620)</f>
        <v/>
      </c>
      <c r="G4620" s="6">
        <f>INT(C4620)</f>
        <v/>
      </c>
    </row>
    <row r="4621">
      <c r="A4621" s="7" t="inlineStr">
        <is>
          <t>Sprint 1;EDD175;EDD1932;EDD2134;EDD2541;EDD812</t>
        </is>
      </c>
      <c r="B4621" s="8" t="n">
        <v>46106.75</v>
      </c>
      <c r="C4621" s="8" t="n">
        <v>46107.25</v>
      </c>
      <c r="D4621" s="9">
        <f>(C4621-B4621)*24</f>
        <v/>
      </c>
      <c r="E4621" s="10">
        <f>IF(AND(HOUR(B4621)&gt;=6,HOUR(B4621)&lt;18),"Day Shift","Night Shift")</f>
        <v/>
      </c>
      <c r="F4621" s="11">
        <f>INT(B4621)</f>
        <v/>
      </c>
      <c r="G4621" s="11">
        <f>INT(C4621)</f>
        <v/>
      </c>
    </row>
    <row r="4622">
      <c r="A4622" s="2" t="inlineStr">
        <is>
          <t>Sprint 1;EDD175;EDD1932;EDD2134;EDD2541;EDD812</t>
        </is>
      </c>
      <c r="B4622" s="3" t="n">
        <v>46107.25</v>
      </c>
      <c r="C4622" s="3" t="n">
        <v>46107.75</v>
      </c>
      <c r="D4622" s="4">
        <f>(C4622-B4622)*24</f>
        <v/>
      </c>
      <c r="E4622" s="5">
        <f>IF(AND(HOUR(B4622)&gt;=6,HOUR(B4622)&lt;18),"Day Shift","Night Shift")</f>
        <v/>
      </c>
      <c r="F4622" s="6">
        <f>INT(B4622)</f>
        <v/>
      </c>
      <c r="G4622" s="6">
        <f>INT(C4622)</f>
        <v/>
      </c>
    </row>
    <row r="4623">
      <c r="A4623" s="7" t="inlineStr">
        <is>
          <t>Sprint 1;EDD175;EDD1932;EDD2134;EDD2541;EDD812</t>
        </is>
      </c>
      <c r="B4623" s="8" t="n">
        <v>46107.75</v>
      </c>
      <c r="C4623" s="8" t="n">
        <v>46108.25</v>
      </c>
      <c r="D4623" s="9">
        <f>(C4623-B4623)*24</f>
        <v/>
      </c>
      <c r="E4623" s="10">
        <f>IF(AND(HOUR(B4623)&gt;=6,HOUR(B4623)&lt;18),"Day Shift","Night Shift")</f>
        <v/>
      </c>
      <c r="F4623" s="11">
        <f>INT(B4623)</f>
        <v/>
      </c>
      <c r="G4623" s="11">
        <f>INT(C4623)</f>
        <v/>
      </c>
    </row>
    <row r="4624">
      <c r="A4624" s="2" t="inlineStr">
        <is>
          <t>Sprint 1;EDD175;EDD1932;EDD2134;EDD2541;EDD812</t>
        </is>
      </c>
      <c r="B4624" s="3" t="n">
        <v>46108.25</v>
      </c>
      <c r="C4624" s="3" t="n">
        <v>46108.75</v>
      </c>
      <c r="D4624" s="4">
        <f>(C4624-B4624)*24</f>
        <v/>
      </c>
      <c r="E4624" s="5">
        <f>IF(AND(HOUR(B4624)&gt;=6,HOUR(B4624)&lt;18),"Day Shift","Night Shift")</f>
        <v/>
      </c>
      <c r="F4624" s="6">
        <f>INT(B4624)</f>
        <v/>
      </c>
      <c r="G4624" s="6">
        <f>INT(C4624)</f>
        <v/>
      </c>
    </row>
    <row r="4625">
      <c r="A4625" s="7" t="inlineStr">
        <is>
          <t>Sprint 1;EDD175;EDD1932;EDD2134;EDD2541;EDD812</t>
        </is>
      </c>
      <c r="B4625" s="8" t="n">
        <v>46108.75</v>
      </c>
      <c r="C4625" s="8" t="n">
        <v>46109.25</v>
      </c>
      <c r="D4625" s="9">
        <f>(C4625-B4625)*24</f>
        <v/>
      </c>
      <c r="E4625" s="10">
        <f>IF(AND(HOUR(B4625)&gt;=6,HOUR(B4625)&lt;18),"Day Shift","Night Shift")</f>
        <v/>
      </c>
      <c r="F4625" s="11">
        <f>INT(B4625)</f>
        <v/>
      </c>
      <c r="G4625" s="11">
        <f>INT(C4625)</f>
        <v/>
      </c>
    </row>
    <row r="4626">
      <c r="A4626" s="2" t="inlineStr">
        <is>
          <t>Sprint 1;EDD175;EDD1932;EDD2134;EDD2541;EDD812</t>
        </is>
      </c>
      <c r="B4626" s="3" t="n">
        <v>46109.25</v>
      </c>
      <c r="C4626" s="3" t="n">
        <v>46109.75</v>
      </c>
      <c r="D4626" s="4">
        <f>(C4626-B4626)*24</f>
        <v/>
      </c>
      <c r="E4626" s="5">
        <f>IF(AND(HOUR(B4626)&gt;=6,HOUR(B4626)&lt;18),"Day Shift","Night Shift")</f>
        <v/>
      </c>
      <c r="F4626" s="6">
        <f>INT(B4626)</f>
        <v/>
      </c>
      <c r="G4626" s="6">
        <f>INT(C4626)</f>
        <v/>
      </c>
    </row>
    <row r="4627">
      <c r="A4627" s="7" t="inlineStr">
        <is>
          <t>Sprint 1;EDD175;EDD1932;EDD2134;EDD2541;EDD812</t>
        </is>
      </c>
      <c r="B4627" s="8" t="n">
        <v>46109.75</v>
      </c>
      <c r="C4627" s="8" t="n">
        <v>46110.25</v>
      </c>
      <c r="D4627" s="9">
        <f>(C4627-B4627)*24</f>
        <v/>
      </c>
      <c r="E4627" s="10">
        <f>IF(AND(HOUR(B4627)&gt;=6,HOUR(B4627)&lt;18),"Day Shift","Night Shift")</f>
        <v/>
      </c>
      <c r="F4627" s="11">
        <f>INT(B4627)</f>
        <v/>
      </c>
      <c r="G4627" s="11">
        <f>INT(C4627)</f>
        <v/>
      </c>
    </row>
    <row r="4628">
      <c r="A4628" s="2" t="inlineStr">
        <is>
          <t>Sprint 1;EDD175;EDD1932;EDD2134;EDD2541;EDD812</t>
        </is>
      </c>
      <c r="B4628" s="3" t="n">
        <v>46110.25</v>
      </c>
      <c r="C4628" s="3" t="n">
        <v>46110.75</v>
      </c>
      <c r="D4628" s="4">
        <f>(C4628-B4628)*24</f>
        <v/>
      </c>
      <c r="E4628" s="5">
        <f>IF(AND(HOUR(B4628)&gt;=6,HOUR(B4628)&lt;18),"Day Shift","Night Shift")</f>
        <v/>
      </c>
      <c r="F4628" s="6">
        <f>INT(B4628)</f>
        <v/>
      </c>
      <c r="G4628" s="6">
        <f>INT(C4628)</f>
        <v/>
      </c>
    </row>
    <row r="4629">
      <c r="A4629" s="7" t="inlineStr">
        <is>
          <t>Sprint 1;EDD175;EDD1932;EDD2134;EDD2541;EDD812</t>
        </is>
      </c>
      <c r="B4629" s="8" t="n">
        <v>46110.75</v>
      </c>
      <c r="C4629" s="8" t="n">
        <v>46111.25</v>
      </c>
      <c r="D4629" s="9">
        <f>(C4629-B4629)*24</f>
        <v/>
      </c>
      <c r="E4629" s="10">
        <f>IF(AND(HOUR(B4629)&gt;=6,HOUR(B4629)&lt;18),"Day Shift","Night Shift")</f>
        <v/>
      </c>
      <c r="F4629" s="11">
        <f>INT(B4629)</f>
        <v/>
      </c>
      <c r="G4629" s="11">
        <f>INT(C4629)</f>
        <v/>
      </c>
    </row>
    <row r="4630">
      <c r="A4630" s="2" t="inlineStr">
        <is>
          <t>Sprint 1;EDD175;EDD1932;EDD2134;EDD2541;EDD812</t>
        </is>
      </c>
      <c r="B4630" s="3" t="n">
        <v>46111.25</v>
      </c>
      <c r="C4630" s="3" t="n">
        <v>46111.75</v>
      </c>
      <c r="D4630" s="4">
        <f>(C4630-B4630)*24</f>
        <v/>
      </c>
      <c r="E4630" s="5">
        <f>IF(AND(HOUR(B4630)&gt;=6,HOUR(B4630)&lt;18),"Day Shift","Night Shift")</f>
        <v/>
      </c>
      <c r="F4630" s="6">
        <f>INT(B4630)</f>
        <v/>
      </c>
      <c r="G4630" s="6">
        <f>INT(C4630)</f>
        <v/>
      </c>
    </row>
    <row r="4631">
      <c r="A4631" s="7" t="inlineStr">
        <is>
          <t>Sprint 1;EDD175;EDD1932;EDD2134;EDD2541;EDD812</t>
        </is>
      </c>
      <c r="B4631" s="8" t="n">
        <v>46111.75</v>
      </c>
      <c r="C4631" s="8" t="n">
        <v>46112.25</v>
      </c>
      <c r="D4631" s="9">
        <f>(C4631-B4631)*24</f>
        <v/>
      </c>
      <c r="E4631" s="10">
        <f>IF(AND(HOUR(B4631)&gt;=6,HOUR(B4631)&lt;18),"Day Shift","Night Shift")</f>
        <v/>
      </c>
      <c r="F4631" s="11">
        <f>INT(B4631)</f>
        <v/>
      </c>
      <c r="G4631" s="11">
        <f>INT(C4631)</f>
        <v/>
      </c>
    </row>
    <row r="4632">
      <c r="A4632" s="2" t="inlineStr">
        <is>
          <t>Sprint 1;EDD175;EDD1932;EDD2134;EDD2541;EDD812</t>
        </is>
      </c>
      <c r="B4632" s="3" t="n">
        <v>46112.25</v>
      </c>
      <c r="C4632" s="3" t="n">
        <v>46112.75</v>
      </c>
      <c r="D4632" s="4">
        <f>(C4632-B4632)*24</f>
        <v/>
      </c>
      <c r="E4632" s="5">
        <f>IF(AND(HOUR(B4632)&gt;=6,HOUR(B4632)&lt;18),"Day Shift","Night Shift")</f>
        <v/>
      </c>
      <c r="F4632" s="6">
        <f>INT(B4632)</f>
        <v/>
      </c>
      <c r="G4632" s="6">
        <f>INT(C4632)</f>
        <v/>
      </c>
    </row>
    <row r="4633">
      <c r="A4633" s="7" t="inlineStr">
        <is>
          <t>Sprint 1;EDD175;EDD1932;EDD2134;EDD2541;EDD812</t>
        </is>
      </c>
      <c r="B4633" s="8" t="n">
        <v>46112.75</v>
      </c>
      <c r="C4633" s="8" t="n">
        <v>46113.25</v>
      </c>
      <c r="D4633" s="9">
        <f>(C4633-B4633)*24</f>
        <v/>
      </c>
      <c r="E4633" s="10">
        <f>IF(AND(HOUR(B4633)&gt;=6,HOUR(B4633)&lt;18),"Day Shift","Night Shift")</f>
        <v/>
      </c>
      <c r="F4633" s="11">
        <f>INT(B4633)</f>
        <v/>
      </c>
      <c r="G4633" s="11">
        <f>INT(C4633)</f>
        <v/>
      </c>
    </row>
    <row r="4634">
      <c r="A4634" s="2" t="inlineStr">
        <is>
          <t>Sprint 1;EDD175;EDD1932;EDD2134;EDD2541;EDD812</t>
        </is>
      </c>
      <c r="B4634" s="3" t="n">
        <v>46113.25</v>
      </c>
      <c r="C4634" s="3" t="n">
        <v>46113.75</v>
      </c>
      <c r="D4634" s="4">
        <f>(C4634-B4634)*24</f>
        <v/>
      </c>
      <c r="E4634" s="5">
        <f>IF(AND(HOUR(B4634)&gt;=6,HOUR(B4634)&lt;18),"Day Shift","Night Shift")</f>
        <v/>
      </c>
      <c r="F4634" s="6">
        <f>INT(B4634)</f>
        <v/>
      </c>
      <c r="G4634" s="6">
        <f>INT(C4634)</f>
        <v/>
      </c>
    </row>
    <row r="4635">
      <c r="A4635" s="7" t="inlineStr">
        <is>
          <t>Sprint 1;EDD175;EDD1932;EDD2134;EDD2541;EDD812</t>
        </is>
      </c>
      <c r="B4635" s="8" t="n">
        <v>46113.75</v>
      </c>
      <c r="C4635" s="8" t="n">
        <v>46114.25</v>
      </c>
      <c r="D4635" s="9">
        <f>(C4635-B4635)*24</f>
        <v/>
      </c>
      <c r="E4635" s="10">
        <f>IF(AND(HOUR(B4635)&gt;=6,HOUR(B4635)&lt;18),"Day Shift","Night Shift")</f>
        <v/>
      </c>
      <c r="F4635" s="11">
        <f>INT(B4635)</f>
        <v/>
      </c>
      <c r="G4635" s="11">
        <f>INT(C4635)</f>
        <v/>
      </c>
    </row>
    <row r="4636">
      <c r="A4636" s="2" t="inlineStr">
        <is>
          <t>Sprint 1;EDD175;EDD1932;EDD2134;EDD2541;EDD812</t>
        </is>
      </c>
      <c r="B4636" s="3" t="n">
        <v>46114.25</v>
      </c>
      <c r="C4636" s="3" t="n">
        <v>46114.75</v>
      </c>
      <c r="D4636" s="4">
        <f>(C4636-B4636)*24</f>
        <v/>
      </c>
      <c r="E4636" s="5">
        <f>IF(AND(HOUR(B4636)&gt;=6,HOUR(B4636)&lt;18),"Day Shift","Night Shift")</f>
        <v/>
      </c>
      <c r="F4636" s="6">
        <f>INT(B4636)</f>
        <v/>
      </c>
      <c r="G4636" s="6">
        <f>INT(C4636)</f>
        <v/>
      </c>
    </row>
    <row r="4637">
      <c r="A4637" s="7" t="inlineStr">
        <is>
          <t>Sprint 1;EDD175;EDD1932;EDD2134;EDD2541;EDD812</t>
        </is>
      </c>
      <c r="B4637" s="8" t="n">
        <v>46114.75</v>
      </c>
      <c r="C4637" s="8" t="n">
        <v>46115.25</v>
      </c>
      <c r="D4637" s="9">
        <f>(C4637-B4637)*24</f>
        <v/>
      </c>
      <c r="E4637" s="10">
        <f>IF(AND(HOUR(B4637)&gt;=6,HOUR(B4637)&lt;18),"Day Shift","Night Shift")</f>
        <v/>
      </c>
      <c r="F4637" s="11">
        <f>INT(B4637)</f>
        <v/>
      </c>
      <c r="G4637" s="11">
        <f>INT(C4637)</f>
        <v/>
      </c>
    </row>
    <row r="4638">
      <c r="A4638" s="2" t="inlineStr">
        <is>
          <t>Sprint 1;EDD175;EDD1932;EDD2134;EDD2541;EDD812</t>
        </is>
      </c>
      <c r="B4638" s="3" t="n">
        <v>46115.25</v>
      </c>
      <c r="C4638" s="3" t="n">
        <v>46115.75</v>
      </c>
      <c r="D4638" s="4">
        <f>(C4638-B4638)*24</f>
        <v/>
      </c>
      <c r="E4638" s="5">
        <f>IF(AND(HOUR(B4638)&gt;=6,HOUR(B4638)&lt;18),"Day Shift","Night Shift")</f>
        <v/>
      </c>
      <c r="F4638" s="6">
        <f>INT(B4638)</f>
        <v/>
      </c>
      <c r="G4638" s="6">
        <f>INT(C4638)</f>
        <v/>
      </c>
    </row>
    <row r="4639">
      <c r="A4639" s="7" t="inlineStr">
        <is>
          <t>Sprint 1;EDD175;EDD1932;EDD2134;EDD2541;EDD812</t>
        </is>
      </c>
      <c r="B4639" s="8" t="n">
        <v>46115.75</v>
      </c>
      <c r="C4639" s="8" t="n">
        <v>46116.25</v>
      </c>
      <c r="D4639" s="9">
        <f>(C4639-B4639)*24</f>
        <v/>
      </c>
      <c r="E4639" s="10">
        <f>IF(AND(HOUR(B4639)&gt;=6,HOUR(B4639)&lt;18),"Day Shift","Night Shift")</f>
        <v/>
      </c>
      <c r="F4639" s="11">
        <f>INT(B4639)</f>
        <v/>
      </c>
      <c r="G4639" s="11">
        <f>INT(C4639)</f>
        <v/>
      </c>
    </row>
    <row r="4640">
      <c r="A4640" s="2" t="inlineStr">
        <is>
          <t>Sprint 1;EDD175;EDD1932;EDD2134;EDD2541;EDD812</t>
        </is>
      </c>
      <c r="B4640" s="3" t="n">
        <v>46116.25</v>
      </c>
      <c r="C4640" s="3" t="n">
        <v>46116.75</v>
      </c>
      <c r="D4640" s="4">
        <f>(C4640-B4640)*24</f>
        <v/>
      </c>
      <c r="E4640" s="5">
        <f>IF(AND(HOUR(B4640)&gt;=6,HOUR(B4640)&lt;18),"Day Shift","Night Shift")</f>
        <v/>
      </c>
      <c r="F4640" s="6">
        <f>INT(B4640)</f>
        <v/>
      </c>
      <c r="G4640" s="6">
        <f>INT(C4640)</f>
        <v/>
      </c>
    </row>
    <row r="4641">
      <c r="A4641" s="7" t="inlineStr">
        <is>
          <t>Sprint 1;EDD175;EDD1932;EDD2134;EDD2541;EDD812</t>
        </is>
      </c>
      <c r="B4641" s="8" t="n">
        <v>46116.75</v>
      </c>
      <c r="C4641" s="8" t="n">
        <v>46117.25</v>
      </c>
      <c r="D4641" s="9">
        <f>(C4641-B4641)*24</f>
        <v/>
      </c>
      <c r="E4641" s="10">
        <f>IF(AND(HOUR(B4641)&gt;=6,HOUR(B4641)&lt;18),"Day Shift","Night Shift")</f>
        <v/>
      </c>
      <c r="F4641" s="11">
        <f>INT(B4641)</f>
        <v/>
      </c>
      <c r="G4641" s="11">
        <f>INT(C4641)</f>
        <v/>
      </c>
    </row>
    <row r="4642">
      <c r="A4642" s="2" t="inlineStr">
        <is>
          <t>Sprint 1;EDD175;EDD1932;EDD2134;EDD2541;EDD812</t>
        </is>
      </c>
      <c r="B4642" s="3" t="n">
        <v>46117.25</v>
      </c>
      <c r="C4642" s="3" t="n">
        <v>46117.75</v>
      </c>
      <c r="D4642" s="4">
        <f>(C4642-B4642)*24</f>
        <v/>
      </c>
      <c r="E4642" s="5">
        <f>IF(AND(HOUR(B4642)&gt;=6,HOUR(B4642)&lt;18),"Day Shift","Night Shift")</f>
        <v/>
      </c>
      <c r="F4642" s="6">
        <f>INT(B4642)</f>
        <v/>
      </c>
      <c r="G4642" s="6">
        <f>INT(C4642)</f>
        <v/>
      </c>
    </row>
    <row r="4643">
      <c r="A4643" s="7" t="inlineStr">
        <is>
          <t>Sprint 1;EDD175;EDD1932;EDD2134;EDD2541;EDD812</t>
        </is>
      </c>
      <c r="B4643" s="8" t="n">
        <v>46117.75</v>
      </c>
      <c r="C4643" s="8" t="n">
        <v>46118.25</v>
      </c>
      <c r="D4643" s="9">
        <f>(C4643-B4643)*24</f>
        <v/>
      </c>
      <c r="E4643" s="10">
        <f>IF(AND(HOUR(B4643)&gt;=6,HOUR(B4643)&lt;18),"Day Shift","Night Shift")</f>
        <v/>
      </c>
      <c r="F4643" s="11">
        <f>INT(B4643)</f>
        <v/>
      </c>
      <c r="G4643" s="11">
        <f>INT(C4643)</f>
        <v/>
      </c>
    </row>
    <row r="4644">
      <c r="A4644" s="2" t="inlineStr">
        <is>
          <t>Sprint 1;EDD175;EDD1932;EDD2134;EDD2541;EDD812</t>
        </is>
      </c>
      <c r="B4644" s="3" t="n">
        <v>46118.25</v>
      </c>
      <c r="C4644" s="3" t="n">
        <v>46118.75</v>
      </c>
      <c r="D4644" s="4">
        <f>(C4644-B4644)*24</f>
        <v/>
      </c>
      <c r="E4644" s="5">
        <f>IF(AND(HOUR(B4644)&gt;=6,HOUR(B4644)&lt;18),"Day Shift","Night Shift")</f>
        <v/>
      </c>
      <c r="F4644" s="6">
        <f>INT(B4644)</f>
        <v/>
      </c>
      <c r="G4644" s="6">
        <f>INT(C4644)</f>
        <v/>
      </c>
    </row>
    <row r="4645">
      <c r="A4645" s="7" t="inlineStr">
        <is>
          <t>Sprint 1;EDD175;EDD1932;EDD2134;EDD2541;EDD812</t>
        </is>
      </c>
      <c r="B4645" s="8" t="n">
        <v>46118.75</v>
      </c>
      <c r="C4645" s="8" t="n">
        <v>46119.25</v>
      </c>
      <c r="D4645" s="9">
        <f>(C4645-B4645)*24</f>
        <v/>
      </c>
      <c r="E4645" s="10">
        <f>IF(AND(HOUR(B4645)&gt;=6,HOUR(B4645)&lt;18),"Day Shift","Night Shift")</f>
        <v/>
      </c>
      <c r="F4645" s="11">
        <f>INT(B4645)</f>
        <v/>
      </c>
      <c r="G4645" s="11">
        <f>INT(C4645)</f>
        <v/>
      </c>
    </row>
    <row r="4646">
      <c r="A4646" s="2" t="inlineStr">
        <is>
          <t>Sprint 1;EDD175;EDD1932;EDD2134;EDD2541;EDD812</t>
        </is>
      </c>
      <c r="B4646" s="3" t="n">
        <v>46119.25</v>
      </c>
      <c r="C4646" s="3" t="n">
        <v>46119.75</v>
      </c>
      <c r="D4646" s="4">
        <f>(C4646-B4646)*24</f>
        <v/>
      </c>
      <c r="E4646" s="5">
        <f>IF(AND(HOUR(B4646)&gt;=6,HOUR(B4646)&lt;18),"Day Shift","Night Shift")</f>
        <v/>
      </c>
      <c r="F4646" s="6">
        <f>INT(B4646)</f>
        <v/>
      </c>
      <c r="G4646" s="6">
        <f>INT(C4646)</f>
        <v/>
      </c>
    </row>
    <row r="4647">
      <c r="A4647" s="7" t="inlineStr">
        <is>
          <t>Sprint 1;EDD175;EDD1932;EDD2134;EDD2541;EDD812</t>
        </is>
      </c>
      <c r="B4647" s="8" t="n">
        <v>46119.75</v>
      </c>
      <c r="C4647" s="8" t="n">
        <v>46120.25</v>
      </c>
      <c r="D4647" s="9">
        <f>(C4647-B4647)*24</f>
        <v/>
      </c>
      <c r="E4647" s="10">
        <f>IF(AND(HOUR(B4647)&gt;=6,HOUR(B4647)&lt;18),"Day Shift","Night Shift")</f>
        <v/>
      </c>
      <c r="F4647" s="11">
        <f>INT(B4647)</f>
        <v/>
      </c>
      <c r="G4647" s="11">
        <f>INT(C4647)</f>
        <v/>
      </c>
    </row>
    <row r="4648">
      <c r="A4648" s="2" t="inlineStr">
        <is>
          <t>Sprint 1;EDD175;EDD1932;EDD2134;EDD2541;EDD812</t>
        </is>
      </c>
      <c r="B4648" s="3" t="n">
        <v>46120.25</v>
      </c>
      <c r="C4648" s="3" t="n">
        <v>46120.75</v>
      </c>
      <c r="D4648" s="4">
        <f>(C4648-B4648)*24</f>
        <v/>
      </c>
      <c r="E4648" s="5">
        <f>IF(AND(HOUR(B4648)&gt;=6,HOUR(B4648)&lt;18),"Day Shift","Night Shift")</f>
        <v/>
      </c>
      <c r="F4648" s="6">
        <f>INT(B4648)</f>
        <v/>
      </c>
      <c r="G4648" s="6">
        <f>INT(C4648)</f>
        <v/>
      </c>
    </row>
    <row r="4649">
      <c r="A4649" s="7" t="inlineStr">
        <is>
          <t>Sprint 1;EDD175;EDD1932;EDD2134;EDD2541;EDD812</t>
        </is>
      </c>
      <c r="B4649" s="8" t="n">
        <v>46120.75</v>
      </c>
      <c r="C4649" s="8" t="n">
        <v>46121.25</v>
      </c>
      <c r="D4649" s="9">
        <f>(C4649-B4649)*24</f>
        <v/>
      </c>
      <c r="E4649" s="10">
        <f>IF(AND(HOUR(B4649)&gt;=6,HOUR(B4649)&lt;18),"Day Shift","Night Shift")</f>
        <v/>
      </c>
      <c r="F4649" s="11">
        <f>INT(B4649)</f>
        <v/>
      </c>
      <c r="G4649" s="11">
        <f>INT(C4649)</f>
        <v/>
      </c>
    </row>
    <row r="4650">
      <c r="A4650" s="2" t="inlineStr">
        <is>
          <t>Sprint 1;EDD175;EDD1932;EDD2134;EDD2541;EDD812</t>
        </is>
      </c>
      <c r="B4650" s="3" t="n">
        <v>46121.25</v>
      </c>
      <c r="C4650" s="3" t="n">
        <v>46121.75</v>
      </c>
      <c r="D4650" s="4">
        <f>(C4650-B4650)*24</f>
        <v/>
      </c>
      <c r="E4650" s="5">
        <f>IF(AND(HOUR(B4650)&gt;=6,HOUR(B4650)&lt;18),"Day Shift","Night Shift")</f>
        <v/>
      </c>
      <c r="F4650" s="6">
        <f>INT(B4650)</f>
        <v/>
      </c>
      <c r="G4650" s="6">
        <f>INT(C4650)</f>
        <v/>
      </c>
    </row>
    <row r="4651">
      <c r="A4651" s="7" t="inlineStr">
        <is>
          <t>Sprint 1;EDD175;EDD1932;EDD2134;EDD2541;EDD812</t>
        </is>
      </c>
      <c r="B4651" s="8" t="n">
        <v>46121.75</v>
      </c>
      <c r="C4651" s="8" t="n">
        <v>46122.25</v>
      </c>
      <c r="D4651" s="9">
        <f>(C4651-B4651)*24</f>
        <v/>
      </c>
      <c r="E4651" s="10">
        <f>IF(AND(HOUR(B4651)&gt;=6,HOUR(B4651)&lt;18),"Day Shift","Night Shift")</f>
        <v/>
      </c>
      <c r="F4651" s="11">
        <f>INT(B4651)</f>
        <v/>
      </c>
      <c r="G4651" s="11">
        <f>INT(C4651)</f>
        <v/>
      </c>
    </row>
    <row r="4652">
      <c r="A4652" s="2" t="inlineStr">
        <is>
          <t>Sprint 1;EDD175;EDD1932;EDD2134;EDD2541;EDD812</t>
        </is>
      </c>
      <c r="B4652" s="3" t="n">
        <v>46122.25</v>
      </c>
      <c r="C4652" s="3" t="n">
        <v>46122.75</v>
      </c>
      <c r="D4652" s="4">
        <f>(C4652-B4652)*24</f>
        <v/>
      </c>
      <c r="E4652" s="5">
        <f>IF(AND(HOUR(B4652)&gt;=6,HOUR(B4652)&lt;18),"Day Shift","Night Shift")</f>
        <v/>
      </c>
      <c r="F4652" s="6">
        <f>INT(B4652)</f>
        <v/>
      </c>
      <c r="G4652" s="6">
        <f>INT(C4652)</f>
        <v/>
      </c>
    </row>
    <row r="4653">
      <c r="A4653" s="7" t="inlineStr">
        <is>
          <t>Sprint 1;EDD175;EDD1932;EDD2134;EDD2541;EDD812</t>
        </is>
      </c>
      <c r="B4653" s="8" t="n">
        <v>46122.75</v>
      </c>
      <c r="C4653" s="8" t="n">
        <v>46123.25</v>
      </c>
      <c r="D4653" s="9">
        <f>(C4653-B4653)*24</f>
        <v/>
      </c>
      <c r="E4653" s="10">
        <f>IF(AND(HOUR(B4653)&gt;=6,HOUR(B4653)&lt;18),"Day Shift","Night Shift")</f>
        <v/>
      </c>
      <c r="F4653" s="11">
        <f>INT(B4653)</f>
        <v/>
      </c>
      <c r="G4653" s="11">
        <f>INT(C4653)</f>
        <v/>
      </c>
    </row>
    <row r="4654">
      <c r="A4654" s="2" t="inlineStr">
        <is>
          <t>Sprint 1;EDD175;EDD1932;EDD2134;EDD2541;EDD812</t>
        </is>
      </c>
      <c r="B4654" s="3" t="n">
        <v>46123.25</v>
      </c>
      <c r="C4654" s="3" t="n">
        <v>46123.75</v>
      </c>
      <c r="D4654" s="4">
        <f>(C4654-B4654)*24</f>
        <v/>
      </c>
      <c r="E4654" s="5">
        <f>IF(AND(HOUR(B4654)&gt;=6,HOUR(B4654)&lt;18),"Day Shift","Night Shift")</f>
        <v/>
      </c>
      <c r="F4654" s="6">
        <f>INT(B4654)</f>
        <v/>
      </c>
      <c r="G4654" s="6">
        <f>INT(C4654)</f>
        <v/>
      </c>
    </row>
    <row r="4655">
      <c r="A4655" s="7" t="inlineStr">
        <is>
          <t>Sprint 1;EDD175;EDD1932;EDD2134;EDD2541;EDD812</t>
        </is>
      </c>
      <c r="B4655" s="8" t="n">
        <v>46123.75</v>
      </c>
      <c r="C4655" s="8" t="n">
        <v>46124.25</v>
      </c>
      <c r="D4655" s="9">
        <f>(C4655-B4655)*24</f>
        <v/>
      </c>
      <c r="E4655" s="10">
        <f>IF(AND(HOUR(B4655)&gt;=6,HOUR(B4655)&lt;18),"Day Shift","Night Shift")</f>
        <v/>
      </c>
      <c r="F4655" s="11">
        <f>INT(B4655)</f>
        <v/>
      </c>
      <c r="G4655" s="11">
        <f>INT(C4655)</f>
        <v/>
      </c>
    </row>
    <row r="4656">
      <c r="A4656" s="2" t="inlineStr">
        <is>
          <t>Sprint 1;EDD175;EDD1932;EDD2134;EDD2541;EDD812</t>
        </is>
      </c>
      <c r="B4656" s="3" t="n">
        <v>46124.25</v>
      </c>
      <c r="C4656" s="3" t="n">
        <v>46124.75</v>
      </c>
      <c r="D4656" s="4">
        <f>(C4656-B4656)*24</f>
        <v/>
      </c>
      <c r="E4656" s="5">
        <f>IF(AND(HOUR(B4656)&gt;=6,HOUR(B4656)&lt;18),"Day Shift","Night Shift")</f>
        <v/>
      </c>
      <c r="F4656" s="6">
        <f>INT(B4656)</f>
        <v/>
      </c>
      <c r="G4656" s="6">
        <f>INT(C4656)</f>
        <v/>
      </c>
    </row>
    <row r="4657">
      <c r="A4657" s="7" t="inlineStr">
        <is>
          <t>Sprint 1;EDD175;EDD1932;EDD2134;EDD2541;EDD812</t>
        </is>
      </c>
      <c r="B4657" s="8" t="n">
        <v>46124.75</v>
      </c>
      <c r="C4657" s="8" t="n">
        <v>46125.25</v>
      </c>
      <c r="D4657" s="9">
        <f>(C4657-B4657)*24</f>
        <v/>
      </c>
      <c r="E4657" s="10">
        <f>IF(AND(HOUR(B4657)&gt;=6,HOUR(B4657)&lt;18),"Day Shift","Night Shift")</f>
        <v/>
      </c>
      <c r="F4657" s="11">
        <f>INT(B4657)</f>
        <v/>
      </c>
      <c r="G4657" s="11">
        <f>INT(C4657)</f>
        <v/>
      </c>
    </row>
    <row r="4658">
      <c r="A4658" s="2" t="inlineStr">
        <is>
          <t>Sprint 1;EDD175;EDD1932;EDD2134;EDD2541;EDD812</t>
        </is>
      </c>
      <c r="B4658" s="3" t="n">
        <v>46125.25</v>
      </c>
      <c r="C4658" s="3" t="n">
        <v>46125.75</v>
      </c>
      <c r="D4658" s="4">
        <f>(C4658-B4658)*24</f>
        <v/>
      </c>
      <c r="E4658" s="5">
        <f>IF(AND(HOUR(B4658)&gt;=6,HOUR(B4658)&lt;18),"Day Shift","Night Shift")</f>
        <v/>
      </c>
      <c r="F4658" s="6">
        <f>INT(B4658)</f>
        <v/>
      </c>
      <c r="G4658" s="6">
        <f>INT(C4658)</f>
        <v/>
      </c>
    </row>
    <row r="4659">
      <c r="A4659" s="7" t="inlineStr">
        <is>
          <t>Sprint 1;EDD175;EDD1932;EDD2134;EDD2541;EDD812</t>
        </is>
      </c>
      <c r="B4659" s="8" t="n">
        <v>46125.75</v>
      </c>
      <c r="C4659" s="8" t="n">
        <v>46126.25</v>
      </c>
      <c r="D4659" s="9">
        <f>(C4659-B4659)*24</f>
        <v/>
      </c>
      <c r="E4659" s="10">
        <f>IF(AND(HOUR(B4659)&gt;=6,HOUR(B4659)&lt;18),"Day Shift","Night Shift")</f>
        <v/>
      </c>
      <c r="F4659" s="11">
        <f>INT(B4659)</f>
        <v/>
      </c>
      <c r="G4659" s="11">
        <f>INT(C4659)</f>
        <v/>
      </c>
    </row>
    <row r="4660">
      <c r="A4660" s="2" t="inlineStr">
        <is>
          <t>Sprint 1;EDD175;EDD1932;EDD2134;EDD2541;EDD812</t>
        </is>
      </c>
      <c r="B4660" s="3" t="n">
        <v>46126.25</v>
      </c>
      <c r="C4660" s="3" t="n">
        <v>46126.75</v>
      </c>
      <c r="D4660" s="4">
        <f>(C4660-B4660)*24</f>
        <v/>
      </c>
      <c r="E4660" s="5">
        <f>IF(AND(HOUR(B4660)&gt;=6,HOUR(B4660)&lt;18),"Day Shift","Night Shift")</f>
        <v/>
      </c>
      <c r="F4660" s="6">
        <f>INT(B4660)</f>
        <v/>
      </c>
      <c r="G4660" s="6">
        <f>INT(C4660)</f>
        <v/>
      </c>
    </row>
    <row r="4661">
      <c r="A4661" s="7" t="inlineStr">
        <is>
          <t>Sprint 1;EDD175;EDD1932;EDD2134;EDD2541;EDD812</t>
        </is>
      </c>
      <c r="B4661" s="8" t="n">
        <v>46126.75</v>
      </c>
      <c r="C4661" s="8" t="n">
        <v>46127.25</v>
      </c>
      <c r="D4661" s="9">
        <f>(C4661-B4661)*24</f>
        <v/>
      </c>
      <c r="E4661" s="10">
        <f>IF(AND(HOUR(B4661)&gt;=6,HOUR(B4661)&lt;18),"Day Shift","Night Shift")</f>
        <v/>
      </c>
      <c r="F4661" s="11">
        <f>INT(B4661)</f>
        <v/>
      </c>
      <c r="G4661" s="11">
        <f>INT(C4661)</f>
        <v/>
      </c>
    </row>
    <row r="4662">
      <c r="A4662" s="2" t="inlineStr">
        <is>
          <t>Sprint 1;EDD175;EDD1932;EDD2134;EDD2541;EDD812</t>
        </is>
      </c>
      <c r="B4662" s="3" t="n">
        <v>46127.25</v>
      </c>
      <c r="C4662" s="3" t="n">
        <v>46127.75</v>
      </c>
      <c r="D4662" s="4">
        <f>(C4662-B4662)*24</f>
        <v/>
      </c>
      <c r="E4662" s="5">
        <f>IF(AND(HOUR(B4662)&gt;=6,HOUR(B4662)&lt;18),"Day Shift","Night Shift")</f>
        <v/>
      </c>
      <c r="F4662" s="6">
        <f>INT(B4662)</f>
        <v/>
      </c>
      <c r="G4662" s="6">
        <f>INT(C4662)</f>
        <v/>
      </c>
    </row>
    <row r="4663">
      <c r="A4663" s="7" t="inlineStr">
        <is>
          <t>Sprint 1;EDD175;EDD1932;EDD2134;EDD2541;EDD812</t>
        </is>
      </c>
      <c r="B4663" s="8" t="n">
        <v>46127.75</v>
      </c>
      <c r="C4663" s="8" t="n">
        <v>46128.25</v>
      </c>
      <c r="D4663" s="9">
        <f>(C4663-B4663)*24</f>
        <v/>
      </c>
      <c r="E4663" s="10">
        <f>IF(AND(HOUR(B4663)&gt;=6,HOUR(B4663)&lt;18),"Day Shift","Night Shift")</f>
        <v/>
      </c>
      <c r="F4663" s="11">
        <f>INT(B4663)</f>
        <v/>
      </c>
      <c r="G4663" s="11">
        <f>INT(C4663)</f>
        <v/>
      </c>
    </row>
    <row r="4664">
      <c r="A4664" s="2" t="inlineStr">
        <is>
          <t>Sprint 1;EDD175;EDD1932;EDD2134;EDD2541;EDD812</t>
        </is>
      </c>
      <c r="B4664" s="3" t="n">
        <v>46128.25</v>
      </c>
      <c r="C4664" s="3" t="n">
        <v>46128.75</v>
      </c>
      <c r="D4664" s="4">
        <f>(C4664-B4664)*24</f>
        <v/>
      </c>
      <c r="E4664" s="5">
        <f>IF(AND(HOUR(B4664)&gt;=6,HOUR(B4664)&lt;18),"Day Shift","Night Shift")</f>
        <v/>
      </c>
      <c r="F4664" s="6">
        <f>INT(B4664)</f>
        <v/>
      </c>
      <c r="G4664" s="6">
        <f>INT(C4664)</f>
        <v/>
      </c>
    </row>
    <row r="4665">
      <c r="A4665" s="7" t="inlineStr">
        <is>
          <t>Sprint 1;EDD175;EDD1932;EDD2134;EDD2541;EDD812</t>
        </is>
      </c>
      <c r="B4665" s="8" t="n">
        <v>46128.75</v>
      </c>
      <c r="C4665" s="8" t="n">
        <v>46129.25</v>
      </c>
      <c r="D4665" s="9">
        <f>(C4665-B4665)*24</f>
        <v/>
      </c>
      <c r="E4665" s="10">
        <f>IF(AND(HOUR(B4665)&gt;=6,HOUR(B4665)&lt;18),"Day Shift","Night Shift")</f>
        <v/>
      </c>
      <c r="F4665" s="11">
        <f>INT(B4665)</f>
        <v/>
      </c>
      <c r="G4665" s="11">
        <f>INT(C4665)</f>
        <v/>
      </c>
    </row>
    <row r="4666">
      <c r="A4666" s="2" t="inlineStr">
        <is>
          <t>Sprint 1;EDD175;EDD1932;EDD2134;EDD2541;EDD812</t>
        </is>
      </c>
      <c r="B4666" s="3" t="n">
        <v>46129.25</v>
      </c>
      <c r="C4666" s="3" t="n">
        <v>46129.75</v>
      </c>
      <c r="D4666" s="4">
        <f>(C4666-B4666)*24</f>
        <v/>
      </c>
      <c r="E4666" s="5">
        <f>IF(AND(HOUR(B4666)&gt;=6,HOUR(B4666)&lt;18),"Day Shift","Night Shift")</f>
        <v/>
      </c>
      <c r="F4666" s="6">
        <f>INT(B4666)</f>
        <v/>
      </c>
      <c r="G4666" s="6">
        <f>INT(C4666)</f>
        <v/>
      </c>
    </row>
    <row r="4667">
      <c r="A4667" s="7" t="inlineStr">
        <is>
          <t>Sprint 1;EDD175;EDD1932;EDD2134;EDD2541;EDD812</t>
        </is>
      </c>
      <c r="B4667" s="8" t="n">
        <v>46129.75</v>
      </c>
      <c r="C4667" s="8" t="n">
        <v>46130.25</v>
      </c>
      <c r="D4667" s="9">
        <f>(C4667-B4667)*24</f>
        <v/>
      </c>
      <c r="E4667" s="10">
        <f>IF(AND(HOUR(B4667)&gt;=6,HOUR(B4667)&lt;18),"Day Shift","Night Shift")</f>
        <v/>
      </c>
      <c r="F4667" s="11">
        <f>INT(B4667)</f>
        <v/>
      </c>
      <c r="G4667" s="11">
        <f>INT(C4667)</f>
        <v/>
      </c>
    </row>
    <row r="4668">
      <c r="A4668" s="2" t="inlineStr">
        <is>
          <t>Sprint 1;EDD175;EDD1932;EDD2134;EDD2541;EDD812</t>
        </is>
      </c>
      <c r="B4668" s="3" t="n">
        <v>46130.25</v>
      </c>
      <c r="C4668" s="3" t="n">
        <v>46130.75</v>
      </c>
      <c r="D4668" s="4">
        <f>(C4668-B4668)*24</f>
        <v/>
      </c>
      <c r="E4668" s="5">
        <f>IF(AND(HOUR(B4668)&gt;=6,HOUR(B4668)&lt;18),"Day Shift","Night Shift")</f>
        <v/>
      </c>
      <c r="F4668" s="6">
        <f>INT(B4668)</f>
        <v/>
      </c>
      <c r="G4668" s="6">
        <f>INT(C4668)</f>
        <v/>
      </c>
    </row>
    <row r="4669">
      <c r="A4669" s="7" t="inlineStr">
        <is>
          <t>Sprint 1;EDD175;EDD1932;EDD2134;EDD2541;EDD812</t>
        </is>
      </c>
      <c r="B4669" s="8" t="n">
        <v>46130.75</v>
      </c>
      <c r="C4669" s="8" t="n">
        <v>46131.25</v>
      </c>
      <c r="D4669" s="9">
        <f>(C4669-B4669)*24</f>
        <v/>
      </c>
      <c r="E4669" s="10">
        <f>IF(AND(HOUR(B4669)&gt;=6,HOUR(B4669)&lt;18),"Day Shift","Night Shift")</f>
        <v/>
      </c>
      <c r="F4669" s="11">
        <f>INT(B4669)</f>
        <v/>
      </c>
      <c r="G4669" s="11">
        <f>INT(C4669)</f>
        <v/>
      </c>
    </row>
    <row r="4670">
      <c r="A4670" s="2" t="inlineStr">
        <is>
          <t>Sprint 1;EDD175;EDD1932;EDD2134;EDD2541;EDD812</t>
        </is>
      </c>
      <c r="B4670" s="3" t="n">
        <v>46131.25</v>
      </c>
      <c r="C4670" s="3" t="n">
        <v>46131.75</v>
      </c>
      <c r="D4670" s="4">
        <f>(C4670-B4670)*24</f>
        <v/>
      </c>
      <c r="E4670" s="5">
        <f>IF(AND(HOUR(B4670)&gt;=6,HOUR(B4670)&lt;18),"Day Shift","Night Shift")</f>
        <v/>
      </c>
      <c r="F4670" s="6">
        <f>INT(B4670)</f>
        <v/>
      </c>
      <c r="G4670" s="6">
        <f>INT(C4670)</f>
        <v/>
      </c>
    </row>
    <row r="4671">
      <c r="A4671" s="7" t="inlineStr">
        <is>
          <t>Sprint 1;EDD175;EDD1932;EDD2134;EDD2541;EDD812</t>
        </is>
      </c>
      <c r="B4671" s="8" t="n">
        <v>46131.75</v>
      </c>
      <c r="C4671" s="8" t="n">
        <v>46132.25</v>
      </c>
      <c r="D4671" s="9">
        <f>(C4671-B4671)*24</f>
        <v/>
      </c>
      <c r="E4671" s="10">
        <f>IF(AND(HOUR(B4671)&gt;=6,HOUR(B4671)&lt;18),"Day Shift","Night Shift")</f>
        <v/>
      </c>
      <c r="F4671" s="11">
        <f>INT(B4671)</f>
        <v/>
      </c>
      <c r="G4671" s="11">
        <f>INT(C4671)</f>
        <v/>
      </c>
    </row>
    <row r="4672">
      <c r="A4672" s="2" t="inlineStr">
        <is>
          <t>Sprint 1;EDD175;EDD1932;EDD2134;EDD2541;EDD812</t>
        </is>
      </c>
      <c r="B4672" s="3" t="n">
        <v>46132.25</v>
      </c>
      <c r="C4672" s="3" t="n">
        <v>46132.75</v>
      </c>
      <c r="D4672" s="4">
        <f>(C4672-B4672)*24</f>
        <v/>
      </c>
      <c r="E4672" s="5">
        <f>IF(AND(HOUR(B4672)&gt;=6,HOUR(B4672)&lt;18),"Day Shift","Night Shift")</f>
        <v/>
      </c>
      <c r="F4672" s="6">
        <f>INT(B4672)</f>
        <v/>
      </c>
      <c r="G4672" s="6">
        <f>INT(C4672)</f>
        <v/>
      </c>
    </row>
    <row r="4673">
      <c r="A4673" s="7" t="inlineStr">
        <is>
          <t>Sprint 1;EDD175;EDD1932;EDD2134;EDD2541;EDD812</t>
        </is>
      </c>
      <c r="B4673" s="8" t="n">
        <v>46132.75</v>
      </c>
      <c r="C4673" s="8" t="n">
        <v>46133.25</v>
      </c>
      <c r="D4673" s="9">
        <f>(C4673-B4673)*24</f>
        <v/>
      </c>
      <c r="E4673" s="10">
        <f>IF(AND(HOUR(B4673)&gt;=6,HOUR(B4673)&lt;18),"Day Shift","Night Shift")</f>
        <v/>
      </c>
      <c r="F4673" s="11">
        <f>INT(B4673)</f>
        <v/>
      </c>
      <c r="G4673" s="11">
        <f>INT(C4673)</f>
        <v/>
      </c>
    </row>
    <row r="4674">
      <c r="A4674" s="2" t="inlineStr">
        <is>
          <t>Sprint 1;EDD175;EDD1932;EDD2134;EDD2541;EDD812</t>
        </is>
      </c>
      <c r="B4674" s="3" t="n">
        <v>46133.25</v>
      </c>
      <c r="C4674" s="3" t="n">
        <v>46133.75</v>
      </c>
      <c r="D4674" s="4">
        <f>(C4674-B4674)*24</f>
        <v/>
      </c>
      <c r="E4674" s="5">
        <f>IF(AND(HOUR(B4674)&gt;=6,HOUR(B4674)&lt;18),"Day Shift","Night Shift")</f>
        <v/>
      </c>
      <c r="F4674" s="6">
        <f>INT(B4674)</f>
        <v/>
      </c>
      <c r="G4674" s="6">
        <f>INT(C4674)</f>
        <v/>
      </c>
    </row>
    <row r="4675">
      <c r="A4675" s="7" t="inlineStr">
        <is>
          <t>Sprint 1;EDD175;EDD1932;EDD2134;EDD2541;EDD812</t>
        </is>
      </c>
      <c r="B4675" s="8" t="n">
        <v>46133.75</v>
      </c>
      <c r="C4675" s="8" t="n">
        <v>46134.25</v>
      </c>
      <c r="D4675" s="9">
        <f>(C4675-B4675)*24</f>
        <v/>
      </c>
      <c r="E4675" s="10">
        <f>IF(AND(HOUR(B4675)&gt;=6,HOUR(B4675)&lt;18),"Day Shift","Night Shift")</f>
        <v/>
      </c>
      <c r="F4675" s="11">
        <f>INT(B4675)</f>
        <v/>
      </c>
      <c r="G4675" s="11">
        <f>INT(C4675)</f>
        <v/>
      </c>
    </row>
    <row r="4676">
      <c r="A4676" s="2" t="inlineStr">
        <is>
          <t>Sprint 1;EDD175;EDD1932;EDD2134;EDD2541;EDD812</t>
        </is>
      </c>
      <c r="B4676" s="3" t="n">
        <v>46134.25</v>
      </c>
      <c r="C4676" s="3" t="n">
        <v>46134.75</v>
      </c>
      <c r="D4676" s="4">
        <f>(C4676-B4676)*24</f>
        <v/>
      </c>
      <c r="E4676" s="5">
        <f>IF(AND(HOUR(B4676)&gt;=6,HOUR(B4676)&lt;18),"Day Shift","Night Shift")</f>
        <v/>
      </c>
      <c r="F4676" s="6">
        <f>INT(B4676)</f>
        <v/>
      </c>
      <c r="G4676" s="6">
        <f>INT(C4676)</f>
        <v/>
      </c>
    </row>
    <row r="4677">
      <c r="A4677" s="7" t="inlineStr">
        <is>
          <t>Sprint 1;EDD175;EDD1932;EDD2134;EDD2541;EDD812</t>
        </is>
      </c>
      <c r="B4677" s="8" t="n">
        <v>46134.75</v>
      </c>
      <c r="C4677" s="8" t="n">
        <v>46135.25</v>
      </c>
      <c r="D4677" s="9">
        <f>(C4677-B4677)*24</f>
        <v/>
      </c>
      <c r="E4677" s="10">
        <f>IF(AND(HOUR(B4677)&gt;=6,HOUR(B4677)&lt;18),"Day Shift","Night Shift")</f>
        <v/>
      </c>
      <c r="F4677" s="11">
        <f>INT(B4677)</f>
        <v/>
      </c>
      <c r="G4677" s="11">
        <f>INT(C4677)</f>
        <v/>
      </c>
    </row>
    <row r="4678">
      <c r="A4678" s="2" t="inlineStr">
        <is>
          <t>Sprint 1;EDD175;EDD1932;EDD2134;EDD2541;EDD812</t>
        </is>
      </c>
      <c r="B4678" s="3" t="n">
        <v>46135.25</v>
      </c>
      <c r="C4678" s="3" t="n">
        <v>46135.75</v>
      </c>
      <c r="D4678" s="4">
        <f>(C4678-B4678)*24</f>
        <v/>
      </c>
      <c r="E4678" s="5">
        <f>IF(AND(HOUR(B4678)&gt;=6,HOUR(B4678)&lt;18),"Day Shift","Night Shift")</f>
        <v/>
      </c>
      <c r="F4678" s="6">
        <f>INT(B4678)</f>
        <v/>
      </c>
      <c r="G4678" s="6">
        <f>INT(C4678)</f>
        <v/>
      </c>
    </row>
    <row r="4679">
      <c r="A4679" s="7" t="inlineStr">
        <is>
          <t>Sprint 1;EDD175;EDD1932;EDD2134;EDD2541;EDD812</t>
        </is>
      </c>
      <c r="B4679" s="8" t="n">
        <v>46135.75</v>
      </c>
      <c r="C4679" s="8" t="n">
        <v>46136.25</v>
      </c>
      <c r="D4679" s="9">
        <f>(C4679-B4679)*24</f>
        <v/>
      </c>
      <c r="E4679" s="10">
        <f>IF(AND(HOUR(B4679)&gt;=6,HOUR(B4679)&lt;18),"Day Shift","Night Shift")</f>
        <v/>
      </c>
      <c r="F4679" s="11">
        <f>INT(B4679)</f>
        <v/>
      </c>
      <c r="G4679" s="11">
        <f>INT(C4679)</f>
        <v/>
      </c>
    </row>
    <row r="4680">
      <c r="A4680" s="2" t="inlineStr">
        <is>
          <t>Sprint 1;EDD175;EDD1932;EDD2134;EDD2541;EDD812</t>
        </is>
      </c>
      <c r="B4680" s="3" t="n">
        <v>46136.25</v>
      </c>
      <c r="C4680" s="3" t="n">
        <v>46136.75</v>
      </c>
      <c r="D4680" s="4">
        <f>(C4680-B4680)*24</f>
        <v/>
      </c>
      <c r="E4680" s="5">
        <f>IF(AND(HOUR(B4680)&gt;=6,HOUR(B4680)&lt;18),"Day Shift","Night Shift")</f>
        <v/>
      </c>
      <c r="F4680" s="6">
        <f>INT(B4680)</f>
        <v/>
      </c>
      <c r="G4680" s="6">
        <f>INT(C4680)</f>
        <v/>
      </c>
    </row>
    <row r="4681">
      <c r="A4681" s="7" t="inlineStr">
        <is>
          <t>Sprint 1;EDD175;EDD1932;EDD2134;EDD2541;EDD812</t>
        </is>
      </c>
      <c r="B4681" s="8" t="n">
        <v>46136.75</v>
      </c>
      <c r="C4681" s="8" t="n">
        <v>46137.25</v>
      </c>
      <c r="D4681" s="9">
        <f>(C4681-B4681)*24</f>
        <v/>
      </c>
      <c r="E4681" s="10">
        <f>IF(AND(HOUR(B4681)&gt;=6,HOUR(B4681)&lt;18),"Day Shift","Night Shift")</f>
        <v/>
      </c>
      <c r="F4681" s="11">
        <f>INT(B4681)</f>
        <v/>
      </c>
      <c r="G4681" s="11">
        <f>INT(C4681)</f>
        <v/>
      </c>
    </row>
    <row r="4682">
      <c r="A4682" s="2" t="inlineStr">
        <is>
          <t>Sprint 1;EDD175;EDD1932;EDD2134;EDD2541;EDD812</t>
        </is>
      </c>
      <c r="B4682" s="3" t="n">
        <v>46137.25</v>
      </c>
      <c r="C4682" s="3" t="n">
        <v>46137.75</v>
      </c>
      <c r="D4682" s="4">
        <f>(C4682-B4682)*24</f>
        <v/>
      </c>
      <c r="E4682" s="5">
        <f>IF(AND(HOUR(B4682)&gt;=6,HOUR(B4682)&lt;18),"Day Shift","Night Shift")</f>
        <v/>
      </c>
      <c r="F4682" s="6">
        <f>INT(B4682)</f>
        <v/>
      </c>
      <c r="G4682" s="6">
        <f>INT(C4682)</f>
        <v/>
      </c>
    </row>
    <row r="4683">
      <c r="A4683" s="7" t="inlineStr">
        <is>
          <t>Sprint 1;EDD175;EDD1932;EDD2134;EDD2541;EDD812</t>
        </is>
      </c>
      <c r="B4683" s="8" t="n">
        <v>46137.75</v>
      </c>
      <c r="C4683" s="8" t="n">
        <v>46138.25</v>
      </c>
      <c r="D4683" s="9">
        <f>(C4683-B4683)*24</f>
        <v/>
      </c>
      <c r="E4683" s="10">
        <f>IF(AND(HOUR(B4683)&gt;=6,HOUR(B4683)&lt;18),"Day Shift","Night Shift")</f>
        <v/>
      </c>
      <c r="F4683" s="11">
        <f>INT(B4683)</f>
        <v/>
      </c>
      <c r="G4683" s="11">
        <f>INT(C4683)</f>
        <v/>
      </c>
    </row>
    <row r="4684">
      <c r="A4684" s="2" t="inlineStr">
        <is>
          <t>Sprint 1;EDD175;EDD1932;EDD2134;EDD2541;EDD812</t>
        </is>
      </c>
      <c r="B4684" s="3" t="n">
        <v>46138.25</v>
      </c>
      <c r="C4684" s="3" t="n">
        <v>46138.75</v>
      </c>
      <c r="D4684" s="4">
        <f>(C4684-B4684)*24</f>
        <v/>
      </c>
      <c r="E4684" s="5">
        <f>IF(AND(HOUR(B4684)&gt;=6,HOUR(B4684)&lt;18),"Day Shift","Night Shift")</f>
        <v/>
      </c>
      <c r="F4684" s="6">
        <f>INT(B4684)</f>
        <v/>
      </c>
      <c r="G4684" s="6">
        <f>INT(C4684)</f>
        <v/>
      </c>
    </row>
    <row r="4685">
      <c r="A4685" s="7" t="inlineStr">
        <is>
          <t>Sprint 1;EDD175;EDD1932;EDD2134;EDD2541;EDD812</t>
        </is>
      </c>
      <c r="B4685" s="8" t="n">
        <v>46138.75</v>
      </c>
      <c r="C4685" s="8" t="n">
        <v>46139.25</v>
      </c>
      <c r="D4685" s="9">
        <f>(C4685-B4685)*24</f>
        <v/>
      </c>
      <c r="E4685" s="10">
        <f>IF(AND(HOUR(B4685)&gt;=6,HOUR(B4685)&lt;18),"Day Shift","Night Shift")</f>
        <v/>
      </c>
      <c r="F4685" s="11">
        <f>INT(B4685)</f>
        <v/>
      </c>
      <c r="G4685" s="11">
        <f>INT(C4685)</f>
        <v/>
      </c>
    </row>
    <row r="4686">
      <c r="A4686" s="2" t="inlineStr">
        <is>
          <t>Sprint 1;EDD175;EDD1932;EDD2134;EDD2541;EDD812</t>
        </is>
      </c>
      <c r="B4686" s="3" t="n">
        <v>46139.25</v>
      </c>
      <c r="C4686" s="3" t="n">
        <v>46139.75</v>
      </c>
      <c r="D4686" s="4">
        <f>(C4686-B4686)*24</f>
        <v/>
      </c>
      <c r="E4686" s="5">
        <f>IF(AND(HOUR(B4686)&gt;=6,HOUR(B4686)&lt;18),"Day Shift","Night Shift")</f>
        <v/>
      </c>
      <c r="F4686" s="6">
        <f>INT(B4686)</f>
        <v/>
      </c>
      <c r="G4686" s="6">
        <f>INT(C4686)</f>
        <v/>
      </c>
    </row>
    <row r="4687">
      <c r="A4687" s="7" t="inlineStr">
        <is>
          <t>Sprint 1;EDD175;EDD1932;EDD2134;EDD2541;EDD812</t>
        </is>
      </c>
      <c r="B4687" s="8" t="n">
        <v>46139.75</v>
      </c>
      <c r="C4687" s="8" t="n">
        <v>46140.25</v>
      </c>
      <c r="D4687" s="9">
        <f>(C4687-B4687)*24</f>
        <v/>
      </c>
      <c r="E4687" s="10">
        <f>IF(AND(HOUR(B4687)&gt;=6,HOUR(B4687)&lt;18),"Day Shift","Night Shift")</f>
        <v/>
      </c>
      <c r="F4687" s="11">
        <f>INT(B4687)</f>
        <v/>
      </c>
      <c r="G4687" s="11">
        <f>INT(C4687)</f>
        <v/>
      </c>
    </row>
    <row r="4688">
      <c r="A4688" s="2" t="inlineStr">
        <is>
          <t>Sprint 1;EDD175;EDD1932;EDD2134;EDD2541;EDD812</t>
        </is>
      </c>
      <c r="B4688" s="3" t="n">
        <v>46140.25</v>
      </c>
      <c r="C4688" s="3" t="n">
        <v>46140.75</v>
      </c>
      <c r="D4688" s="4">
        <f>(C4688-B4688)*24</f>
        <v/>
      </c>
      <c r="E4688" s="5">
        <f>IF(AND(HOUR(B4688)&gt;=6,HOUR(B4688)&lt;18),"Day Shift","Night Shift")</f>
        <v/>
      </c>
      <c r="F4688" s="6">
        <f>INT(B4688)</f>
        <v/>
      </c>
      <c r="G4688" s="6">
        <f>INT(C4688)</f>
        <v/>
      </c>
    </row>
    <row r="4689">
      <c r="A4689" s="7" t="inlineStr">
        <is>
          <t>Sprint 1;EDD175;EDD1932;EDD2134;EDD2541;EDD812</t>
        </is>
      </c>
      <c r="B4689" s="8" t="n">
        <v>46140.75</v>
      </c>
      <c r="C4689" s="8" t="n">
        <v>46141.25</v>
      </c>
      <c r="D4689" s="9">
        <f>(C4689-B4689)*24</f>
        <v/>
      </c>
      <c r="E4689" s="10">
        <f>IF(AND(HOUR(B4689)&gt;=6,HOUR(B4689)&lt;18),"Day Shift","Night Shift")</f>
        <v/>
      </c>
      <c r="F4689" s="11">
        <f>INT(B4689)</f>
        <v/>
      </c>
      <c r="G4689" s="11">
        <f>INT(C4689)</f>
        <v/>
      </c>
    </row>
    <row r="4690">
      <c r="A4690" s="2" t="inlineStr">
        <is>
          <t>Sprint 1;EDD175;EDD1932;EDD2134;EDD2541;EDD812</t>
        </is>
      </c>
      <c r="B4690" s="3" t="n">
        <v>46141.25</v>
      </c>
      <c r="C4690" s="3" t="n">
        <v>46141.75</v>
      </c>
      <c r="D4690" s="4">
        <f>(C4690-B4690)*24</f>
        <v/>
      </c>
      <c r="E4690" s="5">
        <f>IF(AND(HOUR(B4690)&gt;=6,HOUR(B4690)&lt;18),"Day Shift","Night Shift")</f>
        <v/>
      </c>
      <c r="F4690" s="6">
        <f>INT(B4690)</f>
        <v/>
      </c>
      <c r="G4690" s="6">
        <f>INT(C4690)</f>
        <v/>
      </c>
    </row>
    <row r="4691">
      <c r="A4691" s="7" t="inlineStr">
        <is>
          <t>Sprint 1;EDD175;EDD1932;EDD2134;EDD2541;EDD812</t>
        </is>
      </c>
      <c r="B4691" s="8" t="n">
        <v>46141.75</v>
      </c>
      <c r="C4691" s="8" t="n">
        <v>46142.25</v>
      </c>
      <c r="D4691" s="9">
        <f>(C4691-B4691)*24</f>
        <v/>
      </c>
      <c r="E4691" s="10">
        <f>IF(AND(HOUR(B4691)&gt;=6,HOUR(B4691)&lt;18),"Day Shift","Night Shift")</f>
        <v/>
      </c>
      <c r="F4691" s="11">
        <f>INT(B4691)</f>
        <v/>
      </c>
      <c r="G4691" s="11">
        <f>INT(C4691)</f>
        <v/>
      </c>
    </row>
    <row r="4692">
      <c r="A4692" s="2" t="inlineStr">
        <is>
          <t>Sprint 1;EDD175;EDD1932;EDD2134;EDD2541;EDD812</t>
        </is>
      </c>
      <c r="B4692" s="3" t="n">
        <v>46142.25</v>
      </c>
      <c r="C4692" s="3" t="n">
        <v>46142.75</v>
      </c>
      <c r="D4692" s="4">
        <f>(C4692-B4692)*24</f>
        <v/>
      </c>
      <c r="E4692" s="5">
        <f>IF(AND(HOUR(B4692)&gt;=6,HOUR(B4692)&lt;18),"Day Shift","Night Shift")</f>
        <v/>
      </c>
      <c r="F4692" s="6">
        <f>INT(B4692)</f>
        <v/>
      </c>
      <c r="G4692" s="6">
        <f>INT(C4692)</f>
        <v/>
      </c>
    </row>
    <row r="4693">
      <c r="A4693" s="7" t="inlineStr">
        <is>
          <t>Sprint 1;EDD175;EDD1932;EDD2134;EDD2541;EDD812</t>
        </is>
      </c>
      <c r="B4693" s="8" t="n">
        <v>46142.75</v>
      </c>
      <c r="C4693" s="8" t="n">
        <v>46143.25</v>
      </c>
      <c r="D4693" s="9">
        <f>(C4693-B4693)*24</f>
        <v/>
      </c>
      <c r="E4693" s="10">
        <f>IF(AND(HOUR(B4693)&gt;=6,HOUR(B4693)&lt;18),"Day Shift","Night Shift")</f>
        <v/>
      </c>
      <c r="F4693" s="11">
        <f>INT(B4693)</f>
        <v/>
      </c>
      <c r="G4693" s="11">
        <f>INT(C4693)</f>
        <v/>
      </c>
    </row>
    <row r="4694">
      <c r="A4694" s="2" t="inlineStr">
        <is>
          <t>Sprint 1;EDD175;EDD1932;EDD2134;EDD2541;EDD812</t>
        </is>
      </c>
      <c r="B4694" s="3" t="n">
        <v>46143.25</v>
      </c>
      <c r="C4694" s="3" t="n">
        <v>46143.75</v>
      </c>
      <c r="D4694" s="4">
        <f>(C4694-B4694)*24</f>
        <v/>
      </c>
      <c r="E4694" s="5">
        <f>IF(AND(HOUR(B4694)&gt;=6,HOUR(B4694)&lt;18),"Day Shift","Night Shift")</f>
        <v/>
      </c>
      <c r="F4694" s="6">
        <f>INT(B4694)</f>
        <v/>
      </c>
      <c r="G4694" s="6">
        <f>INT(C4694)</f>
        <v/>
      </c>
    </row>
    <row r="4695">
      <c r="A4695" s="7" t="inlineStr">
        <is>
          <t>Sprint 1;EDD175;EDD1932;EDD2134;EDD2541;EDD812</t>
        </is>
      </c>
      <c r="B4695" s="8" t="n">
        <v>46143.75</v>
      </c>
      <c r="C4695" s="8" t="n">
        <v>46144.25</v>
      </c>
      <c r="D4695" s="9">
        <f>(C4695-B4695)*24</f>
        <v/>
      </c>
      <c r="E4695" s="10">
        <f>IF(AND(HOUR(B4695)&gt;=6,HOUR(B4695)&lt;18),"Day Shift","Night Shift")</f>
        <v/>
      </c>
      <c r="F4695" s="11">
        <f>INT(B4695)</f>
        <v/>
      </c>
      <c r="G4695" s="11">
        <f>INT(C4695)</f>
        <v/>
      </c>
    </row>
    <row r="4696">
      <c r="A4696" s="2" t="inlineStr">
        <is>
          <t>Sprint 1;EDD175;EDD1932;EDD2134;EDD2541;EDD812</t>
        </is>
      </c>
      <c r="B4696" s="3" t="n">
        <v>46144.25</v>
      </c>
      <c r="C4696" s="3" t="n">
        <v>46144.75</v>
      </c>
      <c r="D4696" s="4">
        <f>(C4696-B4696)*24</f>
        <v/>
      </c>
      <c r="E4696" s="5">
        <f>IF(AND(HOUR(B4696)&gt;=6,HOUR(B4696)&lt;18),"Day Shift","Night Shift")</f>
        <v/>
      </c>
      <c r="F4696" s="6">
        <f>INT(B4696)</f>
        <v/>
      </c>
      <c r="G4696" s="6">
        <f>INT(C4696)</f>
        <v/>
      </c>
    </row>
    <row r="4697">
      <c r="A4697" s="7" t="inlineStr">
        <is>
          <t>Sprint 1;EDD175;EDD1932;EDD2134;EDD2541;EDD812</t>
        </is>
      </c>
      <c r="B4697" s="8" t="n">
        <v>46144.75</v>
      </c>
      <c r="C4697" s="8" t="n">
        <v>46145.25</v>
      </c>
      <c r="D4697" s="9">
        <f>(C4697-B4697)*24</f>
        <v/>
      </c>
      <c r="E4697" s="10">
        <f>IF(AND(HOUR(B4697)&gt;=6,HOUR(B4697)&lt;18),"Day Shift","Night Shift")</f>
        <v/>
      </c>
      <c r="F4697" s="11">
        <f>INT(B4697)</f>
        <v/>
      </c>
      <c r="G4697" s="11">
        <f>INT(C4697)</f>
        <v/>
      </c>
    </row>
    <row r="4698">
      <c r="A4698" s="2" t="inlineStr">
        <is>
          <t>Sprint 1;EDD175;EDD1932;EDD2134;EDD2541;EDD812</t>
        </is>
      </c>
      <c r="B4698" s="3" t="n">
        <v>46145.25</v>
      </c>
      <c r="C4698" s="3" t="n">
        <v>46145.75</v>
      </c>
      <c r="D4698" s="4">
        <f>(C4698-B4698)*24</f>
        <v/>
      </c>
      <c r="E4698" s="5">
        <f>IF(AND(HOUR(B4698)&gt;=6,HOUR(B4698)&lt;18),"Day Shift","Night Shift")</f>
        <v/>
      </c>
      <c r="F4698" s="6">
        <f>INT(B4698)</f>
        <v/>
      </c>
      <c r="G4698" s="6">
        <f>INT(C4698)</f>
        <v/>
      </c>
    </row>
    <row r="4699">
      <c r="A4699" s="7" t="inlineStr">
        <is>
          <t>Sprint 1;EDD175;EDD1932;EDD2134;EDD2541;EDD812</t>
        </is>
      </c>
      <c r="B4699" s="8" t="n">
        <v>46145.75</v>
      </c>
      <c r="C4699" s="8" t="n">
        <v>46146.25</v>
      </c>
      <c r="D4699" s="9">
        <f>(C4699-B4699)*24</f>
        <v/>
      </c>
      <c r="E4699" s="10">
        <f>IF(AND(HOUR(B4699)&gt;=6,HOUR(B4699)&lt;18),"Day Shift","Night Shift")</f>
        <v/>
      </c>
      <c r="F4699" s="11">
        <f>INT(B4699)</f>
        <v/>
      </c>
      <c r="G4699" s="11">
        <f>INT(C4699)</f>
        <v/>
      </c>
    </row>
    <row r="4700">
      <c r="A4700" s="2" t="inlineStr">
        <is>
          <t>Sprint 1;EDD175;EDD1932;EDD2134;EDD2541;EDD812</t>
        </is>
      </c>
      <c r="B4700" s="3" t="n">
        <v>46146.25</v>
      </c>
      <c r="C4700" s="3" t="n">
        <v>46146.75</v>
      </c>
      <c r="D4700" s="4">
        <f>(C4700-B4700)*24</f>
        <v/>
      </c>
      <c r="E4700" s="5">
        <f>IF(AND(HOUR(B4700)&gt;=6,HOUR(B4700)&lt;18),"Day Shift","Night Shift")</f>
        <v/>
      </c>
      <c r="F4700" s="6">
        <f>INT(B4700)</f>
        <v/>
      </c>
      <c r="G4700" s="6">
        <f>INT(C4700)</f>
        <v/>
      </c>
    </row>
    <row r="4701">
      <c r="A4701" s="7" t="inlineStr">
        <is>
          <t>Sprint 1;EDD175;EDD1932;EDD2134;EDD2541;EDD812</t>
        </is>
      </c>
      <c r="B4701" s="8" t="n">
        <v>46146.75</v>
      </c>
      <c r="C4701" s="8" t="n">
        <v>46147.25</v>
      </c>
      <c r="D4701" s="9">
        <f>(C4701-B4701)*24</f>
        <v/>
      </c>
      <c r="E4701" s="10">
        <f>IF(AND(HOUR(B4701)&gt;=6,HOUR(B4701)&lt;18),"Day Shift","Night Shift")</f>
        <v/>
      </c>
      <c r="F4701" s="11">
        <f>INT(B4701)</f>
        <v/>
      </c>
      <c r="G4701" s="11">
        <f>INT(C4701)</f>
        <v/>
      </c>
    </row>
    <row r="4702">
      <c r="A4702" s="2" t="inlineStr">
        <is>
          <t>Sprint 1;EDD175;EDD1932;EDD2134;EDD2541;EDD812</t>
        </is>
      </c>
      <c r="B4702" s="3" t="n">
        <v>46147.25</v>
      </c>
      <c r="C4702" s="3" t="n">
        <v>46147.75</v>
      </c>
      <c r="D4702" s="4">
        <f>(C4702-B4702)*24</f>
        <v/>
      </c>
      <c r="E4702" s="5">
        <f>IF(AND(HOUR(B4702)&gt;=6,HOUR(B4702)&lt;18),"Day Shift","Night Shift")</f>
        <v/>
      </c>
      <c r="F4702" s="6">
        <f>INT(B4702)</f>
        <v/>
      </c>
      <c r="G4702" s="6">
        <f>INT(C4702)</f>
        <v/>
      </c>
    </row>
    <row r="4703">
      <c r="A4703" s="7" t="inlineStr">
        <is>
          <t>Sprint 1;EDD175;EDD1932;EDD2134;EDD2541;EDD812</t>
        </is>
      </c>
      <c r="B4703" s="8" t="n">
        <v>46147.75</v>
      </c>
      <c r="C4703" s="8" t="n">
        <v>46148.25</v>
      </c>
      <c r="D4703" s="9">
        <f>(C4703-B4703)*24</f>
        <v/>
      </c>
      <c r="E4703" s="10">
        <f>IF(AND(HOUR(B4703)&gt;=6,HOUR(B4703)&lt;18),"Day Shift","Night Shift")</f>
        <v/>
      </c>
      <c r="F4703" s="11">
        <f>INT(B4703)</f>
        <v/>
      </c>
      <c r="G4703" s="11">
        <f>INT(C4703)</f>
        <v/>
      </c>
    </row>
    <row r="4704">
      <c r="A4704" s="2" t="inlineStr">
        <is>
          <t>Sprint 1;EDD175;EDD1932;EDD2134;EDD2541;EDD812</t>
        </is>
      </c>
      <c r="B4704" s="3" t="n">
        <v>46148.25</v>
      </c>
      <c r="C4704" s="3" t="n">
        <v>46148.40803240741</v>
      </c>
      <c r="D4704" s="4">
        <f>(C4704-B4704)*24</f>
        <v/>
      </c>
      <c r="E4704" s="5">
        <f>IF(AND(HOUR(B4704)&gt;=6,HOUR(B4704)&lt;18),"Day Shift","Night Shift")</f>
        <v/>
      </c>
      <c r="F4704" s="6">
        <f>INT(B4704)</f>
        <v/>
      </c>
      <c r="G4704" s="6">
        <f>INT(C4704)</f>
        <v/>
      </c>
    </row>
    <row r="4705">
      <c r="A4705" s="7" t="inlineStr">
        <is>
          <t>EXD73</t>
        </is>
      </c>
      <c r="B4705" s="8" t="n">
        <v>46101.93915509259</v>
      </c>
      <c r="C4705" s="8" t="n">
        <v>46102.25</v>
      </c>
      <c r="D4705" s="9">
        <f>(C4705-B4705)*24</f>
        <v/>
      </c>
      <c r="E4705" s="10">
        <f>IF(AND(HOUR(B4705)&gt;=6,HOUR(B4705)&lt;18),"Day Shift","Night Shift")</f>
        <v/>
      </c>
      <c r="F4705" s="11">
        <f>INT(B4705)</f>
        <v/>
      </c>
      <c r="G4705" s="11">
        <f>INT(C4705)</f>
        <v/>
      </c>
    </row>
    <row r="4706">
      <c r="A4706" s="2" t="inlineStr">
        <is>
          <t>EXD73</t>
        </is>
      </c>
      <c r="B4706" s="3" t="n">
        <v>46102.25</v>
      </c>
      <c r="C4706" s="3" t="n">
        <v>46102.36155092593</v>
      </c>
      <c r="D4706" s="4">
        <f>(C4706-B4706)*24</f>
        <v/>
      </c>
      <c r="E4706" s="5">
        <f>IF(AND(HOUR(B4706)&gt;=6,HOUR(B4706)&lt;18),"Day Shift","Night Shift")</f>
        <v/>
      </c>
      <c r="F4706" s="6">
        <f>INT(B4706)</f>
        <v/>
      </c>
      <c r="G4706" s="6">
        <f>INT(C4706)</f>
        <v/>
      </c>
    </row>
    <row r="4707">
      <c r="A4707" s="7" t="inlineStr">
        <is>
          <t>EDD175;EDD1932;EDD2134;EDD812</t>
        </is>
      </c>
      <c r="B4707" s="8" t="n">
        <v>46101.97623842592</v>
      </c>
      <c r="C4707" s="8" t="n">
        <v>46102.16190972222</v>
      </c>
      <c r="D4707" s="9">
        <f>(C4707-B4707)*24</f>
        <v/>
      </c>
      <c r="E4707" s="10">
        <f>IF(AND(HOUR(B4707)&gt;=6,HOUR(B4707)&lt;18),"Day Shift","Night Shift")</f>
        <v/>
      </c>
      <c r="F4707" s="11">
        <f>INT(B4707)</f>
        <v/>
      </c>
      <c r="G4707" s="11">
        <f>INT(C4707)</f>
        <v/>
      </c>
    </row>
    <row r="4708">
      <c r="A4708" s="7" t="inlineStr">
        <is>
          <t>LDW262</t>
        </is>
      </c>
      <c r="B4708" s="8" t="n">
        <v>46101.98724537037</v>
      </c>
      <c r="C4708" s="8" t="n">
        <v>46102.25</v>
      </c>
      <c r="D4708" s="9">
        <f>(C4708-B4708)*24</f>
        <v/>
      </c>
      <c r="E4708" s="10">
        <f>IF(AND(HOUR(B4708)&gt;=6,HOUR(B4708)&lt;18),"Day Shift","Night Shift")</f>
        <v/>
      </c>
      <c r="F4708" s="11">
        <f>INT(B4708)</f>
        <v/>
      </c>
      <c r="G4708" s="11">
        <f>INT(C4708)</f>
        <v/>
      </c>
    </row>
    <row r="4709">
      <c r="A4709" s="2" t="inlineStr">
        <is>
          <t>LDW262</t>
        </is>
      </c>
      <c r="B4709" s="3" t="n">
        <v>46102.25</v>
      </c>
      <c r="C4709" s="3" t="n">
        <v>46102.42027777778</v>
      </c>
      <c r="D4709" s="4">
        <f>(C4709-B4709)*24</f>
        <v/>
      </c>
      <c r="E4709" s="5">
        <f>IF(AND(HOUR(B4709)&gt;=6,HOUR(B4709)&lt;18),"Day Shift","Night Shift")</f>
        <v/>
      </c>
      <c r="F4709" s="6">
        <f>INT(B4709)</f>
        <v/>
      </c>
      <c r="G4709" s="6">
        <f>INT(C4709)</f>
        <v/>
      </c>
    </row>
    <row r="4710">
      <c r="A4710" s="7" t="inlineStr">
        <is>
          <t>EXD51</t>
        </is>
      </c>
      <c r="B4710" s="8" t="n">
        <v>46102.15070601852</v>
      </c>
      <c r="C4710" s="8" t="n">
        <v>46102.25</v>
      </c>
      <c r="D4710" s="9">
        <f>(C4710-B4710)*24</f>
        <v/>
      </c>
      <c r="E4710" s="10">
        <f>IF(AND(HOUR(B4710)&gt;=6,HOUR(B4710)&lt;18),"Day Shift","Night Shift")</f>
        <v/>
      </c>
      <c r="F4710" s="11">
        <f>INT(B4710)</f>
        <v/>
      </c>
      <c r="G4710" s="11">
        <f>INT(C4710)</f>
        <v/>
      </c>
    </row>
    <row r="4711">
      <c r="A4711" s="2" t="inlineStr">
        <is>
          <t>EXD51</t>
        </is>
      </c>
      <c r="B4711" s="3" t="n">
        <v>46102.25</v>
      </c>
      <c r="C4711" s="3" t="n">
        <v>46102.6802662037</v>
      </c>
      <c r="D4711" s="4">
        <f>(C4711-B4711)*24</f>
        <v/>
      </c>
      <c r="E4711" s="5">
        <f>IF(AND(HOUR(B4711)&gt;=6,HOUR(B4711)&lt;18),"Day Shift","Night Shift")</f>
        <v/>
      </c>
      <c r="F4711" s="6">
        <f>INT(B4711)</f>
        <v/>
      </c>
      <c r="G4711" s="6">
        <f>INT(C4711)</f>
        <v/>
      </c>
    </row>
    <row r="4712">
      <c r="A4712" s="7" t="inlineStr">
        <is>
          <t>EDD175;EDD1932;EDD2134;EDD812</t>
        </is>
      </c>
      <c r="B4712" s="8" t="n">
        <v>46102.16190972222</v>
      </c>
      <c r="C4712" s="8" t="n">
        <v>46102.25</v>
      </c>
      <c r="D4712" s="9">
        <f>(C4712-B4712)*24</f>
        <v/>
      </c>
      <c r="E4712" s="10">
        <f>IF(AND(HOUR(B4712)&gt;=6,HOUR(B4712)&lt;18),"Day Shift","Night Shift")</f>
        <v/>
      </c>
      <c r="F4712" s="11">
        <f>INT(B4712)</f>
        <v/>
      </c>
      <c r="G4712" s="11">
        <f>INT(C4712)</f>
        <v/>
      </c>
    </row>
    <row r="4713">
      <c r="A4713" s="2" t="inlineStr">
        <is>
          <t>EDD175;EDD1932;EDD2134;EDD812</t>
        </is>
      </c>
      <c r="B4713" s="3" t="n">
        <v>46102.25</v>
      </c>
      <c r="C4713" s="3" t="n">
        <v>46102.38648148148</v>
      </c>
      <c r="D4713" s="4">
        <f>(C4713-B4713)*24</f>
        <v/>
      </c>
      <c r="E4713" s="5">
        <f>IF(AND(HOUR(B4713)&gt;=6,HOUR(B4713)&lt;18),"Day Shift","Night Shift")</f>
        <v/>
      </c>
      <c r="F4713" s="6">
        <f>INT(B4713)</f>
        <v/>
      </c>
      <c r="G4713" s="6">
        <f>INT(C4713)</f>
        <v/>
      </c>
    </row>
    <row r="4714">
      <c r="A4714" s="7" t="inlineStr">
        <is>
          <t>Sprint 1</t>
        </is>
      </c>
      <c r="B4714" s="8" t="n">
        <v>46102.2121875</v>
      </c>
      <c r="C4714" s="8" t="n">
        <v>46102.25</v>
      </c>
      <c r="D4714" s="9">
        <f>(C4714-B4714)*24</f>
        <v/>
      </c>
      <c r="E4714" s="10">
        <f>IF(AND(HOUR(B4714)&gt;=6,HOUR(B4714)&lt;18),"Day Shift","Night Shift")</f>
        <v/>
      </c>
      <c r="F4714" s="11">
        <f>INT(B4714)</f>
        <v/>
      </c>
      <c r="G4714" s="11">
        <f>INT(C4714)</f>
        <v/>
      </c>
    </row>
    <row r="4715">
      <c r="A4715" s="2" t="inlineStr">
        <is>
          <t>Sprint 1</t>
        </is>
      </c>
      <c r="B4715" s="3" t="n">
        <v>46102.25</v>
      </c>
      <c r="C4715" s="3" t="n">
        <v>46102.61649305555</v>
      </c>
      <c r="D4715" s="4">
        <f>(C4715-B4715)*24</f>
        <v/>
      </c>
      <c r="E4715" s="5">
        <f>IF(AND(HOUR(B4715)&gt;=6,HOUR(B4715)&lt;18),"Day Shift","Night Shift")</f>
        <v/>
      </c>
      <c r="F4715" s="6">
        <f>INT(B4715)</f>
        <v/>
      </c>
      <c r="G4715" s="6">
        <f>INT(C4715)</f>
        <v/>
      </c>
    </row>
    <row r="4716">
      <c r="A4716" s="7" t="inlineStr">
        <is>
          <t>EXD98</t>
        </is>
      </c>
      <c r="B4716" s="8" t="n">
        <v>46102.21998842592</v>
      </c>
      <c r="C4716" s="8" t="n">
        <v>46102.25</v>
      </c>
      <c r="D4716" s="9">
        <f>(C4716-B4716)*24</f>
        <v/>
      </c>
      <c r="E4716" s="10">
        <f>IF(AND(HOUR(B4716)&gt;=6,HOUR(B4716)&lt;18),"Day Shift","Night Shift")</f>
        <v/>
      </c>
      <c r="F4716" s="11">
        <f>INT(B4716)</f>
        <v/>
      </c>
      <c r="G4716" s="11">
        <f>INT(C4716)</f>
        <v/>
      </c>
    </row>
    <row r="4717">
      <c r="A4717" s="2" t="inlineStr">
        <is>
          <t>EXD98</t>
        </is>
      </c>
      <c r="B4717" s="3" t="n">
        <v>46102.25</v>
      </c>
      <c r="C4717" s="3" t="n">
        <v>46102.46377314815</v>
      </c>
      <c r="D4717" s="4">
        <f>(C4717-B4717)*24</f>
        <v/>
      </c>
      <c r="E4717" s="5">
        <f>IF(AND(HOUR(B4717)&gt;=6,HOUR(B4717)&lt;18),"Day Shift","Night Shift")</f>
        <v/>
      </c>
      <c r="F4717" s="6">
        <f>INT(B4717)</f>
        <v/>
      </c>
      <c r="G4717" s="6">
        <f>INT(C4717)</f>
        <v/>
      </c>
    </row>
    <row r="4718">
      <c r="A4718" s="2" t="inlineStr">
        <is>
          <t>EXD409</t>
        </is>
      </c>
      <c r="B4718" s="3" t="n">
        <v>46102.35915509259</v>
      </c>
      <c r="C4718" s="3" t="n">
        <v>46102.75</v>
      </c>
      <c r="D4718" s="4">
        <f>(C4718-B4718)*24</f>
        <v/>
      </c>
      <c r="E4718" s="5">
        <f>IF(AND(HOUR(B4718)&gt;=6,HOUR(B4718)&lt;18),"Day Shift","Night Shift")</f>
        <v/>
      </c>
      <c r="F4718" s="6">
        <f>INT(B4718)</f>
        <v/>
      </c>
      <c r="G4718" s="6">
        <f>INT(C4718)</f>
        <v/>
      </c>
    </row>
    <row r="4719">
      <c r="A4719" s="7" t="inlineStr">
        <is>
          <t>EXD409</t>
        </is>
      </c>
      <c r="B4719" s="8" t="n">
        <v>46102.75</v>
      </c>
      <c r="C4719" s="8" t="n">
        <v>46103.25</v>
      </c>
      <c r="D4719" s="9">
        <f>(C4719-B4719)*24</f>
        <v/>
      </c>
      <c r="E4719" s="10">
        <f>IF(AND(HOUR(B4719)&gt;=6,HOUR(B4719)&lt;18),"Day Shift","Night Shift")</f>
        <v/>
      </c>
      <c r="F4719" s="11">
        <f>INT(B4719)</f>
        <v/>
      </c>
      <c r="G4719" s="11">
        <f>INT(C4719)</f>
        <v/>
      </c>
    </row>
    <row r="4720">
      <c r="A4720" s="2" t="inlineStr">
        <is>
          <t>EXD409</t>
        </is>
      </c>
      <c r="B4720" s="3" t="n">
        <v>46103.25</v>
      </c>
      <c r="C4720" s="3" t="n">
        <v>46103.75</v>
      </c>
      <c r="D4720" s="4">
        <f>(C4720-B4720)*24</f>
        <v/>
      </c>
      <c r="E4720" s="5">
        <f>IF(AND(HOUR(B4720)&gt;=6,HOUR(B4720)&lt;18),"Day Shift","Night Shift")</f>
        <v/>
      </c>
      <c r="F4720" s="6">
        <f>INT(B4720)</f>
        <v/>
      </c>
      <c r="G4720" s="6">
        <f>INT(C4720)</f>
        <v/>
      </c>
    </row>
    <row r="4721">
      <c r="A4721" s="7" t="inlineStr">
        <is>
          <t>EXD409</t>
        </is>
      </c>
      <c r="B4721" s="8" t="n">
        <v>46103.75</v>
      </c>
      <c r="C4721" s="8" t="n">
        <v>46104.06597222222</v>
      </c>
      <c r="D4721" s="9">
        <f>(C4721-B4721)*24</f>
        <v/>
      </c>
      <c r="E4721" s="10">
        <f>IF(AND(HOUR(B4721)&gt;=6,HOUR(B4721)&lt;18),"Day Shift","Night Shift")</f>
        <v/>
      </c>
      <c r="F4721" s="11">
        <f>INT(B4721)</f>
        <v/>
      </c>
      <c r="G4721" s="11">
        <f>INT(C4721)</f>
        <v/>
      </c>
    </row>
    <row r="4722">
      <c r="A4722" s="2" t="inlineStr">
        <is>
          <t>EXD73</t>
        </is>
      </c>
      <c r="B4722" s="3" t="n">
        <v>46102.36155092593</v>
      </c>
      <c r="C4722" s="3" t="n">
        <v>46102.75</v>
      </c>
      <c r="D4722" s="4">
        <f>(C4722-B4722)*24</f>
        <v/>
      </c>
      <c r="E4722" s="5">
        <f>IF(AND(HOUR(B4722)&gt;=6,HOUR(B4722)&lt;18),"Day Shift","Night Shift")</f>
        <v/>
      </c>
      <c r="F4722" s="6">
        <f>INT(B4722)</f>
        <v/>
      </c>
      <c r="G4722" s="6">
        <f>INT(C4722)</f>
        <v/>
      </c>
    </row>
    <row r="4723">
      <c r="A4723" s="7" t="inlineStr">
        <is>
          <t>EXD73</t>
        </is>
      </c>
      <c r="B4723" s="8" t="n">
        <v>46102.75</v>
      </c>
      <c r="C4723" s="8" t="n">
        <v>46102.75135416666</v>
      </c>
      <c r="D4723" s="9">
        <f>(C4723-B4723)*24</f>
        <v/>
      </c>
      <c r="E4723" s="10">
        <f>IF(AND(HOUR(B4723)&gt;=6,HOUR(B4723)&lt;18),"Day Shift","Night Shift")</f>
        <v/>
      </c>
      <c r="F4723" s="11">
        <f>INT(B4723)</f>
        <v/>
      </c>
      <c r="G4723" s="11">
        <f>INT(C4723)</f>
        <v/>
      </c>
    </row>
    <row r="4724">
      <c r="A4724" s="2" t="inlineStr">
        <is>
          <t>EDD175;EDD1932;EDD812</t>
        </is>
      </c>
      <c r="B4724" s="3" t="n">
        <v>46102.38648148148</v>
      </c>
      <c r="C4724" s="3" t="n">
        <v>46102.63348379629</v>
      </c>
      <c r="D4724" s="4">
        <f>(C4724-B4724)*24</f>
        <v/>
      </c>
      <c r="E4724" s="5">
        <f>IF(AND(HOUR(B4724)&gt;=6,HOUR(B4724)&lt;18),"Day Shift","Night Shift")</f>
        <v/>
      </c>
      <c r="F4724" s="6">
        <f>INT(B4724)</f>
        <v/>
      </c>
      <c r="G4724" s="6">
        <f>INT(C4724)</f>
        <v/>
      </c>
    </row>
    <row r="4725">
      <c r="A4725" s="2" t="inlineStr">
        <is>
          <t>LDW262</t>
        </is>
      </c>
      <c r="B4725" s="3" t="n">
        <v>46102.42027777778</v>
      </c>
      <c r="C4725" s="3" t="n">
        <v>46102.75</v>
      </c>
      <c r="D4725" s="4">
        <f>(C4725-B4725)*24</f>
        <v/>
      </c>
      <c r="E4725" s="5">
        <f>IF(AND(HOUR(B4725)&gt;=6,HOUR(B4725)&lt;18),"Day Shift","Night Shift")</f>
        <v/>
      </c>
      <c r="F4725" s="6">
        <f>INT(B4725)</f>
        <v/>
      </c>
      <c r="G4725" s="6">
        <f>INT(C4725)</f>
        <v/>
      </c>
    </row>
    <row r="4726">
      <c r="A4726" s="7" t="inlineStr">
        <is>
          <t>LDW262</t>
        </is>
      </c>
      <c r="B4726" s="8" t="n">
        <v>46102.75</v>
      </c>
      <c r="C4726" s="8" t="n">
        <v>46103.25</v>
      </c>
      <c r="D4726" s="9">
        <f>(C4726-B4726)*24</f>
        <v/>
      </c>
      <c r="E4726" s="10">
        <f>IF(AND(HOUR(B4726)&gt;=6,HOUR(B4726)&lt;18),"Day Shift","Night Shift")</f>
        <v/>
      </c>
      <c r="F4726" s="11">
        <f>INT(B4726)</f>
        <v/>
      </c>
      <c r="G4726" s="11">
        <f>INT(C4726)</f>
        <v/>
      </c>
    </row>
    <row r="4727">
      <c r="A4727" s="2" t="inlineStr">
        <is>
          <t>LDW262</t>
        </is>
      </c>
      <c r="B4727" s="3" t="n">
        <v>46103.25</v>
      </c>
      <c r="C4727" s="3" t="n">
        <v>46103.75</v>
      </c>
      <c r="D4727" s="4">
        <f>(C4727-B4727)*24</f>
        <v/>
      </c>
      <c r="E4727" s="5">
        <f>IF(AND(HOUR(B4727)&gt;=6,HOUR(B4727)&lt;18),"Day Shift","Night Shift")</f>
        <v/>
      </c>
      <c r="F4727" s="6">
        <f>INT(B4727)</f>
        <v/>
      </c>
      <c r="G4727" s="6">
        <f>INT(C4727)</f>
        <v/>
      </c>
    </row>
    <row r="4728">
      <c r="A4728" s="7" t="inlineStr">
        <is>
          <t>LDW262</t>
        </is>
      </c>
      <c r="B4728" s="8" t="n">
        <v>46103.75</v>
      </c>
      <c r="C4728" s="8" t="n">
        <v>46104.25</v>
      </c>
      <c r="D4728" s="9">
        <f>(C4728-B4728)*24</f>
        <v/>
      </c>
      <c r="E4728" s="10">
        <f>IF(AND(HOUR(B4728)&gt;=6,HOUR(B4728)&lt;18),"Day Shift","Night Shift")</f>
        <v/>
      </c>
      <c r="F4728" s="11">
        <f>INT(B4728)</f>
        <v/>
      </c>
      <c r="G4728" s="11">
        <f>INT(C4728)</f>
        <v/>
      </c>
    </row>
    <row r="4729">
      <c r="A4729" s="2" t="inlineStr">
        <is>
          <t>LDW262</t>
        </is>
      </c>
      <c r="B4729" s="3" t="n">
        <v>46104.25</v>
      </c>
      <c r="C4729" s="3" t="n">
        <v>46104.75</v>
      </c>
      <c r="D4729" s="4">
        <f>(C4729-B4729)*24</f>
        <v/>
      </c>
      <c r="E4729" s="5">
        <f>IF(AND(HOUR(B4729)&gt;=6,HOUR(B4729)&lt;18),"Day Shift","Night Shift")</f>
        <v/>
      </c>
      <c r="F4729" s="6">
        <f>INT(B4729)</f>
        <v/>
      </c>
      <c r="G4729" s="6">
        <f>INT(C4729)</f>
        <v/>
      </c>
    </row>
    <row r="4730">
      <c r="A4730" s="7" t="inlineStr">
        <is>
          <t>LDW262</t>
        </is>
      </c>
      <c r="B4730" s="8" t="n">
        <v>46104.75</v>
      </c>
      <c r="C4730" s="8" t="n">
        <v>46104.90179398148</v>
      </c>
      <c r="D4730" s="9">
        <f>(C4730-B4730)*24</f>
        <v/>
      </c>
      <c r="E4730" s="10">
        <f>IF(AND(HOUR(B4730)&gt;=6,HOUR(B4730)&lt;18),"Day Shift","Night Shift")</f>
        <v/>
      </c>
      <c r="F4730" s="11">
        <f>INT(B4730)</f>
        <v/>
      </c>
      <c r="G4730" s="11">
        <f>INT(C4730)</f>
        <v/>
      </c>
    </row>
    <row r="4731">
      <c r="A4731" s="2" t="inlineStr">
        <is>
          <t>Blast</t>
        </is>
      </c>
      <c r="B4731" s="3" t="n">
        <v>46102.45833333334</v>
      </c>
      <c r="C4731" s="3" t="n">
        <v>46102.45859953704</v>
      </c>
      <c r="D4731" s="4">
        <f>(C4731-B4731)*24</f>
        <v/>
      </c>
      <c r="E4731" s="5">
        <f>IF(AND(HOUR(B4731)&gt;=6,HOUR(B4731)&lt;18),"Day Shift","Night Shift")</f>
        <v/>
      </c>
      <c r="F4731" s="6">
        <f>INT(B4731)</f>
        <v/>
      </c>
      <c r="G4731" s="6">
        <f>INT(C4731)</f>
        <v/>
      </c>
    </row>
    <row r="4732">
      <c r="A4732" s="2" t="inlineStr">
        <is>
          <t>Blast</t>
        </is>
      </c>
      <c r="B4732" s="3" t="n">
        <v>46102.45859953704</v>
      </c>
      <c r="C4732" s="3" t="n">
        <v>46102.45892361111</v>
      </c>
      <c r="D4732" s="4">
        <f>(C4732-B4732)*24</f>
        <v/>
      </c>
      <c r="E4732" s="5">
        <f>IF(AND(HOUR(B4732)&gt;=6,HOUR(B4732)&lt;18),"Day Shift","Night Shift")</f>
        <v/>
      </c>
      <c r="F4732" s="6">
        <f>INT(B4732)</f>
        <v/>
      </c>
      <c r="G4732" s="6">
        <f>INT(C4732)</f>
        <v/>
      </c>
    </row>
    <row r="4733">
      <c r="A4733" s="2" t="inlineStr">
        <is>
          <t>Blast</t>
        </is>
      </c>
      <c r="B4733" s="3" t="n">
        <v>46102.45892361111</v>
      </c>
      <c r="C4733" s="3" t="n">
        <v>46102.45927083334</v>
      </c>
      <c r="D4733" s="4">
        <f>(C4733-B4733)*24</f>
        <v/>
      </c>
      <c r="E4733" s="5">
        <f>IF(AND(HOUR(B4733)&gt;=6,HOUR(B4733)&lt;18),"Day Shift","Night Shift")</f>
        <v/>
      </c>
      <c r="F4733" s="6">
        <f>INT(B4733)</f>
        <v/>
      </c>
      <c r="G4733" s="6">
        <f>INT(C4733)</f>
        <v/>
      </c>
    </row>
    <row r="4734">
      <c r="A4734" s="2" t="inlineStr">
        <is>
          <t>Blast</t>
        </is>
      </c>
      <c r="B4734" s="3" t="n">
        <v>46102.45927083334</v>
      </c>
      <c r="C4734" s="3" t="n">
        <v>46102.45960648148</v>
      </c>
      <c r="D4734" s="4">
        <f>(C4734-B4734)*24</f>
        <v/>
      </c>
      <c r="E4734" s="5">
        <f>IF(AND(HOUR(B4734)&gt;=6,HOUR(B4734)&lt;18),"Day Shift","Night Shift")</f>
        <v/>
      </c>
      <c r="F4734" s="6">
        <f>INT(B4734)</f>
        <v/>
      </c>
      <c r="G4734" s="6">
        <f>INT(C4734)</f>
        <v/>
      </c>
    </row>
    <row r="4735">
      <c r="A4735" s="2" t="inlineStr">
        <is>
          <t>Blast</t>
        </is>
      </c>
      <c r="B4735" s="3" t="n">
        <v>46102.45960648148</v>
      </c>
      <c r="C4735" s="3" t="n">
        <v>46102.45990740741</v>
      </c>
      <c r="D4735" s="4">
        <f>(C4735-B4735)*24</f>
        <v/>
      </c>
      <c r="E4735" s="5">
        <f>IF(AND(HOUR(B4735)&gt;=6,HOUR(B4735)&lt;18),"Day Shift","Night Shift")</f>
        <v/>
      </c>
      <c r="F4735" s="6">
        <f>INT(B4735)</f>
        <v/>
      </c>
      <c r="G4735" s="6">
        <f>INT(C4735)</f>
        <v/>
      </c>
    </row>
    <row r="4736">
      <c r="A4736" s="2" t="inlineStr">
        <is>
          <t>Blast</t>
        </is>
      </c>
      <c r="B4736" s="3" t="n">
        <v>46102.45990740741</v>
      </c>
      <c r="C4736" s="3" t="n">
        <v>46102.46023148148</v>
      </c>
      <c r="D4736" s="4">
        <f>(C4736-B4736)*24</f>
        <v/>
      </c>
      <c r="E4736" s="5">
        <f>IF(AND(HOUR(B4736)&gt;=6,HOUR(B4736)&lt;18),"Day Shift","Night Shift")</f>
        <v/>
      </c>
      <c r="F4736" s="6">
        <f>INT(B4736)</f>
        <v/>
      </c>
      <c r="G4736" s="6">
        <f>INT(C4736)</f>
        <v/>
      </c>
    </row>
    <row r="4737">
      <c r="A4737" s="2" t="inlineStr">
        <is>
          <t>Blast</t>
        </is>
      </c>
      <c r="B4737" s="3" t="n">
        <v>46102.46023148148</v>
      </c>
      <c r="C4737" s="3" t="n">
        <v>46102.46054398148</v>
      </c>
      <c r="D4737" s="4">
        <f>(C4737-B4737)*24</f>
        <v/>
      </c>
      <c r="E4737" s="5">
        <f>IF(AND(HOUR(B4737)&gt;=6,HOUR(B4737)&lt;18),"Day Shift","Night Shift")</f>
        <v/>
      </c>
      <c r="F4737" s="6">
        <f>INT(B4737)</f>
        <v/>
      </c>
      <c r="G4737" s="6">
        <f>INT(C4737)</f>
        <v/>
      </c>
    </row>
    <row r="4738">
      <c r="A4738" s="2" t="inlineStr">
        <is>
          <t>Blast</t>
        </is>
      </c>
      <c r="B4738" s="3" t="n">
        <v>46102.46054398148</v>
      </c>
      <c r="C4738" s="3" t="n">
        <v>46102.46076388889</v>
      </c>
      <c r="D4738" s="4">
        <f>(C4738-B4738)*24</f>
        <v/>
      </c>
      <c r="E4738" s="5">
        <f>IF(AND(HOUR(B4738)&gt;=6,HOUR(B4738)&lt;18),"Day Shift","Night Shift")</f>
        <v/>
      </c>
      <c r="F4738" s="6">
        <f>INT(B4738)</f>
        <v/>
      </c>
      <c r="G4738" s="6">
        <f>INT(C4738)</f>
        <v/>
      </c>
    </row>
    <row r="4739">
      <c r="A4739" s="2" t="inlineStr">
        <is>
          <t>Blast</t>
        </is>
      </c>
      <c r="B4739" s="3" t="n">
        <v>46102.46076388889</v>
      </c>
      <c r="C4739" s="3" t="n">
        <v>46102.46092592592</v>
      </c>
      <c r="D4739" s="4">
        <f>(C4739-B4739)*24</f>
        <v/>
      </c>
      <c r="E4739" s="5">
        <f>IF(AND(HOUR(B4739)&gt;=6,HOUR(B4739)&lt;18),"Day Shift","Night Shift")</f>
        <v/>
      </c>
      <c r="F4739" s="6">
        <f>INT(B4739)</f>
        <v/>
      </c>
      <c r="G4739" s="6">
        <f>INT(C4739)</f>
        <v/>
      </c>
    </row>
    <row r="4740">
      <c r="A4740" s="2" t="inlineStr">
        <is>
          <t>Blast</t>
        </is>
      </c>
      <c r="B4740" s="3" t="n">
        <v>46102.46092592592</v>
      </c>
      <c r="C4740" s="3" t="n">
        <v>46102.46104166667</v>
      </c>
      <c r="D4740" s="4">
        <f>(C4740-B4740)*24</f>
        <v/>
      </c>
      <c r="E4740" s="5">
        <f>IF(AND(HOUR(B4740)&gt;=6,HOUR(B4740)&lt;18),"Day Shift","Night Shift")</f>
        <v/>
      </c>
      <c r="F4740" s="6">
        <f>INT(B4740)</f>
        <v/>
      </c>
      <c r="G4740" s="6">
        <f>INT(C4740)</f>
        <v/>
      </c>
    </row>
    <row r="4741">
      <c r="A4741" s="2" t="inlineStr">
        <is>
          <t>Blast</t>
        </is>
      </c>
      <c r="B4741" s="3" t="n">
        <v>46102.46104166667</v>
      </c>
      <c r="C4741" s="3" t="n">
        <v>46102.46123842592</v>
      </c>
      <c r="D4741" s="4">
        <f>(C4741-B4741)*24</f>
        <v/>
      </c>
      <c r="E4741" s="5">
        <f>IF(AND(HOUR(B4741)&gt;=6,HOUR(B4741)&lt;18),"Day Shift","Night Shift")</f>
        <v/>
      </c>
      <c r="F4741" s="6">
        <f>INT(B4741)</f>
        <v/>
      </c>
      <c r="G4741" s="6">
        <f>INT(C4741)</f>
        <v/>
      </c>
    </row>
    <row r="4742">
      <c r="A4742" s="2" t="inlineStr">
        <is>
          <t>Blast</t>
        </is>
      </c>
      <c r="B4742" s="3" t="n">
        <v>46102.46123842592</v>
      </c>
      <c r="C4742" s="3" t="n">
        <v>46102.46149305555</v>
      </c>
      <c r="D4742" s="4">
        <f>(C4742-B4742)*24</f>
        <v/>
      </c>
      <c r="E4742" s="5">
        <f>IF(AND(HOUR(B4742)&gt;=6,HOUR(B4742)&lt;18),"Day Shift","Night Shift")</f>
        <v/>
      </c>
      <c r="F4742" s="6">
        <f>INT(B4742)</f>
        <v/>
      </c>
      <c r="G4742" s="6">
        <f>INT(C4742)</f>
        <v/>
      </c>
    </row>
    <row r="4743">
      <c r="A4743" s="2" t="inlineStr">
        <is>
          <t>Blast</t>
        </is>
      </c>
      <c r="B4743" s="3" t="n">
        <v>46102.46149305555</v>
      </c>
      <c r="C4743" s="3" t="n">
        <v>46102.46178240741</v>
      </c>
      <c r="D4743" s="4">
        <f>(C4743-B4743)*24</f>
        <v/>
      </c>
      <c r="E4743" s="5">
        <f>IF(AND(HOUR(B4743)&gt;=6,HOUR(B4743)&lt;18),"Day Shift","Night Shift")</f>
        <v/>
      </c>
      <c r="F4743" s="6">
        <f>INT(B4743)</f>
        <v/>
      </c>
      <c r="G4743" s="6">
        <f>INT(C4743)</f>
        <v/>
      </c>
    </row>
    <row r="4744">
      <c r="A4744" s="2" t="inlineStr">
        <is>
          <t>Blast</t>
        </is>
      </c>
      <c r="B4744" s="3" t="n">
        <v>46102.46178240741</v>
      </c>
      <c r="C4744" s="3" t="n">
        <v>46102.46201388889</v>
      </c>
      <c r="D4744" s="4">
        <f>(C4744-B4744)*24</f>
        <v/>
      </c>
      <c r="E4744" s="5">
        <f>IF(AND(HOUR(B4744)&gt;=6,HOUR(B4744)&lt;18),"Day Shift","Night Shift")</f>
        <v/>
      </c>
      <c r="F4744" s="6">
        <f>INT(B4744)</f>
        <v/>
      </c>
      <c r="G4744" s="6">
        <f>INT(C4744)</f>
        <v/>
      </c>
    </row>
    <row r="4745">
      <c r="A4745" s="2" t="inlineStr">
        <is>
          <t>Blast</t>
        </is>
      </c>
      <c r="B4745" s="3" t="n">
        <v>46102.46201388889</v>
      </c>
      <c r="C4745" s="3" t="n">
        <v>46102.4621412037</v>
      </c>
      <c r="D4745" s="4">
        <f>(C4745-B4745)*24</f>
        <v/>
      </c>
      <c r="E4745" s="5">
        <f>IF(AND(HOUR(B4745)&gt;=6,HOUR(B4745)&lt;18),"Day Shift","Night Shift")</f>
        <v/>
      </c>
      <c r="F4745" s="6">
        <f>INT(B4745)</f>
        <v/>
      </c>
      <c r="G4745" s="6">
        <f>INT(C4745)</f>
        <v/>
      </c>
    </row>
    <row r="4746">
      <c r="A4746" s="2" t="inlineStr">
        <is>
          <t>Blast</t>
        </is>
      </c>
      <c r="B4746" s="3" t="n">
        <v>46102.4621412037</v>
      </c>
      <c r="C4746" s="3" t="n">
        <v>46102.46232638889</v>
      </c>
      <c r="D4746" s="4">
        <f>(C4746-B4746)*24</f>
        <v/>
      </c>
      <c r="E4746" s="5">
        <f>IF(AND(HOUR(B4746)&gt;=6,HOUR(B4746)&lt;18),"Day Shift","Night Shift")</f>
        <v/>
      </c>
      <c r="F4746" s="6">
        <f>INT(B4746)</f>
        <v/>
      </c>
      <c r="G4746" s="6">
        <f>INT(C4746)</f>
        <v/>
      </c>
    </row>
    <row r="4747">
      <c r="A4747" s="2" t="inlineStr">
        <is>
          <t>Blast</t>
        </is>
      </c>
      <c r="B4747" s="3" t="n">
        <v>46102.46232638889</v>
      </c>
      <c r="C4747" s="3" t="n">
        <v>46102.46251157407</v>
      </c>
      <c r="D4747" s="4">
        <f>(C4747-B4747)*24</f>
        <v/>
      </c>
      <c r="E4747" s="5">
        <f>IF(AND(HOUR(B4747)&gt;=6,HOUR(B4747)&lt;18),"Day Shift","Night Shift")</f>
        <v/>
      </c>
      <c r="F4747" s="6">
        <f>INT(B4747)</f>
        <v/>
      </c>
      <c r="G4747" s="6">
        <f>INT(C4747)</f>
        <v/>
      </c>
    </row>
    <row r="4748">
      <c r="A4748" s="2" t="inlineStr">
        <is>
          <t>Blast</t>
        </is>
      </c>
      <c r="B4748" s="3" t="n">
        <v>46102.46251157407</v>
      </c>
      <c r="C4748" s="3" t="n">
        <v>46102.46270833333</v>
      </c>
      <c r="D4748" s="4">
        <f>(C4748-B4748)*24</f>
        <v/>
      </c>
      <c r="E4748" s="5">
        <f>IF(AND(HOUR(B4748)&gt;=6,HOUR(B4748)&lt;18),"Day Shift","Night Shift")</f>
        <v/>
      </c>
      <c r="F4748" s="6">
        <f>INT(B4748)</f>
        <v/>
      </c>
      <c r="G4748" s="6">
        <f>INT(C4748)</f>
        <v/>
      </c>
    </row>
    <row r="4749">
      <c r="A4749" s="2" t="inlineStr">
        <is>
          <t>Blast</t>
        </is>
      </c>
      <c r="B4749" s="3" t="n">
        <v>46102.46270833333</v>
      </c>
      <c r="C4749" s="3" t="n">
        <v>46102.46291666666</v>
      </c>
      <c r="D4749" s="4">
        <f>(C4749-B4749)*24</f>
        <v/>
      </c>
      <c r="E4749" s="5">
        <f>IF(AND(HOUR(B4749)&gt;=6,HOUR(B4749)&lt;18),"Day Shift","Night Shift")</f>
        <v/>
      </c>
      <c r="F4749" s="6">
        <f>INT(B4749)</f>
        <v/>
      </c>
      <c r="G4749" s="6">
        <f>INT(C4749)</f>
        <v/>
      </c>
    </row>
    <row r="4750">
      <c r="A4750" s="2" t="inlineStr">
        <is>
          <t>Blast</t>
        </is>
      </c>
      <c r="B4750" s="3" t="n">
        <v>46102.46291666666</v>
      </c>
      <c r="C4750" s="3" t="n">
        <v>46102.463125</v>
      </c>
      <c r="D4750" s="4">
        <f>(C4750-B4750)*24</f>
        <v/>
      </c>
      <c r="E4750" s="5">
        <f>IF(AND(HOUR(B4750)&gt;=6,HOUR(B4750)&lt;18),"Day Shift","Night Shift")</f>
        <v/>
      </c>
      <c r="F4750" s="6">
        <f>INT(B4750)</f>
        <v/>
      </c>
      <c r="G4750" s="6">
        <f>INT(C4750)</f>
        <v/>
      </c>
    </row>
    <row r="4751">
      <c r="A4751" s="2" t="inlineStr">
        <is>
          <t>EXD98</t>
        </is>
      </c>
      <c r="B4751" s="3" t="n">
        <v>46102.46377314815</v>
      </c>
      <c r="C4751" s="3" t="n">
        <v>46102.75</v>
      </c>
      <c r="D4751" s="4">
        <f>(C4751-B4751)*24</f>
        <v/>
      </c>
      <c r="E4751" s="5">
        <f>IF(AND(HOUR(B4751)&gt;=6,HOUR(B4751)&lt;18),"Day Shift","Night Shift")</f>
        <v/>
      </c>
      <c r="F4751" s="6">
        <f>INT(B4751)</f>
        <v/>
      </c>
      <c r="G4751" s="6">
        <f>INT(C4751)</f>
        <v/>
      </c>
    </row>
    <row r="4752">
      <c r="A4752" s="7" t="inlineStr">
        <is>
          <t>EXD98</t>
        </is>
      </c>
      <c r="B4752" s="8" t="n">
        <v>46102.75</v>
      </c>
      <c r="C4752" s="8" t="n">
        <v>46103.25</v>
      </c>
      <c r="D4752" s="9">
        <f>(C4752-B4752)*24</f>
        <v/>
      </c>
      <c r="E4752" s="10">
        <f>IF(AND(HOUR(B4752)&gt;=6,HOUR(B4752)&lt;18),"Day Shift","Night Shift")</f>
        <v/>
      </c>
      <c r="F4752" s="11">
        <f>INT(B4752)</f>
        <v/>
      </c>
      <c r="G4752" s="11">
        <f>INT(C4752)</f>
        <v/>
      </c>
    </row>
    <row r="4753">
      <c r="A4753" s="2" t="inlineStr">
        <is>
          <t>EXD98</t>
        </is>
      </c>
      <c r="B4753" s="3" t="n">
        <v>46103.25</v>
      </c>
      <c r="C4753" s="3" t="n">
        <v>46103.36918981482</v>
      </c>
      <c r="D4753" s="4">
        <f>(C4753-B4753)*24</f>
        <v/>
      </c>
      <c r="E4753" s="5">
        <f>IF(AND(HOUR(B4753)&gt;=6,HOUR(B4753)&lt;18),"Day Shift","Night Shift")</f>
        <v/>
      </c>
      <c r="F4753" s="6">
        <f>INT(B4753)</f>
        <v/>
      </c>
      <c r="G4753" s="6">
        <f>INT(C4753)</f>
        <v/>
      </c>
    </row>
    <row r="4754">
      <c r="A4754" s="2" t="inlineStr">
        <is>
          <t>EXD52</t>
        </is>
      </c>
      <c r="B4754" s="3" t="n">
        <v>46102.47040509259</v>
      </c>
      <c r="C4754" s="3" t="n">
        <v>46102.75</v>
      </c>
      <c r="D4754" s="4">
        <f>(C4754-B4754)*24</f>
        <v/>
      </c>
      <c r="E4754" s="5">
        <f>IF(AND(HOUR(B4754)&gt;=6,HOUR(B4754)&lt;18),"Day Shift","Night Shift")</f>
        <v/>
      </c>
      <c r="F4754" s="6">
        <f>INT(B4754)</f>
        <v/>
      </c>
      <c r="G4754" s="6">
        <f>INT(C4754)</f>
        <v/>
      </c>
    </row>
    <row r="4755">
      <c r="A4755" s="7" t="inlineStr">
        <is>
          <t>EXD52</t>
        </is>
      </c>
      <c r="B4755" s="8" t="n">
        <v>46102.75</v>
      </c>
      <c r="C4755" s="8" t="n">
        <v>46103.25</v>
      </c>
      <c r="D4755" s="9">
        <f>(C4755-B4755)*24</f>
        <v/>
      </c>
      <c r="E4755" s="10">
        <f>IF(AND(HOUR(B4755)&gt;=6,HOUR(B4755)&lt;18),"Day Shift","Night Shift")</f>
        <v/>
      </c>
      <c r="F4755" s="11">
        <f>INT(B4755)</f>
        <v/>
      </c>
      <c r="G4755" s="11">
        <f>INT(C4755)</f>
        <v/>
      </c>
    </row>
    <row r="4756">
      <c r="A4756" s="2" t="inlineStr">
        <is>
          <t>EXD52</t>
        </is>
      </c>
      <c r="B4756" s="3" t="n">
        <v>46103.25</v>
      </c>
      <c r="C4756" s="3" t="n">
        <v>46103.33252314815</v>
      </c>
      <c r="D4756" s="4">
        <f>(C4756-B4756)*24</f>
        <v/>
      </c>
      <c r="E4756" s="5">
        <f>IF(AND(HOUR(B4756)&gt;=6,HOUR(B4756)&lt;18),"Day Shift","Night Shift")</f>
        <v/>
      </c>
      <c r="F4756" s="6">
        <f>INT(B4756)</f>
        <v/>
      </c>
      <c r="G4756" s="6">
        <f>INT(C4756)</f>
        <v/>
      </c>
    </row>
    <row r="4757">
      <c r="A4757" s="2" t="inlineStr">
        <is>
          <t>SHE36</t>
        </is>
      </c>
      <c r="B4757" s="3" t="n">
        <v>46102.49060185185</v>
      </c>
      <c r="C4757" s="3" t="n">
        <v>46102.75</v>
      </c>
      <c r="D4757" s="4">
        <f>(C4757-B4757)*24</f>
        <v/>
      </c>
      <c r="E4757" s="5">
        <f>IF(AND(HOUR(B4757)&gt;=6,HOUR(B4757)&lt;18),"Day Shift","Night Shift")</f>
        <v/>
      </c>
      <c r="F4757" s="6">
        <f>INT(B4757)</f>
        <v/>
      </c>
      <c r="G4757" s="6">
        <f>INT(C4757)</f>
        <v/>
      </c>
    </row>
    <row r="4758">
      <c r="A4758" s="7" t="inlineStr">
        <is>
          <t>SHE36</t>
        </is>
      </c>
      <c r="B4758" s="8" t="n">
        <v>46102.75</v>
      </c>
      <c r="C4758" s="8" t="n">
        <v>46102.89546296297</v>
      </c>
      <c r="D4758" s="9">
        <f>(C4758-B4758)*24</f>
        <v/>
      </c>
      <c r="E4758" s="10">
        <f>IF(AND(HOUR(B4758)&gt;=6,HOUR(B4758)&lt;18),"Day Shift","Night Shift")</f>
        <v/>
      </c>
      <c r="F4758" s="11">
        <f>INT(B4758)</f>
        <v/>
      </c>
      <c r="G4758" s="11">
        <f>INT(C4758)</f>
        <v/>
      </c>
    </row>
    <row r="4759">
      <c r="A4759" s="2" t="inlineStr">
        <is>
          <t>EXD100</t>
        </is>
      </c>
      <c r="B4759" s="3" t="n">
        <v>46102.49473379629</v>
      </c>
      <c r="C4759" s="3" t="n">
        <v>46102.68240740741</v>
      </c>
      <c r="D4759" s="4">
        <f>(C4759-B4759)*24</f>
        <v/>
      </c>
      <c r="E4759" s="5">
        <f>IF(AND(HOUR(B4759)&gt;=6,HOUR(B4759)&lt;18),"Day Shift","Night Shift")</f>
        <v/>
      </c>
      <c r="F4759" s="6">
        <f>INT(B4759)</f>
        <v/>
      </c>
      <c r="G4759" s="6">
        <f>INT(C4759)</f>
        <v/>
      </c>
    </row>
    <row r="4760">
      <c r="A4760" s="2" t="inlineStr">
        <is>
          <t>EXD101</t>
        </is>
      </c>
      <c r="B4760" s="3" t="n">
        <v>46102.59556712963</v>
      </c>
      <c r="C4760" s="3" t="n">
        <v>46102.75</v>
      </c>
      <c r="D4760" s="4">
        <f>(C4760-B4760)*24</f>
        <v/>
      </c>
      <c r="E4760" s="5">
        <f>IF(AND(HOUR(B4760)&gt;=6,HOUR(B4760)&lt;18),"Day Shift","Night Shift")</f>
        <v/>
      </c>
      <c r="F4760" s="6">
        <f>INT(B4760)</f>
        <v/>
      </c>
      <c r="G4760" s="6">
        <f>INT(C4760)</f>
        <v/>
      </c>
    </row>
    <row r="4761">
      <c r="A4761" s="7" t="inlineStr">
        <is>
          <t>EXD101</t>
        </is>
      </c>
      <c r="B4761" s="8" t="n">
        <v>46102.75</v>
      </c>
      <c r="C4761" s="8" t="n">
        <v>46103.25</v>
      </c>
      <c r="D4761" s="9">
        <f>(C4761-B4761)*24</f>
        <v/>
      </c>
      <c r="E4761" s="10">
        <f>IF(AND(HOUR(B4761)&gt;=6,HOUR(B4761)&lt;18),"Day Shift","Night Shift")</f>
        <v/>
      </c>
      <c r="F4761" s="11">
        <f>INT(B4761)</f>
        <v/>
      </c>
      <c r="G4761" s="11">
        <f>INT(C4761)</f>
        <v/>
      </c>
    </row>
    <row r="4762">
      <c r="A4762" s="2" t="inlineStr">
        <is>
          <t>EXD101</t>
        </is>
      </c>
      <c r="B4762" s="3" t="n">
        <v>46103.25</v>
      </c>
      <c r="C4762" s="3" t="n">
        <v>46103.53555555556</v>
      </c>
      <c r="D4762" s="4">
        <f>(C4762-B4762)*24</f>
        <v/>
      </c>
      <c r="E4762" s="5">
        <f>IF(AND(HOUR(B4762)&gt;=6,HOUR(B4762)&lt;18),"Day Shift","Night Shift")</f>
        <v/>
      </c>
      <c r="F4762" s="6">
        <f>INT(B4762)</f>
        <v/>
      </c>
      <c r="G4762" s="6">
        <f>INT(C4762)</f>
        <v/>
      </c>
    </row>
    <row r="4763">
      <c r="A4763" s="2" t="inlineStr">
        <is>
          <t>Sprint 1</t>
        </is>
      </c>
      <c r="B4763" s="3" t="n">
        <v>46102.61649305555</v>
      </c>
      <c r="C4763" s="3" t="n">
        <v>46102.75</v>
      </c>
      <c r="D4763" s="4">
        <f>(C4763-B4763)*24</f>
        <v/>
      </c>
      <c r="E4763" s="5">
        <f>IF(AND(HOUR(B4763)&gt;=6,HOUR(B4763)&lt;18),"Day Shift","Night Shift")</f>
        <v/>
      </c>
      <c r="F4763" s="6">
        <f>INT(B4763)</f>
        <v/>
      </c>
      <c r="G4763" s="6">
        <f>INT(C4763)</f>
        <v/>
      </c>
    </row>
    <row r="4764">
      <c r="A4764" s="7" t="inlineStr">
        <is>
          <t>Sprint 1</t>
        </is>
      </c>
      <c r="B4764" s="8" t="n">
        <v>46102.75</v>
      </c>
      <c r="C4764" s="8" t="n">
        <v>46103.1359375</v>
      </c>
      <c r="D4764" s="9">
        <f>(C4764-B4764)*24</f>
        <v/>
      </c>
      <c r="E4764" s="10">
        <f>IF(AND(HOUR(B4764)&gt;=6,HOUR(B4764)&lt;18),"Day Shift","Night Shift")</f>
        <v/>
      </c>
      <c r="F4764" s="11">
        <f>INT(B4764)</f>
        <v/>
      </c>
      <c r="G4764" s="11">
        <f>INT(C4764)</f>
        <v/>
      </c>
    </row>
    <row r="4765">
      <c r="A4765" s="2" t="inlineStr">
        <is>
          <t>EXD55</t>
        </is>
      </c>
      <c r="B4765" s="3" t="n">
        <v>46102.61879629629</v>
      </c>
      <c r="C4765" s="3" t="n">
        <v>46102.75</v>
      </c>
      <c r="D4765" s="4">
        <f>(C4765-B4765)*24</f>
        <v/>
      </c>
      <c r="E4765" s="5">
        <f>IF(AND(HOUR(B4765)&gt;=6,HOUR(B4765)&lt;18),"Day Shift","Night Shift")</f>
        <v/>
      </c>
      <c r="F4765" s="6">
        <f>INT(B4765)</f>
        <v/>
      </c>
      <c r="G4765" s="6">
        <f>INT(C4765)</f>
        <v/>
      </c>
    </row>
    <row r="4766">
      <c r="A4766" s="7" t="inlineStr">
        <is>
          <t>EXD55</t>
        </is>
      </c>
      <c r="B4766" s="8" t="n">
        <v>46102.75</v>
      </c>
      <c r="C4766" s="8" t="n">
        <v>46103.25</v>
      </c>
      <c r="D4766" s="9">
        <f>(C4766-B4766)*24</f>
        <v/>
      </c>
      <c r="E4766" s="10">
        <f>IF(AND(HOUR(B4766)&gt;=6,HOUR(B4766)&lt;18),"Day Shift","Night Shift")</f>
        <v/>
      </c>
      <c r="F4766" s="11">
        <f>INT(B4766)</f>
        <v/>
      </c>
      <c r="G4766" s="11">
        <f>INT(C4766)</f>
        <v/>
      </c>
    </row>
    <row r="4767">
      <c r="A4767" s="2" t="inlineStr">
        <is>
          <t>EXD55</t>
        </is>
      </c>
      <c r="B4767" s="3" t="n">
        <v>46103.25</v>
      </c>
      <c r="C4767" s="3" t="n">
        <v>46103.75</v>
      </c>
      <c r="D4767" s="4">
        <f>(C4767-B4767)*24</f>
        <v/>
      </c>
      <c r="E4767" s="5">
        <f>IF(AND(HOUR(B4767)&gt;=6,HOUR(B4767)&lt;18),"Day Shift","Night Shift")</f>
        <v/>
      </c>
      <c r="F4767" s="6">
        <f>INT(B4767)</f>
        <v/>
      </c>
      <c r="G4767" s="6">
        <f>INT(C4767)</f>
        <v/>
      </c>
    </row>
    <row r="4768">
      <c r="A4768" s="7" t="inlineStr">
        <is>
          <t>EXD55</t>
        </is>
      </c>
      <c r="B4768" s="8" t="n">
        <v>46103.75</v>
      </c>
      <c r="C4768" s="8" t="n">
        <v>46104.25</v>
      </c>
      <c r="D4768" s="9">
        <f>(C4768-B4768)*24</f>
        <v/>
      </c>
      <c r="E4768" s="10">
        <f>IF(AND(HOUR(B4768)&gt;=6,HOUR(B4768)&lt;18),"Day Shift","Night Shift")</f>
        <v/>
      </c>
      <c r="F4768" s="11">
        <f>INT(B4768)</f>
        <v/>
      </c>
      <c r="G4768" s="11">
        <f>INT(C4768)</f>
        <v/>
      </c>
    </row>
    <row r="4769">
      <c r="A4769" s="2" t="inlineStr">
        <is>
          <t>EXD55</t>
        </is>
      </c>
      <c r="B4769" s="3" t="n">
        <v>46104.25</v>
      </c>
      <c r="C4769" s="3" t="n">
        <v>46104.75</v>
      </c>
      <c r="D4769" s="4">
        <f>(C4769-B4769)*24</f>
        <v/>
      </c>
      <c r="E4769" s="5">
        <f>IF(AND(HOUR(B4769)&gt;=6,HOUR(B4769)&lt;18),"Day Shift","Night Shift")</f>
        <v/>
      </c>
      <c r="F4769" s="6">
        <f>INT(B4769)</f>
        <v/>
      </c>
      <c r="G4769" s="6">
        <f>INT(C4769)</f>
        <v/>
      </c>
    </row>
    <row r="4770">
      <c r="A4770" s="7" t="inlineStr">
        <is>
          <t>EXD55</t>
        </is>
      </c>
      <c r="B4770" s="8" t="n">
        <v>46104.75</v>
      </c>
      <c r="C4770" s="8" t="n">
        <v>46105.25</v>
      </c>
      <c r="D4770" s="9">
        <f>(C4770-B4770)*24</f>
        <v/>
      </c>
      <c r="E4770" s="10">
        <f>IF(AND(HOUR(B4770)&gt;=6,HOUR(B4770)&lt;18),"Day Shift","Night Shift")</f>
        <v/>
      </c>
      <c r="F4770" s="11">
        <f>INT(B4770)</f>
        <v/>
      </c>
      <c r="G4770" s="11">
        <f>INT(C4770)</f>
        <v/>
      </c>
    </row>
    <row r="4771">
      <c r="A4771" s="2" t="inlineStr">
        <is>
          <t>EXD55</t>
        </is>
      </c>
      <c r="B4771" s="3" t="n">
        <v>46105.25</v>
      </c>
      <c r="C4771" s="3" t="n">
        <v>46105.47783564815</v>
      </c>
      <c r="D4771" s="4">
        <f>(C4771-B4771)*24</f>
        <v/>
      </c>
      <c r="E4771" s="5">
        <f>IF(AND(HOUR(B4771)&gt;=6,HOUR(B4771)&lt;18),"Day Shift","Night Shift")</f>
        <v/>
      </c>
      <c r="F4771" s="6">
        <f>INT(B4771)</f>
        <v/>
      </c>
      <c r="G4771" s="6">
        <f>INT(C4771)</f>
        <v/>
      </c>
    </row>
    <row r="4772">
      <c r="A4772" s="2" t="inlineStr">
        <is>
          <t>EDD175;EDD1932;EDD812;EDD2134</t>
        </is>
      </c>
      <c r="B4772" s="3" t="n">
        <v>46102.63348379629</v>
      </c>
      <c r="C4772" s="3" t="n">
        <v>46102.75</v>
      </c>
      <c r="D4772" s="4">
        <f>(C4772-B4772)*24</f>
        <v/>
      </c>
      <c r="E4772" s="5">
        <f>IF(AND(HOUR(B4772)&gt;=6,HOUR(B4772)&lt;18),"Day Shift","Night Shift")</f>
        <v/>
      </c>
      <c r="F4772" s="6">
        <f>INT(B4772)</f>
        <v/>
      </c>
      <c r="G4772" s="6">
        <f>INT(C4772)</f>
        <v/>
      </c>
    </row>
    <row r="4773">
      <c r="A4773" s="7" t="inlineStr">
        <is>
          <t>EDD175;EDD1932;EDD812;EDD2134</t>
        </is>
      </c>
      <c r="B4773" s="8" t="n">
        <v>46102.75</v>
      </c>
      <c r="C4773" s="8" t="n">
        <v>46102.83844907407</v>
      </c>
      <c r="D4773" s="9">
        <f>(C4773-B4773)*24</f>
        <v/>
      </c>
      <c r="E4773" s="10">
        <f>IF(AND(HOUR(B4773)&gt;=6,HOUR(B4773)&lt;18),"Day Shift","Night Shift")</f>
        <v/>
      </c>
      <c r="F4773" s="11">
        <f>INT(B4773)</f>
        <v/>
      </c>
      <c r="G4773" s="11">
        <f>INT(C4773)</f>
        <v/>
      </c>
    </row>
    <row r="4774">
      <c r="A4774" s="2" t="inlineStr">
        <is>
          <t>EXD51</t>
        </is>
      </c>
      <c r="B4774" s="3" t="n">
        <v>46102.6802662037</v>
      </c>
      <c r="C4774" s="3" t="n">
        <v>46102.75</v>
      </c>
      <c r="D4774" s="4">
        <f>(C4774-B4774)*24</f>
        <v/>
      </c>
      <c r="E4774" s="5">
        <f>IF(AND(HOUR(B4774)&gt;=6,HOUR(B4774)&lt;18),"Day Shift","Night Shift")</f>
        <v/>
      </c>
      <c r="F4774" s="6">
        <f>INT(B4774)</f>
        <v/>
      </c>
      <c r="G4774" s="6">
        <f>INT(C4774)</f>
        <v/>
      </c>
    </row>
    <row r="4775">
      <c r="A4775" s="7" t="inlineStr">
        <is>
          <t>EXD51</t>
        </is>
      </c>
      <c r="B4775" s="8" t="n">
        <v>46102.75</v>
      </c>
      <c r="C4775" s="8" t="n">
        <v>46103.21613425926</v>
      </c>
      <c r="D4775" s="9">
        <f>(C4775-B4775)*24</f>
        <v/>
      </c>
      <c r="E4775" s="10">
        <f>IF(AND(HOUR(B4775)&gt;=6,HOUR(B4775)&lt;18),"Day Shift","Night Shift")</f>
        <v/>
      </c>
      <c r="F4775" s="11">
        <f>INT(B4775)</f>
        <v/>
      </c>
      <c r="G4775" s="11">
        <f>INT(C4775)</f>
        <v/>
      </c>
    </row>
    <row r="4776">
      <c r="A4776" s="2" t="inlineStr">
        <is>
          <t>EXD100</t>
        </is>
      </c>
      <c r="B4776" s="3" t="n">
        <v>46102.68240740741</v>
      </c>
      <c r="C4776" s="3" t="n">
        <v>46102.75</v>
      </c>
      <c r="D4776" s="4">
        <f>(C4776-B4776)*24</f>
        <v/>
      </c>
      <c r="E4776" s="5">
        <f>IF(AND(HOUR(B4776)&gt;=6,HOUR(B4776)&lt;18),"Day Shift","Night Shift")</f>
        <v/>
      </c>
      <c r="F4776" s="6">
        <f>INT(B4776)</f>
        <v/>
      </c>
      <c r="G4776" s="6">
        <f>INT(C4776)</f>
        <v/>
      </c>
    </row>
    <row r="4777">
      <c r="A4777" s="7" t="inlineStr">
        <is>
          <t>EXD100</t>
        </is>
      </c>
      <c r="B4777" s="8" t="n">
        <v>46102.75</v>
      </c>
      <c r="C4777" s="8" t="n">
        <v>46103.25</v>
      </c>
      <c r="D4777" s="9">
        <f>(C4777-B4777)*24</f>
        <v/>
      </c>
      <c r="E4777" s="10">
        <f>IF(AND(HOUR(B4777)&gt;=6,HOUR(B4777)&lt;18),"Day Shift","Night Shift")</f>
        <v/>
      </c>
      <c r="F4777" s="11">
        <f>INT(B4777)</f>
        <v/>
      </c>
      <c r="G4777" s="11">
        <f>INT(C4777)</f>
        <v/>
      </c>
    </row>
    <row r="4778">
      <c r="A4778" s="2" t="inlineStr">
        <is>
          <t>EXD100</t>
        </is>
      </c>
      <c r="B4778" s="3" t="n">
        <v>46103.25</v>
      </c>
      <c r="C4778" s="3" t="n">
        <v>46103.75</v>
      </c>
      <c r="D4778" s="4">
        <f>(C4778-B4778)*24</f>
        <v/>
      </c>
      <c r="E4778" s="5">
        <f>IF(AND(HOUR(B4778)&gt;=6,HOUR(B4778)&lt;18),"Day Shift","Night Shift")</f>
        <v/>
      </c>
      <c r="F4778" s="6">
        <f>INT(B4778)</f>
        <v/>
      </c>
      <c r="G4778" s="6">
        <f>INT(C4778)</f>
        <v/>
      </c>
    </row>
    <row r="4779">
      <c r="A4779" s="7" t="inlineStr">
        <is>
          <t>EXD100</t>
        </is>
      </c>
      <c r="B4779" s="8" t="n">
        <v>46103.75</v>
      </c>
      <c r="C4779" s="8" t="n">
        <v>46103.91453703704</v>
      </c>
      <c r="D4779" s="9">
        <f>(C4779-B4779)*24</f>
        <v/>
      </c>
      <c r="E4779" s="10">
        <f>IF(AND(HOUR(B4779)&gt;=6,HOUR(B4779)&lt;18),"Day Shift","Night Shift")</f>
        <v/>
      </c>
      <c r="F4779" s="11">
        <f>INT(B4779)</f>
        <v/>
      </c>
      <c r="G4779" s="11">
        <f>INT(C4779)</f>
        <v/>
      </c>
    </row>
    <row r="4780">
      <c r="A4780" s="2" t="inlineStr">
        <is>
          <t>EXD407</t>
        </is>
      </c>
      <c r="B4780" s="3" t="n">
        <v>46102.74711805556</v>
      </c>
      <c r="C4780" s="3" t="n">
        <v>46102.75</v>
      </c>
      <c r="D4780" s="4">
        <f>(C4780-B4780)*24</f>
        <v/>
      </c>
      <c r="E4780" s="5">
        <f>IF(AND(HOUR(B4780)&gt;=6,HOUR(B4780)&lt;18),"Day Shift","Night Shift")</f>
        <v/>
      </c>
      <c r="F4780" s="6">
        <f>INT(B4780)</f>
        <v/>
      </c>
      <c r="G4780" s="6">
        <f>INT(C4780)</f>
        <v/>
      </c>
    </row>
    <row r="4781">
      <c r="A4781" s="7" t="inlineStr">
        <is>
          <t>EXD407</t>
        </is>
      </c>
      <c r="B4781" s="8" t="n">
        <v>46102.75</v>
      </c>
      <c r="C4781" s="8" t="n">
        <v>46103.25</v>
      </c>
      <c r="D4781" s="9">
        <f>(C4781-B4781)*24</f>
        <v/>
      </c>
      <c r="E4781" s="10">
        <f>IF(AND(HOUR(B4781)&gt;=6,HOUR(B4781)&lt;18),"Day Shift","Night Shift")</f>
        <v/>
      </c>
      <c r="F4781" s="11">
        <f>INT(B4781)</f>
        <v/>
      </c>
      <c r="G4781" s="11">
        <f>INT(C4781)</f>
        <v/>
      </c>
    </row>
    <row r="4782">
      <c r="A4782" s="2" t="inlineStr">
        <is>
          <t>EXD407</t>
        </is>
      </c>
      <c r="B4782" s="3" t="n">
        <v>46103.25</v>
      </c>
      <c r="C4782" s="3" t="n">
        <v>46103.75</v>
      </c>
      <c r="D4782" s="4">
        <f>(C4782-B4782)*24</f>
        <v/>
      </c>
      <c r="E4782" s="5">
        <f>IF(AND(HOUR(B4782)&gt;=6,HOUR(B4782)&lt;18),"Day Shift","Night Shift")</f>
        <v/>
      </c>
      <c r="F4782" s="6">
        <f>INT(B4782)</f>
        <v/>
      </c>
      <c r="G4782" s="6">
        <f>INT(C4782)</f>
        <v/>
      </c>
    </row>
    <row r="4783">
      <c r="A4783" s="7" t="inlineStr">
        <is>
          <t>EXD407</t>
        </is>
      </c>
      <c r="B4783" s="8" t="n">
        <v>46103.75</v>
      </c>
      <c r="C4783" s="8" t="n">
        <v>46104.19104166667</v>
      </c>
      <c r="D4783" s="9">
        <f>(C4783-B4783)*24</f>
        <v/>
      </c>
      <c r="E4783" s="10">
        <f>IF(AND(HOUR(B4783)&gt;=6,HOUR(B4783)&lt;18),"Day Shift","Night Shift")</f>
        <v/>
      </c>
      <c r="F4783" s="11">
        <f>INT(B4783)</f>
        <v/>
      </c>
      <c r="G4783" s="11">
        <f>INT(C4783)</f>
        <v/>
      </c>
    </row>
    <row r="4784">
      <c r="A4784" s="7" t="inlineStr">
        <is>
          <t>EXD73</t>
        </is>
      </c>
      <c r="B4784" s="8" t="n">
        <v>46102.75185185186</v>
      </c>
      <c r="C4784" s="8" t="n">
        <v>46103.25</v>
      </c>
      <c r="D4784" s="9">
        <f>(C4784-B4784)*24</f>
        <v/>
      </c>
      <c r="E4784" s="10">
        <f>IF(AND(HOUR(B4784)&gt;=6,HOUR(B4784)&lt;18),"Day Shift","Night Shift")</f>
        <v/>
      </c>
      <c r="F4784" s="11">
        <f>INT(B4784)</f>
        <v/>
      </c>
      <c r="G4784" s="11">
        <f>INT(C4784)</f>
        <v/>
      </c>
    </row>
    <row r="4785">
      <c r="A4785" s="2" t="inlineStr">
        <is>
          <t>EXD73</t>
        </is>
      </c>
      <c r="B4785" s="3" t="n">
        <v>46103.25</v>
      </c>
      <c r="C4785" s="3" t="n">
        <v>46103.29201388889</v>
      </c>
      <c r="D4785" s="4">
        <f>(C4785-B4785)*24</f>
        <v/>
      </c>
      <c r="E4785" s="5">
        <f>IF(AND(HOUR(B4785)&gt;=6,HOUR(B4785)&lt;18),"Day Shift","Night Shift")</f>
        <v/>
      </c>
      <c r="F4785" s="6">
        <f>INT(B4785)</f>
        <v/>
      </c>
      <c r="G4785" s="6">
        <f>INT(C4785)</f>
        <v/>
      </c>
    </row>
    <row r="4786">
      <c r="A4786" s="7" t="inlineStr">
        <is>
          <t>DRE08</t>
        </is>
      </c>
      <c r="B4786" s="8" t="n">
        <v>46102.81232638889</v>
      </c>
      <c r="C4786" s="8" t="n">
        <v>46103.25</v>
      </c>
      <c r="D4786" s="9">
        <f>(C4786-B4786)*24</f>
        <v/>
      </c>
      <c r="E4786" s="10">
        <f>IF(AND(HOUR(B4786)&gt;=6,HOUR(B4786)&lt;18),"Day Shift","Night Shift")</f>
        <v/>
      </c>
      <c r="F4786" s="11">
        <f>INT(B4786)</f>
        <v/>
      </c>
      <c r="G4786" s="11">
        <f>INT(C4786)</f>
        <v/>
      </c>
    </row>
    <row r="4787">
      <c r="A4787" s="2" t="inlineStr">
        <is>
          <t>DRE08</t>
        </is>
      </c>
      <c r="B4787" s="3" t="n">
        <v>46103.25</v>
      </c>
      <c r="C4787" s="3" t="n">
        <v>46103.75</v>
      </c>
      <c r="D4787" s="4">
        <f>(C4787-B4787)*24</f>
        <v/>
      </c>
      <c r="E4787" s="5">
        <f>IF(AND(HOUR(B4787)&gt;=6,HOUR(B4787)&lt;18),"Day Shift","Night Shift")</f>
        <v/>
      </c>
      <c r="F4787" s="6">
        <f>INT(B4787)</f>
        <v/>
      </c>
      <c r="G4787" s="6">
        <f>INT(C4787)</f>
        <v/>
      </c>
    </row>
    <row r="4788">
      <c r="A4788" s="7" t="inlineStr">
        <is>
          <t>DRE08</t>
        </is>
      </c>
      <c r="B4788" s="8" t="n">
        <v>46103.75</v>
      </c>
      <c r="C4788" s="8" t="n">
        <v>46104.25</v>
      </c>
      <c r="D4788" s="9">
        <f>(C4788-B4788)*24</f>
        <v/>
      </c>
      <c r="E4788" s="10">
        <f>IF(AND(HOUR(B4788)&gt;=6,HOUR(B4788)&lt;18),"Day Shift","Night Shift")</f>
        <v/>
      </c>
      <c r="F4788" s="11">
        <f>INT(B4788)</f>
        <v/>
      </c>
      <c r="G4788" s="11">
        <f>INT(C4788)</f>
        <v/>
      </c>
    </row>
    <row r="4789">
      <c r="A4789" s="2" t="inlineStr">
        <is>
          <t>DRE08</t>
        </is>
      </c>
      <c r="B4789" s="3" t="n">
        <v>46104.25</v>
      </c>
      <c r="C4789" s="3" t="n">
        <v>46104.31059027778</v>
      </c>
      <c r="D4789" s="4">
        <f>(C4789-B4789)*24</f>
        <v/>
      </c>
      <c r="E4789" s="5">
        <f>IF(AND(HOUR(B4789)&gt;=6,HOUR(B4789)&lt;18),"Day Shift","Night Shift")</f>
        <v/>
      </c>
      <c r="F4789" s="6">
        <f>INT(B4789)</f>
        <v/>
      </c>
      <c r="G4789" s="6">
        <f>INT(C4789)</f>
        <v/>
      </c>
    </row>
    <row r="4790">
      <c r="A4790" s="7" t="inlineStr">
        <is>
          <t>EDD175;EDD1932;EDD2134;EDD812</t>
        </is>
      </c>
      <c r="B4790" s="8" t="n">
        <v>46102.83844907407</v>
      </c>
      <c r="C4790" s="8" t="n">
        <v>46103.01501157408</v>
      </c>
      <c r="D4790" s="9">
        <f>(C4790-B4790)*24</f>
        <v/>
      </c>
      <c r="E4790" s="10">
        <f>IF(AND(HOUR(B4790)&gt;=6,HOUR(B4790)&lt;18),"Day Shift","Night Shift")</f>
        <v/>
      </c>
      <c r="F4790" s="11">
        <f>INT(B4790)</f>
        <v/>
      </c>
      <c r="G4790" s="11">
        <f>INT(C4790)</f>
        <v/>
      </c>
    </row>
    <row r="4791">
      <c r="A4791" s="7" t="inlineStr">
        <is>
          <t>DRE12</t>
        </is>
      </c>
      <c r="B4791" s="8" t="n">
        <v>46102.88178240741</v>
      </c>
      <c r="C4791" s="8" t="n">
        <v>46103.25</v>
      </c>
      <c r="D4791" s="9">
        <f>(C4791-B4791)*24</f>
        <v/>
      </c>
      <c r="E4791" s="10">
        <f>IF(AND(HOUR(B4791)&gt;=6,HOUR(B4791)&lt;18),"Day Shift","Night Shift")</f>
        <v/>
      </c>
      <c r="F4791" s="11">
        <f>INT(B4791)</f>
        <v/>
      </c>
      <c r="G4791" s="11">
        <f>INT(C4791)</f>
        <v/>
      </c>
    </row>
    <row r="4792">
      <c r="A4792" s="2" t="inlineStr">
        <is>
          <t>DRE12</t>
        </is>
      </c>
      <c r="B4792" s="3" t="n">
        <v>46103.25</v>
      </c>
      <c r="C4792" s="3" t="n">
        <v>46103.75</v>
      </c>
      <c r="D4792" s="4">
        <f>(C4792-B4792)*24</f>
        <v/>
      </c>
      <c r="E4792" s="5">
        <f>IF(AND(HOUR(B4792)&gt;=6,HOUR(B4792)&lt;18),"Day Shift","Night Shift")</f>
        <v/>
      </c>
      <c r="F4792" s="6">
        <f>INT(B4792)</f>
        <v/>
      </c>
      <c r="G4792" s="6">
        <f>INT(C4792)</f>
        <v/>
      </c>
    </row>
    <row r="4793">
      <c r="A4793" s="7" t="inlineStr">
        <is>
          <t>DRE12</t>
        </is>
      </c>
      <c r="B4793" s="8" t="n">
        <v>46103.75</v>
      </c>
      <c r="C4793" s="8" t="n">
        <v>46103.87153935185</v>
      </c>
      <c r="D4793" s="9">
        <f>(C4793-B4793)*24</f>
        <v/>
      </c>
      <c r="E4793" s="10">
        <f>IF(AND(HOUR(B4793)&gt;=6,HOUR(B4793)&lt;18),"Day Shift","Night Shift")</f>
        <v/>
      </c>
      <c r="F4793" s="11">
        <f>INT(B4793)</f>
        <v/>
      </c>
      <c r="G4793" s="11">
        <f>INT(C4793)</f>
        <v/>
      </c>
    </row>
    <row r="4794">
      <c r="A4794" s="7" t="inlineStr">
        <is>
          <t>SHE36</t>
        </is>
      </c>
      <c r="B4794" s="8" t="n">
        <v>46102.89546296297</v>
      </c>
      <c r="C4794" s="8" t="n">
        <v>46103.25</v>
      </c>
      <c r="D4794" s="9">
        <f>(C4794-B4794)*24</f>
        <v/>
      </c>
      <c r="E4794" s="10">
        <f>IF(AND(HOUR(B4794)&gt;=6,HOUR(B4794)&lt;18),"Day Shift","Night Shift")</f>
        <v/>
      </c>
      <c r="F4794" s="11">
        <f>INT(B4794)</f>
        <v/>
      </c>
      <c r="G4794" s="11">
        <f>INT(C4794)</f>
        <v/>
      </c>
    </row>
    <row r="4795">
      <c r="A4795" s="2" t="inlineStr">
        <is>
          <t>SHE36</t>
        </is>
      </c>
      <c r="B4795" s="3" t="n">
        <v>46103.25</v>
      </c>
      <c r="C4795" s="3" t="n">
        <v>46103.42090277778</v>
      </c>
      <c r="D4795" s="4">
        <f>(C4795-B4795)*24</f>
        <v/>
      </c>
      <c r="E4795" s="5">
        <f>IF(AND(HOUR(B4795)&gt;=6,HOUR(B4795)&lt;18),"Day Shift","Night Shift")</f>
        <v/>
      </c>
      <c r="F4795" s="6">
        <f>INT(B4795)</f>
        <v/>
      </c>
      <c r="G4795" s="6">
        <f>INT(C4795)</f>
        <v/>
      </c>
    </row>
    <row r="4796">
      <c r="A4796" s="7" t="inlineStr">
        <is>
          <t>EXD61</t>
        </is>
      </c>
      <c r="B4796" s="8" t="n">
        <v>46102.9194212963</v>
      </c>
      <c r="C4796" s="8" t="n">
        <v>46103.25</v>
      </c>
      <c r="D4796" s="9">
        <f>(C4796-B4796)*24</f>
        <v/>
      </c>
      <c r="E4796" s="10">
        <f>IF(AND(HOUR(B4796)&gt;=6,HOUR(B4796)&lt;18),"Day Shift","Night Shift")</f>
        <v/>
      </c>
      <c r="F4796" s="11">
        <f>INT(B4796)</f>
        <v/>
      </c>
      <c r="G4796" s="11">
        <f>INT(C4796)</f>
        <v/>
      </c>
    </row>
    <row r="4797">
      <c r="A4797" s="2" t="inlineStr">
        <is>
          <t>EXD61</t>
        </is>
      </c>
      <c r="B4797" s="3" t="n">
        <v>46103.25</v>
      </c>
      <c r="C4797" s="3" t="n">
        <v>46103.75</v>
      </c>
      <c r="D4797" s="4">
        <f>(C4797-B4797)*24</f>
        <v/>
      </c>
      <c r="E4797" s="5">
        <f>IF(AND(HOUR(B4797)&gt;=6,HOUR(B4797)&lt;18),"Day Shift","Night Shift")</f>
        <v/>
      </c>
      <c r="F4797" s="6">
        <f>INT(B4797)</f>
        <v/>
      </c>
      <c r="G4797" s="6">
        <f>INT(C4797)</f>
        <v/>
      </c>
    </row>
    <row r="4798">
      <c r="A4798" s="7" t="inlineStr">
        <is>
          <t>EXD61</t>
        </is>
      </c>
      <c r="B4798" s="8" t="n">
        <v>46103.75</v>
      </c>
      <c r="C4798" s="8" t="n">
        <v>46104.25</v>
      </c>
      <c r="D4798" s="9">
        <f>(C4798-B4798)*24</f>
        <v/>
      </c>
      <c r="E4798" s="10">
        <f>IF(AND(HOUR(B4798)&gt;=6,HOUR(B4798)&lt;18),"Day Shift","Night Shift")</f>
        <v/>
      </c>
      <c r="F4798" s="11">
        <f>INT(B4798)</f>
        <v/>
      </c>
      <c r="G4798" s="11">
        <f>INT(C4798)</f>
        <v/>
      </c>
    </row>
    <row r="4799">
      <c r="A4799" s="2" t="inlineStr">
        <is>
          <t>EXD61</t>
        </is>
      </c>
      <c r="B4799" s="3" t="n">
        <v>46104.25</v>
      </c>
      <c r="C4799" s="3" t="n">
        <v>46104.75</v>
      </c>
      <c r="D4799" s="4">
        <f>(C4799-B4799)*24</f>
        <v/>
      </c>
      <c r="E4799" s="5">
        <f>IF(AND(HOUR(B4799)&gt;=6,HOUR(B4799)&lt;18),"Day Shift","Night Shift")</f>
        <v/>
      </c>
      <c r="F4799" s="6">
        <f>INT(B4799)</f>
        <v/>
      </c>
      <c r="G4799" s="6">
        <f>INT(C4799)</f>
        <v/>
      </c>
    </row>
    <row r="4800">
      <c r="A4800" s="7" t="inlineStr">
        <is>
          <t>EXD61</t>
        </is>
      </c>
      <c r="B4800" s="8" t="n">
        <v>46104.75</v>
      </c>
      <c r="C4800" s="8" t="n">
        <v>46105.25</v>
      </c>
      <c r="D4800" s="9">
        <f>(C4800-B4800)*24</f>
        <v/>
      </c>
      <c r="E4800" s="10">
        <f>IF(AND(HOUR(B4800)&gt;=6,HOUR(B4800)&lt;18),"Day Shift","Night Shift")</f>
        <v/>
      </c>
      <c r="F4800" s="11">
        <f>INT(B4800)</f>
        <v/>
      </c>
      <c r="G4800" s="11">
        <f>INT(C4800)</f>
        <v/>
      </c>
    </row>
    <row r="4801">
      <c r="A4801" s="2" t="inlineStr">
        <is>
          <t>EXD61</t>
        </is>
      </c>
      <c r="B4801" s="3" t="n">
        <v>46105.25</v>
      </c>
      <c r="C4801" s="3" t="n">
        <v>46105.75</v>
      </c>
      <c r="D4801" s="4">
        <f>(C4801-B4801)*24</f>
        <v/>
      </c>
      <c r="E4801" s="5">
        <f>IF(AND(HOUR(B4801)&gt;=6,HOUR(B4801)&lt;18),"Day Shift","Night Shift")</f>
        <v/>
      </c>
      <c r="F4801" s="6">
        <f>INT(B4801)</f>
        <v/>
      </c>
      <c r="G4801" s="6">
        <f>INT(C4801)</f>
        <v/>
      </c>
    </row>
    <row r="4802">
      <c r="A4802" s="7" t="inlineStr">
        <is>
          <t>EXD61</t>
        </is>
      </c>
      <c r="B4802" s="8" t="n">
        <v>46105.75</v>
      </c>
      <c r="C4802" s="8" t="n">
        <v>46106.1672337963</v>
      </c>
      <c r="D4802" s="9">
        <f>(C4802-B4802)*24</f>
        <v/>
      </c>
      <c r="E4802" s="10">
        <f>IF(AND(HOUR(B4802)&gt;=6,HOUR(B4802)&lt;18),"Day Shift","Night Shift")</f>
        <v/>
      </c>
      <c r="F4802" s="11">
        <f>INT(B4802)</f>
        <v/>
      </c>
      <c r="G4802" s="11">
        <f>INT(C4802)</f>
        <v/>
      </c>
    </row>
    <row r="4803">
      <c r="A4803" s="7" t="inlineStr">
        <is>
          <t>EDD175;EDD1932;EDD2134;EDD812</t>
        </is>
      </c>
      <c r="B4803" s="8" t="n">
        <v>46103.01501157408</v>
      </c>
      <c r="C4803" s="8" t="n">
        <v>46103.19452546296</v>
      </c>
      <c r="D4803" s="9">
        <f>(C4803-B4803)*24</f>
        <v/>
      </c>
      <c r="E4803" s="10">
        <f>IF(AND(HOUR(B4803)&gt;=6,HOUR(B4803)&lt;18),"Day Shift","Night Shift")</f>
        <v/>
      </c>
      <c r="F4803" s="11">
        <f>INT(B4803)</f>
        <v/>
      </c>
      <c r="G4803" s="11">
        <f>INT(C4803)</f>
        <v/>
      </c>
    </row>
    <row r="4804">
      <c r="A4804" s="7" t="inlineStr">
        <is>
          <t>Sprint 1</t>
        </is>
      </c>
      <c r="B4804" s="8" t="n">
        <v>46103.1359375</v>
      </c>
      <c r="C4804" s="8" t="n">
        <v>46103.25</v>
      </c>
      <c r="D4804" s="9">
        <f>(C4804-B4804)*24</f>
        <v/>
      </c>
      <c r="E4804" s="10">
        <f>IF(AND(HOUR(B4804)&gt;=6,HOUR(B4804)&lt;18),"Day Shift","Night Shift")</f>
        <v/>
      </c>
      <c r="F4804" s="11">
        <f>INT(B4804)</f>
        <v/>
      </c>
      <c r="G4804" s="11">
        <f>INT(C4804)</f>
        <v/>
      </c>
    </row>
    <row r="4805">
      <c r="A4805" s="2" t="inlineStr">
        <is>
          <t>Sprint 1</t>
        </is>
      </c>
      <c r="B4805" s="3" t="n">
        <v>46103.25</v>
      </c>
      <c r="C4805" s="3" t="n">
        <v>46103.75</v>
      </c>
      <c r="D4805" s="4">
        <f>(C4805-B4805)*24</f>
        <v/>
      </c>
      <c r="E4805" s="5">
        <f>IF(AND(HOUR(B4805)&gt;=6,HOUR(B4805)&lt;18),"Day Shift","Night Shift")</f>
        <v/>
      </c>
      <c r="F4805" s="6">
        <f>INT(B4805)</f>
        <v/>
      </c>
      <c r="G4805" s="6">
        <f>INT(C4805)</f>
        <v/>
      </c>
    </row>
    <row r="4806">
      <c r="A4806" s="7" t="inlineStr">
        <is>
          <t>Sprint 1</t>
        </is>
      </c>
      <c r="B4806" s="8" t="n">
        <v>46103.75</v>
      </c>
      <c r="C4806" s="8" t="n">
        <v>46103.75241898148</v>
      </c>
      <c r="D4806" s="9">
        <f>(C4806-B4806)*24</f>
        <v/>
      </c>
      <c r="E4806" s="10">
        <f>IF(AND(HOUR(B4806)&gt;=6,HOUR(B4806)&lt;18),"Day Shift","Night Shift")</f>
        <v/>
      </c>
      <c r="F4806" s="11">
        <f>INT(B4806)</f>
        <v/>
      </c>
      <c r="G4806" s="11">
        <f>INT(C4806)</f>
        <v/>
      </c>
    </row>
    <row r="4807">
      <c r="A4807" s="7" t="inlineStr">
        <is>
          <t>EXD408</t>
        </is>
      </c>
      <c r="B4807" s="8" t="n">
        <v>46103.16793981481</v>
      </c>
      <c r="C4807" s="8" t="n">
        <v>46103.25</v>
      </c>
      <c r="D4807" s="9">
        <f>(C4807-B4807)*24</f>
        <v/>
      </c>
      <c r="E4807" s="10">
        <f>IF(AND(HOUR(B4807)&gt;=6,HOUR(B4807)&lt;18),"Day Shift","Night Shift")</f>
        <v/>
      </c>
      <c r="F4807" s="11">
        <f>INT(B4807)</f>
        <v/>
      </c>
      <c r="G4807" s="11">
        <f>INT(C4807)</f>
        <v/>
      </c>
    </row>
    <row r="4808">
      <c r="A4808" s="2" t="inlineStr">
        <is>
          <t>EXD408</t>
        </is>
      </c>
      <c r="B4808" s="3" t="n">
        <v>46103.25</v>
      </c>
      <c r="C4808" s="3" t="n">
        <v>46103.75</v>
      </c>
      <c r="D4808" s="4">
        <f>(C4808-B4808)*24</f>
        <v/>
      </c>
      <c r="E4808" s="5">
        <f>IF(AND(HOUR(B4808)&gt;=6,HOUR(B4808)&lt;18),"Day Shift","Night Shift")</f>
        <v/>
      </c>
      <c r="F4808" s="6">
        <f>INT(B4808)</f>
        <v/>
      </c>
      <c r="G4808" s="6">
        <f>INT(C4808)</f>
        <v/>
      </c>
    </row>
    <row r="4809">
      <c r="A4809" s="7" t="inlineStr">
        <is>
          <t>EXD408</t>
        </is>
      </c>
      <c r="B4809" s="8" t="n">
        <v>46103.75</v>
      </c>
      <c r="C4809" s="8" t="n">
        <v>46104.25</v>
      </c>
      <c r="D4809" s="9">
        <f>(C4809-B4809)*24</f>
        <v/>
      </c>
      <c r="E4809" s="10">
        <f>IF(AND(HOUR(B4809)&gt;=6,HOUR(B4809)&lt;18),"Day Shift","Night Shift")</f>
        <v/>
      </c>
      <c r="F4809" s="11">
        <f>INT(B4809)</f>
        <v/>
      </c>
      <c r="G4809" s="11">
        <f>INT(C4809)</f>
        <v/>
      </c>
    </row>
    <row r="4810">
      <c r="A4810" s="2" t="inlineStr">
        <is>
          <t>EXD408</t>
        </is>
      </c>
      <c r="B4810" s="3" t="n">
        <v>46104.25</v>
      </c>
      <c r="C4810" s="3" t="n">
        <v>46104.60622685185</v>
      </c>
      <c r="D4810" s="4">
        <f>(C4810-B4810)*24</f>
        <v/>
      </c>
      <c r="E4810" s="5">
        <f>IF(AND(HOUR(B4810)&gt;=6,HOUR(B4810)&lt;18),"Day Shift","Night Shift")</f>
        <v/>
      </c>
      <c r="F4810" s="6">
        <f>INT(B4810)</f>
        <v/>
      </c>
      <c r="G4810" s="6">
        <f>INT(C4810)</f>
        <v/>
      </c>
    </row>
    <row r="4811">
      <c r="A4811" s="7" t="inlineStr">
        <is>
          <t>EDD175;EDD1932;EDD2134;EDD812</t>
        </is>
      </c>
      <c r="B4811" s="8" t="n">
        <v>46103.19452546296</v>
      </c>
      <c r="C4811" s="8" t="n">
        <v>46103.25</v>
      </c>
      <c r="D4811" s="9">
        <f>(C4811-B4811)*24</f>
        <v/>
      </c>
      <c r="E4811" s="10">
        <f>IF(AND(HOUR(B4811)&gt;=6,HOUR(B4811)&lt;18),"Day Shift","Night Shift")</f>
        <v/>
      </c>
      <c r="F4811" s="11">
        <f>INT(B4811)</f>
        <v/>
      </c>
      <c r="G4811" s="11">
        <f>INT(C4811)</f>
        <v/>
      </c>
    </row>
    <row r="4812">
      <c r="A4812" s="2" t="inlineStr">
        <is>
          <t>EDD175;EDD1932;EDD2134;EDD812</t>
        </is>
      </c>
      <c r="B4812" s="3" t="n">
        <v>46103.25</v>
      </c>
      <c r="C4812" s="3" t="n">
        <v>46103.50059027778</v>
      </c>
      <c r="D4812" s="4">
        <f>(C4812-B4812)*24</f>
        <v/>
      </c>
      <c r="E4812" s="5">
        <f>IF(AND(HOUR(B4812)&gt;=6,HOUR(B4812)&lt;18),"Day Shift","Night Shift")</f>
        <v/>
      </c>
      <c r="F4812" s="6">
        <f>INT(B4812)</f>
        <v/>
      </c>
      <c r="G4812" s="6">
        <f>INT(C4812)</f>
        <v/>
      </c>
    </row>
    <row r="4813">
      <c r="A4813" s="7" t="inlineStr">
        <is>
          <t>EXD51</t>
        </is>
      </c>
      <c r="B4813" s="8" t="n">
        <v>46103.21613425926</v>
      </c>
      <c r="C4813" s="8" t="n">
        <v>46103.25</v>
      </c>
      <c r="D4813" s="9">
        <f>(C4813-B4813)*24</f>
        <v/>
      </c>
      <c r="E4813" s="10">
        <f>IF(AND(HOUR(B4813)&gt;=6,HOUR(B4813)&lt;18),"Day Shift","Night Shift")</f>
        <v/>
      </c>
      <c r="F4813" s="11">
        <f>INT(B4813)</f>
        <v/>
      </c>
      <c r="G4813" s="11">
        <f>INT(C4813)</f>
        <v/>
      </c>
    </row>
    <row r="4814">
      <c r="A4814" s="2" t="inlineStr">
        <is>
          <t>EXD51</t>
        </is>
      </c>
      <c r="B4814" s="3" t="n">
        <v>46103.25</v>
      </c>
      <c r="C4814" s="3" t="n">
        <v>46103.72375</v>
      </c>
      <c r="D4814" s="4">
        <f>(C4814-B4814)*24</f>
        <v/>
      </c>
      <c r="E4814" s="5">
        <f>IF(AND(HOUR(B4814)&gt;=6,HOUR(B4814)&lt;18),"Day Shift","Night Shift")</f>
        <v/>
      </c>
      <c r="F4814" s="6">
        <f>INT(B4814)</f>
        <v/>
      </c>
      <c r="G4814" s="6">
        <f>INT(C4814)</f>
        <v/>
      </c>
    </row>
    <row r="4815">
      <c r="A4815" s="2" t="inlineStr">
        <is>
          <t>EXD73</t>
        </is>
      </c>
      <c r="B4815" s="3" t="n">
        <v>46103.29201388889</v>
      </c>
      <c r="C4815" s="3" t="n">
        <v>46103.70549768519</v>
      </c>
      <c r="D4815" s="4">
        <f>(C4815-B4815)*24</f>
        <v/>
      </c>
      <c r="E4815" s="5">
        <f>IF(AND(HOUR(B4815)&gt;=6,HOUR(B4815)&lt;18),"Day Shift","Night Shift")</f>
        <v/>
      </c>
      <c r="F4815" s="6">
        <f>INT(B4815)</f>
        <v/>
      </c>
      <c r="G4815" s="6">
        <f>INT(C4815)</f>
        <v/>
      </c>
    </row>
    <row r="4816">
      <c r="A4816" s="2" t="inlineStr">
        <is>
          <t>EXD52</t>
        </is>
      </c>
      <c r="B4816" s="3" t="n">
        <v>46103.33252314815</v>
      </c>
      <c r="C4816" s="3" t="n">
        <v>46103.75</v>
      </c>
      <c r="D4816" s="4">
        <f>(C4816-B4816)*24</f>
        <v/>
      </c>
      <c r="E4816" s="5">
        <f>IF(AND(HOUR(B4816)&gt;=6,HOUR(B4816)&lt;18),"Day Shift","Night Shift")</f>
        <v/>
      </c>
      <c r="F4816" s="6">
        <f>INT(B4816)</f>
        <v/>
      </c>
      <c r="G4816" s="6">
        <f>INT(C4816)</f>
        <v/>
      </c>
    </row>
    <row r="4817">
      <c r="A4817" s="7" t="inlineStr">
        <is>
          <t>EXD52</t>
        </is>
      </c>
      <c r="B4817" s="8" t="n">
        <v>46103.75</v>
      </c>
      <c r="C4817" s="8" t="n">
        <v>46104.21150462963</v>
      </c>
      <c r="D4817" s="9">
        <f>(C4817-B4817)*24</f>
        <v/>
      </c>
      <c r="E4817" s="10">
        <f>IF(AND(HOUR(B4817)&gt;=6,HOUR(B4817)&lt;18),"Day Shift","Night Shift")</f>
        <v/>
      </c>
      <c r="F4817" s="11">
        <f>INT(B4817)</f>
        <v/>
      </c>
      <c r="G4817" s="11">
        <f>INT(C4817)</f>
        <v/>
      </c>
    </row>
    <row r="4818">
      <c r="A4818" s="2" t="inlineStr">
        <is>
          <t>EXD98</t>
        </is>
      </c>
      <c r="B4818" s="3" t="n">
        <v>46103.36918981482</v>
      </c>
      <c r="C4818" s="3" t="n">
        <v>46103.75</v>
      </c>
      <c r="D4818" s="4">
        <f>(C4818-B4818)*24</f>
        <v/>
      </c>
      <c r="E4818" s="5">
        <f>IF(AND(HOUR(B4818)&gt;=6,HOUR(B4818)&lt;18),"Day Shift","Night Shift")</f>
        <v/>
      </c>
      <c r="F4818" s="6">
        <f>INT(B4818)</f>
        <v/>
      </c>
      <c r="G4818" s="6">
        <f>INT(C4818)</f>
        <v/>
      </c>
    </row>
    <row r="4819">
      <c r="A4819" s="7" t="inlineStr">
        <is>
          <t>EXD98</t>
        </is>
      </c>
      <c r="B4819" s="8" t="n">
        <v>46103.75</v>
      </c>
      <c r="C4819" s="8" t="n">
        <v>46104.25</v>
      </c>
      <c r="D4819" s="9">
        <f>(C4819-B4819)*24</f>
        <v/>
      </c>
      <c r="E4819" s="10">
        <f>IF(AND(HOUR(B4819)&gt;=6,HOUR(B4819)&lt;18),"Day Shift","Night Shift")</f>
        <v/>
      </c>
      <c r="F4819" s="11">
        <f>INT(B4819)</f>
        <v/>
      </c>
      <c r="G4819" s="11">
        <f>INT(C4819)</f>
        <v/>
      </c>
    </row>
    <row r="4820">
      <c r="A4820" s="2" t="inlineStr">
        <is>
          <t>EXD98</t>
        </is>
      </c>
      <c r="B4820" s="3" t="n">
        <v>46104.25</v>
      </c>
      <c r="C4820" s="3" t="n">
        <v>46104.25238425926</v>
      </c>
      <c r="D4820" s="4">
        <f>(C4820-B4820)*24</f>
        <v/>
      </c>
      <c r="E4820" s="5">
        <f>IF(AND(HOUR(B4820)&gt;=6,HOUR(B4820)&lt;18),"Day Shift","Night Shift")</f>
        <v/>
      </c>
      <c r="F4820" s="6">
        <f>INT(B4820)</f>
        <v/>
      </c>
      <c r="G4820" s="6">
        <f>INT(C4820)</f>
        <v/>
      </c>
    </row>
    <row r="4821">
      <c r="A4821" s="2" t="inlineStr">
        <is>
          <t>SHE36</t>
        </is>
      </c>
      <c r="B4821" s="3" t="n">
        <v>46103.42090277778</v>
      </c>
      <c r="C4821" s="3" t="n">
        <v>46103.67512731482</v>
      </c>
      <c r="D4821" s="4">
        <f>(C4821-B4821)*24</f>
        <v/>
      </c>
      <c r="E4821" s="5">
        <f>IF(AND(HOUR(B4821)&gt;=6,HOUR(B4821)&lt;18),"Day Shift","Night Shift")</f>
        <v/>
      </c>
      <c r="F4821" s="6">
        <f>INT(B4821)</f>
        <v/>
      </c>
      <c r="G4821" s="6">
        <f>INT(C4821)</f>
        <v/>
      </c>
    </row>
    <row r="4822">
      <c r="A4822" s="2" t="inlineStr">
        <is>
          <t>EDD175;EDD1932;EDD2134;EDD812</t>
        </is>
      </c>
      <c r="B4822" s="3" t="n">
        <v>46103.50059027778</v>
      </c>
      <c r="C4822" s="3" t="n">
        <v>46103.67675925926</v>
      </c>
      <c r="D4822" s="4">
        <f>(C4822-B4822)*24</f>
        <v/>
      </c>
      <c r="E4822" s="5">
        <f>IF(AND(HOUR(B4822)&gt;=6,HOUR(B4822)&lt;18),"Day Shift","Night Shift")</f>
        <v/>
      </c>
      <c r="F4822" s="6">
        <f>INT(B4822)</f>
        <v/>
      </c>
      <c r="G4822" s="6">
        <f>INT(C4822)</f>
        <v/>
      </c>
    </row>
    <row r="4823">
      <c r="A4823" s="2" t="inlineStr">
        <is>
          <t>EXD101</t>
        </is>
      </c>
      <c r="B4823" s="3" t="n">
        <v>46103.53555555556</v>
      </c>
      <c r="C4823" s="3" t="n">
        <v>46103.75</v>
      </c>
      <c r="D4823" s="4">
        <f>(C4823-B4823)*24</f>
        <v/>
      </c>
      <c r="E4823" s="5">
        <f>IF(AND(HOUR(B4823)&gt;=6,HOUR(B4823)&lt;18),"Day Shift","Night Shift")</f>
        <v/>
      </c>
      <c r="F4823" s="6">
        <f>INT(B4823)</f>
        <v/>
      </c>
      <c r="G4823" s="6">
        <f>INT(C4823)</f>
        <v/>
      </c>
    </row>
    <row r="4824">
      <c r="A4824" s="7" t="inlineStr">
        <is>
          <t>EXD101</t>
        </is>
      </c>
      <c r="B4824" s="8" t="n">
        <v>46103.75</v>
      </c>
      <c r="C4824" s="8" t="n">
        <v>46104.25</v>
      </c>
      <c r="D4824" s="9">
        <f>(C4824-B4824)*24</f>
        <v/>
      </c>
      <c r="E4824" s="10">
        <f>IF(AND(HOUR(B4824)&gt;=6,HOUR(B4824)&lt;18),"Day Shift","Night Shift")</f>
        <v/>
      </c>
      <c r="F4824" s="11">
        <f>INT(B4824)</f>
        <v/>
      </c>
      <c r="G4824" s="11">
        <f>INT(C4824)</f>
        <v/>
      </c>
    </row>
    <row r="4825">
      <c r="A4825" s="2" t="inlineStr">
        <is>
          <t>EXD101</t>
        </is>
      </c>
      <c r="B4825" s="3" t="n">
        <v>46104.25</v>
      </c>
      <c r="C4825" s="3" t="n">
        <v>46104.58297453704</v>
      </c>
      <c r="D4825" s="4">
        <f>(C4825-B4825)*24</f>
        <v/>
      </c>
      <c r="E4825" s="5">
        <f>IF(AND(HOUR(B4825)&gt;=6,HOUR(B4825)&lt;18),"Day Shift","Night Shift")</f>
        <v/>
      </c>
      <c r="F4825" s="6">
        <f>INT(B4825)</f>
        <v/>
      </c>
      <c r="G4825" s="6">
        <f>INT(C4825)</f>
        <v/>
      </c>
    </row>
    <row r="4826">
      <c r="A4826" s="2" t="inlineStr">
        <is>
          <t>SHE36</t>
        </is>
      </c>
      <c r="B4826" s="3" t="n">
        <v>46103.67512731482</v>
      </c>
      <c r="C4826" s="3" t="n">
        <v>46103.75</v>
      </c>
      <c r="D4826" s="4">
        <f>(C4826-B4826)*24</f>
        <v/>
      </c>
      <c r="E4826" s="5">
        <f>IF(AND(HOUR(B4826)&gt;=6,HOUR(B4826)&lt;18),"Day Shift","Night Shift")</f>
        <v/>
      </c>
      <c r="F4826" s="6">
        <f>INT(B4826)</f>
        <v/>
      </c>
      <c r="G4826" s="6">
        <f>INT(C4826)</f>
        <v/>
      </c>
    </row>
    <row r="4827">
      <c r="A4827" s="7" t="inlineStr">
        <is>
          <t>SHE36</t>
        </is>
      </c>
      <c r="B4827" s="8" t="n">
        <v>46103.75</v>
      </c>
      <c r="C4827" s="8" t="n">
        <v>46104.2227199074</v>
      </c>
      <c r="D4827" s="9">
        <f>(C4827-B4827)*24</f>
        <v/>
      </c>
      <c r="E4827" s="10">
        <f>IF(AND(HOUR(B4827)&gt;=6,HOUR(B4827)&lt;18),"Day Shift","Night Shift")</f>
        <v/>
      </c>
      <c r="F4827" s="11">
        <f>INT(B4827)</f>
        <v/>
      </c>
      <c r="G4827" s="11">
        <f>INT(C4827)</f>
        <v/>
      </c>
    </row>
    <row r="4828">
      <c r="A4828" s="2" t="inlineStr">
        <is>
          <t>EDD175;EDD1932;EDD2134;EDD812</t>
        </is>
      </c>
      <c r="B4828" s="3" t="n">
        <v>46103.67675925926</v>
      </c>
      <c r="C4828" s="3" t="n">
        <v>46103.75</v>
      </c>
      <c r="D4828" s="4">
        <f>(C4828-B4828)*24</f>
        <v/>
      </c>
      <c r="E4828" s="5">
        <f>IF(AND(HOUR(B4828)&gt;=6,HOUR(B4828)&lt;18),"Day Shift","Night Shift")</f>
        <v/>
      </c>
      <c r="F4828" s="6">
        <f>INT(B4828)</f>
        <v/>
      </c>
      <c r="G4828" s="6">
        <f>INT(C4828)</f>
        <v/>
      </c>
    </row>
    <row r="4829">
      <c r="A4829" s="7" t="inlineStr">
        <is>
          <t>EDD175;EDD1932;EDD2134;EDD812</t>
        </is>
      </c>
      <c r="B4829" s="8" t="n">
        <v>46103.75</v>
      </c>
      <c r="C4829" s="8" t="n">
        <v>46103.85546296297</v>
      </c>
      <c r="D4829" s="9">
        <f>(C4829-B4829)*24</f>
        <v/>
      </c>
      <c r="E4829" s="10">
        <f>IF(AND(HOUR(B4829)&gt;=6,HOUR(B4829)&lt;18),"Day Shift","Night Shift")</f>
        <v/>
      </c>
      <c r="F4829" s="11">
        <f>INT(B4829)</f>
        <v/>
      </c>
      <c r="G4829" s="11">
        <f>INT(C4829)</f>
        <v/>
      </c>
    </row>
    <row r="4830">
      <c r="A4830" s="7" t="inlineStr">
        <is>
          <t>Sprint 1</t>
        </is>
      </c>
      <c r="B4830" s="8" t="n">
        <v>46103.75241898148</v>
      </c>
      <c r="C4830" s="8" t="n">
        <v>46104.25</v>
      </c>
      <c r="D4830" s="9">
        <f>(C4830-B4830)*24</f>
        <v/>
      </c>
      <c r="E4830" s="10">
        <f>IF(AND(HOUR(B4830)&gt;=6,HOUR(B4830)&lt;18),"Day Shift","Night Shift")</f>
        <v/>
      </c>
      <c r="F4830" s="11">
        <f>INT(B4830)</f>
        <v/>
      </c>
      <c r="G4830" s="11">
        <f>INT(C4830)</f>
        <v/>
      </c>
    </row>
    <row r="4831">
      <c r="A4831" s="2" t="inlineStr">
        <is>
          <t>Sprint 1</t>
        </is>
      </c>
      <c r="B4831" s="3" t="n">
        <v>46104.25</v>
      </c>
      <c r="C4831" s="3" t="n">
        <v>46104.54335648148</v>
      </c>
      <c r="D4831" s="4">
        <f>(C4831-B4831)*24</f>
        <v/>
      </c>
      <c r="E4831" s="5">
        <f>IF(AND(HOUR(B4831)&gt;=6,HOUR(B4831)&lt;18),"Day Shift","Night Shift")</f>
        <v/>
      </c>
      <c r="F4831" s="6">
        <f>INT(B4831)</f>
        <v/>
      </c>
      <c r="G4831" s="6">
        <f>INT(C4831)</f>
        <v/>
      </c>
    </row>
    <row r="4832">
      <c r="A4832" s="7" t="inlineStr">
        <is>
          <t>EXD73</t>
        </is>
      </c>
      <c r="B4832" s="8" t="n">
        <v>46103.75334490741</v>
      </c>
      <c r="C4832" s="8" t="n">
        <v>46104.25</v>
      </c>
      <c r="D4832" s="9">
        <f>(C4832-B4832)*24</f>
        <v/>
      </c>
      <c r="E4832" s="10">
        <f>IF(AND(HOUR(B4832)&gt;=6,HOUR(B4832)&lt;18),"Day Shift","Night Shift")</f>
        <v/>
      </c>
      <c r="F4832" s="11">
        <f>INT(B4832)</f>
        <v/>
      </c>
      <c r="G4832" s="11">
        <f>INT(C4832)</f>
        <v/>
      </c>
    </row>
    <row r="4833">
      <c r="A4833" s="2" t="inlineStr">
        <is>
          <t>EXD73</t>
        </is>
      </c>
      <c r="B4833" s="3" t="n">
        <v>46104.25</v>
      </c>
      <c r="C4833" s="3" t="n">
        <v>46104.75</v>
      </c>
      <c r="D4833" s="4">
        <f>(C4833-B4833)*24</f>
        <v/>
      </c>
      <c r="E4833" s="5">
        <f>IF(AND(HOUR(B4833)&gt;=6,HOUR(B4833)&lt;18),"Day Shift","Night Shift")</f>
        <v/>
      </c>
      <c r="F4833" s="6">
        <f>INT(B4833)</f>
        <v/>
      </c>
      <c r="G4833" s="6">
        <f>INT(C4833)</f>
        <v/>
      </c>
    </row>
    <row r="4834">
      <c r="A4834" s="7" t="inlineStr">
        <is>
          <t>EXD73</t>
        </is>
      </c>
      <c r="B4834" s="8" t="n">
        <v>46104.75</v>
      </c>
      <c r="C4834" s="8" t="n">
        <v>46105.25</v>
      </c>
      <c r="D4834" s="9">
        <f>(C4834-B4834)*24</f>
        <v/>
      </c>
      <c r="E4834" s="10">
        <f>IF(AND(HOUR(B4834)&gt;=6,HOUR(B4834)&lt;18),"Day Shift","Night Shift")</f>
        <v/>
      </c>
      <c r="F4834" s="11">
        <f>INT(B4834)</f>
        <v/>
      </c>
      <c r="G4834" s="11">
        <f>INT(C4834)</f>
        <v/>
      </c>
    </row>
    <row r="4835">
      <c r="A4835" s="2" t="inlineStr">
        <is>
          <t>EXD73</t>
        </is>
      </c>
      <c r="B4835" s="3" t="n">
        <v>46105.25</v>
      </c>
      <c r="C4835" s="3" t="n">
        <v>46105.42991898148</v>
      </c>
      <c r="D4835" s="4">
        <f>(C4835-B4835)*24</f>
        <v/>
      </c>
      <c r="E4835" s="5">
        <f>IF(AND(HOUR(B4835)&gt;=6,HOUR(B4835)&lt;18),"Day Shift","Night Shift")</f>
        <v/>
      </c>
      <c r="F4835" s="6">
        <f>INT(B4835)</f>
        <v/>
      </c>
      <c r="G4835" s="6">
        <f>INT(C4835)</f>
        <v/>
      </c>
    </row>
    <row r="4836">
      <c r="A4836" s="7" t="inlineStr">
        <is>
          <t>EDD175;EDD1932;EDD2134;EDD812</t>
        </is>
      </c>
      <c r="B4836" s="8" t="n">
        <v>46103.85546296297</v>
      </c>
      <c r="C4836" s="8" t="n">
        <v>46104.03950231482</v>
      </c>
      <c r="D4836" s="9">
        <f>(C4836-B4836)*24</f>
        <v/>
      </c>
      <c r="E4836" s="10">
        <f>IF(AND(HOUR(B4836)&gt;=6,HOUR(B4836)&lt;18),"Day Shift","Night Shift")</f>
        <v/>
      </c>
      <c r="F4836" s="11">
        <f>INT(B4836)</f>
        <v/>
      </c>
      <c r="G4836" s="11">
        <f>INT(C4836)</f>
        <v/>
      </c>
    </row>
    <row r="4837">
      <c r="A4837" s="7" t="inlineStr">
        <is>
          <t>DRE12</t>
        </is>
      </c>
      <c r="B4837" s="8" t="n">
        <v>46103.87153935185</v>
      </c>
      <c r="C4837" s="8" t="n">
        <v>46104.25</v>
      </c>
      <c r="D4837" s="9">
        <f>(C4837-B4837)*24</f>
        <v/>
      </c>
      <c r="E4837" s="10">
        <f>IF(AND(HOUR(B4837)&gt;=6,HOUR(B4837)&lt;18),"Day Shift","Night Shift")</f>
        <v/>
      </c>
      <c r="F4837" s="11">
        <f>INT(B4837)</f>
        <v/>
      </c>
      <c r="G4837" s="11">
        <f>INT(C4837)</f>
        <v/>
      </c>
    </row>
    <row r="4838">
      <c r="A4838" s="2" t="inlineStr">
        <is>
          <t>DRE12</t>
        </is>
      </c>
      <c r="B4838" s="3" t="n">
        <v>46104.25</v>
      </c>
      <c r="C4838" s="3" t="n">
        <v>46104.32084490741</v>
      </c>
      <c r="D4838" s="4">
        <f>(C4838-B4838)*24</f>
        <v/>
      </c>
      <c r="E4838" s="5">
        <f>IF(AND(HOUR(B4838)&gt;=6,HOUR(B4838)&lt;18),"Day Shift","Night Shift")</f>
        <v/>
      </c>
      <c r="F4838" s="6">
        <f>INT(B4838)</f>
        <v/>
      </c>
      <c r="G4838" s="6">
        <f>INT(C4838)</f>
        <v/>
      </c>
    </row>
    <row r="4839">
      <c r="A4839" s="7" t="inlineStr">
        <is>
          <t>EXD100</t>
        </is>
      </c>
      <c r="B4839" s="8" t="n">
        <v>46103.91453703704</v>
      </c>
      <c r="C4839" s="8" t="n">
        <v>46104.25</v>
      </c>
      <c r="D4839" s="9">
        <f>(C4839-B4839)*24</f>
        <v/>
      </c>
      <c r="E4839" s="10">
        <f>IF(AND(HOUR(B4839)&gt;=6,HOUR(B4839)&lt;18),"Day Shift","Night Shift")</f>
        <v/>
      </c>
      <c r="F4839" s="11">
        <f>INT(B4839)</f>
        <v/>
      </c>
      <c r="G4839" s="11">
        <f>INT(C4839)</f>
        <v/>
      </c>
    </row>
    <row r="4840">
      <c r="A4840" s="2" t="inlineStr">
        <is>
          <t>EXD100</t>
        </is>
      </c>
      <c r="B4840" s="3" t="n">
        <v>46104.25</v>
      </c>
      <c r="C4840" s="3" t="n">
        <v>46104.75</v>
      </c>
      <c r="D4840" s="4">
        <f>(C4840-B4840)*24</f>
        <v/>
      </c>
      <c r="E4840" s="5">
        <f>IF(AND(HOUR(B4840)&gt;=6,HOUR(B4840)&lt;18),"Day Shift","Night Shift")</f>
        <v/>
      </c>
      <c r="F4840" s="6">
        <f>INT(B4840)</f>
        <v/>
      </c>
      <c r="G4840" s="6">
        <f>INT(C4840)</f>
        <v/>
      </c>
    </row>
    <row r="4841">
      <c r="A4841" s="7" t="inlineStr">
        <is>
          <t>EXD100</t>
        </is>
      </c>
      <c r="B4841" s="8" t="n">
        <v>46104.75</v>
      </c>
      <c r="C4841" s="8" t="n">
        <v>46105.09268518518</v>
      </c>
      <c r="D4841" s="9">
        <f>(C4841-B4841)*24</f>
        <v/>
      </c>
      <c r="E4841" s="10">
        <f>IF(AND(HOUR(B4841)&gt;=6,HOUR(B4841)&lt;18),"Day Shift","Night Shift")</f>
        <v/>
      </c>
      <c r="F4841" s="11">
        <f>INT(B4841)</f>
        <v/>
      </c>
      <c r="G4841" s="11">
        <f>INT(C4841)</f>
        <v/>
      </c>
    </row>
    <row r="4842">
      <c r="A4842" s="7" t="inlineStr">
        <is>
          <t>EDD175;EDD1932;EDD2134;EDD812</t>
        </is>
      </c>
      <c r="B4842" s="8" t="n">
        <v>46104.03950231482</v>
      </c>
      <c r="C4842" s="8" t="n">
        <v>46104.19793981482</v>
      </c>
      <c r="D4842" s="9">
        <f>(C4842-B4842)*24</f>
        <v/>
      </c>
      <c r="E4842" s="10">
        <f>IF(AND(HOUR(B4842)&gt;=6,HOUR(B4842)&lt;18),"Day Shift","Night Shift")</f>
        <v/>
      </c>
      <c r="F4842" s="11">
        <f>INT(B4842)</f>
        <v/>
      </c>
      <c r="G4842" s="11">
        <f>INT(C4842)</f>
        <v/>
      </c>
    </row>
    <row r="4843">
      <c r="A4843" s="7" t="inlineStr">
        <is>
          <t>EXD409</t>
        </is>
      </c>
      <c r="B4843" s="8" t="n">
        <v>46104.06597222222</v>
      </c>
      <c r="C4843" s="8" t="n">
        <v>46104.25</v>
      </c>
      <c r="D4843" s="9">
        <f>(C4843-B4843)*24</f>
        <v/>
      </c>
      <c r="E4843" s="10">
        <f>IF(AND(HOUR(B4843)&gt;=6,HOUR(B4843)&lt;18),"Day Shift","Night Shift")</f>
        <v/>
      </c>
      <c r="F4843" s="11">
        <f>INT(B4843)</f>
        <v/>
      </c>
      <c r="G4843" s="11">
        <f>INT(C4843)</f>
        <v/>
      </c>
    </row>
    <row r="4844">
      <c r="A4844" s="2" t="inlineStr">
        <is>
          <t>EXD409</t>
        </is>
      </c>
      <c r="B4844" s="3" t="n">
        <v>46104.25</v>
      </c>
      <c r="C4844" s="3" t="n">
        <v>46104.75</v>
      </c>
      <c r="D4844" s="4">
        <f>(C4844-B4844)*24</f>
        <v/>
      </c>
      <c r="E4844" s="5">
        <f>IF(AND(HOUR(B4844)&gt;=6,HOUR(B4844)&lt;18),"Day Shift","Night Shift")</f>
        <v/>
      </c>
      <c r="F4844" s="6">
        <f>INT(B4844)</f>
        <v/>
      </c>
      <c r="G4844" s="6">
        <f>INT(C4844)</f>
        <v/>
      </c>
    </row>
    <row r="4845">
      <c r="A4845" s="7" t="inlineStr">
        <is>
          <t>EXD409</t>
        </is>
      </c>
      <c r="B4845" s="8" t="n">
        <v>46104.75</v>
      </c>
      <c r="C4845" s="8" t="n">
        <v>46105.25</v>
      </c>
      <c r="D4845" s="9">
        <f>(C4845-B4845)*24</f>
        <v/>
      </c>
      <c r="E4845" s="10">
        <f>IF(AND(HOUR(B4845)&gt;=6,HOUR(B4845)&lt;18),"Day Shift","Night Shift")</f>
        <v/>
      </c>
      <c r="F4845" s="11">
        <f>INT(B4845)</f>
        <v/>
      </c>
      <c r="G4845" s="11">
        <f>INT(C4845)</f>
        <v/>
      </c>
    </row>
    <row r="4846">
      <c r="A4846" s="2" t="inlineStr">
        <is>
          <t>EXD409</t>
        </is>
      </c>
      <c r="B4846" s="3" t="n">
        <v>46105.25</v>
      </c>
      <c r="C4846" s="3" t="n">
        <v>46105.67247685185</v>
      </c>
      <c r="D4846" s="4">
        <f>(C4846-B4846)*24</f>
        <v/>
      </c>
      <c r="E4846" s="5">
        <f>IF(AND(HOUR(B4846)&gt;=6,HOUR(B4846)&lt;18),"Day Shift","Night Shift")</f>
        <v/>
      </c>
      <c r="F4846" s="6">
        <f>INT(B4846)</f>
        <v/>
      </c>
      <c r="G4846" s="6">
        <f>INT(C4846)</f>
        <v/>
      </c>
    </row>
    <row r="4847">
      <c r="A4847" s="7" t="inlineStr">
        <is>
          <t>EXD51</t>
        </is>
      </c>
      <c r="B4847" s="8" t="n">
        <v>46104.10549768519</v>
      </c>
      <c r="C4847" s="8" t="n">
        <v>46104.25</v>
      </c>
      <c r="D4847" s="9">
        <f>(C4847-B4847)*24</f>
        <v/>
      </c>
      <c r="E4847" s="10">
        <f>IF(AND(HOUR(B4847)&gt;=6,HOUR(B4847)&lt;18),"Day Shift","Night Shift")</f>
        <v/>
      </c>
      <c r="F4847" s="11">
        <f>INT(B4847)</f>
        <v/>
      </c>
      <c r="G4847" s="11">
        <f>INT(C4847)</f>
        <v/>
      </c>
    </row>
    <row r="4848">
      <c r="A4848" s="2" t="inlineStr">
        <is>
          <t>EXD51</t>
        </is>
      </c>
      <c r="B4848" s="3" t="n">
        <v>46104.25</v>
      </c>
      <c r="C4848" s="3" t="n">
        <v>46104.75</v>
      </c>
      <c r="D4848" s="4">
        <f>(C4848-B4848)*24</f>
        <v/>
      </c>
      <c r="E4848" s="5">
        <f>IF(AND(HOUR(B4848)&gt;=6,HOUR(B4848)&lt;18),"Day Shift","Night Shift")</f>
        <v/>
      </c>
      <c r="F4848" s="6">
        <f>INT(B4848)</f>
        <v/>
      </c>
      <c r="G4848" s="6">
        <f>INT(C4848)</f>
        <v/>
      </c>
    </row>
    <row r="4849">
      <c r="A4849" s="7" t="inlineStr">
        <is>
          <t>EXD51</t>
        </is>
      </c>
      <c r="B4849" s="8" t="n">
        <v>46104.75</v>
      </c>
      <c r="C4849" s="8" t="n">
        <v>46105.10701388889</v>
      </c>
      <c r="D4849" s="9">
        <f>(C4849-B4849)*24</f>
        <v/>
      </c>
      <c r="E4849" s="10">
        <f>IF(AND(HOUR(B4849)&gt;=6,HOUR(B4849)&lt;18),"Day Shift","Night Shift")</f>
        <v/>
      </c>
      <c r="F4849" s="11">
        <f>INT(B4849)</f>
        <v/>
      </c>
      <c r="G4849" s="11">
        <f>INT(C4849)</f>
        <v/>
      </c>
    </row>
    <row r="4850">
      <c r="A4850" s="7" t="inlineStr">
        <is>
          <t>EXD407</t>
        </is>
      </c>
      <c r="B4850" s="8" t="n">
        <v>46104.19104166667</v>
      </c>
      <c r="C4850" s="8" t="n">
        <v>46104.25</v>
      </c>
      <c r="D4850" s="9">
        <f>(C4850-B4850)*24</f>
        <v/>
      </c>
      <c r="E4850" s="10">
        <f>IF(AND(HOUR(B4850)&gt;=6,HOUR(B4850)&lt;18),"Day Shift","Night Shift")</f>
        <v/>
      </c>
      <c r="F4850" s="11">
        <f>INT(B4850)</f>
        <v/>
      </c>
      <c r="G4850" s="11">
        <f>INT(C4850)</f>
        <v/>
      </c>
    </row>
    <row r="4851">
      <c r="A4851" s="2" t="inlineStr">
        <is>
          <t>EXD407</t>
        </is>
      </c>
      <c r="B4851" s="3" t="n">
        <v>46104.25</v>
      </c>
      <c r="C4851" s="3" t="n">
        <v>46104.75</v>
      </c>
      <c r="D4851" s="4">
        <f>(C4851-B4851)*24</f>
        <v/>
      </c>
      <c r="E4851" s="5">
        <f>IF(AND(HOUR(B4851)&gt;=6,HOUR(B4851)&lt;18),"Day Shift","Night Shift")</f>
        <v/>
      </c>
      <c r="F4851" s="6">
        <f>INT(B4851)</f>
        <v/>
      </c>
      <c r="G4851" s="6">
        <f>INT(C4851)</f>
        <v/>
      </c>
    </row>
    <row r="4852">
      <c r="A4852" s="7" t="inlineStr">
        <is>
          <t>EXD407</t>
        </is>
      </c>
      <c r="B4852" s="8" t="n">
        <v>46104.75</v>
      </c>
      <c r="C4852" s="8" t="n">
        <v>46105.25</v>
      </c>
      <c r="D4852" s="9">
        <f>(C4852-B4852)*24</f>
        <v/>
      </c>
      <c r="E4852" s="10">
        <f>IF(AND(HOUR(B4852)&gt;=6,HOUR(B4852)&lt;18),"Day Shift","Night Shift")</f>
        <v/>
      </c>
      <c r="F4852" s="11">
        <f>INT(B4852)</f>
        <v/>
      </c>
      <c r="G4852" s="11">
        <f>INT(C4852)</f>
        <v/>
      </c>
    </row>
    <row r="4853">
      <c r="A4853" s="2" t="inlineStr">
        <is>
          <t>EXD407</t>
        </is>
      </c>
      <c r="B4853" s="3" t="n">
        <v>46105.25</v>
      </c>
      <c r="C4853" s="3" t="n">
        <v>46105.75</v>
      </c>
      <c r="D4853" s="4">
        <f>(C4853-B4853)*24</f>
        <v/>
      </c>
      <c r="E4853" s="5">
        <f>IF(AND(HOUR(B4853)&gt;=6,HOUR(B4853)&lt;18),"Day Shift","Night Shift")</f>
        <v/>
      </c>
      <c r="F4853" s="6">
        <f>INT(B4853)</f>
        <v/>
      </c>
      <c r="G4853" s="6">
        <f>INT(C4853)</f>
        <v/>
      </c>
    </row>
    <row r="4854">
      <c r="A4854" s="7" t="inlineStr">
        <is>
          <t>EXD407</t>
        </is>
      </c>
      <c r="B4854" s="8" t="n">
        <v>46105.75</v>
      </c>
      <c r="C4854" s="8" t="n">
        <v>46106.25</v>
      </c>
      <c r="D4854" s="9">
        <f>(C4854-B4854)*24</f>
        <v/>
      </c>
      <c r="E4854" s="10">
        <f>IF(AND(HOUR(B4854)&gt;=6,HOUR(B4854)&lt;18),"Day Shift","Night Shift")</f>
        <v/>
      </c>
      <c r="F4854" s="11">
        <f>INT(B4854)</f>
        <v/>
      </c>
      <c r="G4854" s="11">
        <f>INT(C4854)</f>
        <v/>
      </c>
    </row>
    <row r="4855">
      <c r="A4855" s="2" t="inlineStr">
        <is>
          <t>EXD407</t>
        </is>
      </c>
      <c r="B4855" s="3" t="n">
        <v>46106.25</v>
      </c>
      <c r="C4855" s="3" t="n">
        <v>46106.7456712963</v>
      </c>
      <c r="D4855" s="4">
        <f>(C4855-B4855)*24</f>
        <v/>
      </c>
      <c r="E4855" s="5">
        <f>IF(AND(HOUR(B4855)&gt;=6,HOUR(B4855)&lt;18),"Day Shift","Night Shift")</f>
        <v/>
      </c>
      <c r="F4855" s="6">
        <f>INT(B4855)</f>
        <v/>
      </c>
      <c r="G4855" s="6">
        <f>INT(C4855)</f>
        <v/>
      </c>
    </row>
    <row r="4856">
      <c r="A4856" s="7" t="inlineStr">
        <is>
          <t>EDD175;EDD1932;EDD2134;EDD812</t>
        </is>
      </c>
      <c r="B4856" s="8" t="n">
        <v>46104.19793981482</v>
      </c>
      <c r="C4856" s="8" t="n">
        <v>46104.25</v>
      </c>
      <c r="D4856" s="9">
        <f>(C4856-B4856)*24</f>
        <v/>
      </c>
      <c r="E4856" s="10">
        <f>IF(AND(HOUR(B4856)&gt;=6,HOUR(B4856)&lt;18),"Day Shift","Night Shift")</f>
        <v/>
      </c>
      <c r="F4856" s="11">
        <f>INT(B4856)</f>
        <v/>
      </c>
      <c r="G4856" s="11">
        <f>INT(C4856)</f>
        <v/>
      </c>
    </row>
    <row r="4857">
      <c r="A4857" s="2" t="inlineStr">
        <is>
          <t>EDD175;EDD1932;EDD2134;EDD812</t>
        </is>
      </c>
      <c r="B4857" s="3" t="n">
        <v>46104.25</v>
      </c>
      <c r="C4857" s="3" t="n">
        <v>46104.34431712963</v>
      </c>
      <c r="D4857" s="4">
        <f>(C4857-B4857)*24</f>
        <v/>
      </c>
      <c r="E4857" s="5">
        <f>IF(AND(HOUR(B4857)&gt;=6,HOUR(B4857)&lt;18),"Day Shift","Night Shift")</f>
        <v/>
      </c>
      <c r="F4857" s="6">
        <f>INT(B4857)</f>
        <v/>
      </c>
      <c r="G4857" s="6">
        <f>INT(C4857)</f>
        <v/>
      </c>
    </row>
    <row r="4858">
      <c r="A4858" s="7" t="inlineStr">
        <is>
          <t>EXD52</t>
        </is>
      </c>
      <c r="B4858" s="8" t="n">
        <v>46104.21150462963</v>
      </c>
      <c r="C4858" s="8" t="n">
        <v>46104.25</v>
      </c>
      <c r="D4858" s="9">
        <f>(C4858-B4858)*24</f>
        <v/>
      </c>
      <c r="E4858" s="10">
        <f>IF(AND(HOUR(B4858)&gt;=6,HOUR(B4858)&lt;18),"Day Shift","Night Shift")</f>
        <v/>
      </c>
      <c r="F4858" s="11">
        <f>INT(B4858)</f>
        <v/>
      </c>
      <c r="G4858" s="11">
        <f>INT(C4858)</f>
        <v/>
      </c>
    </row>
    <row r="4859">
      <c r="A4859" s="2" t="inlineStr">
        <is>
          <t>EXD52</t>
        </is>
      </c>
      <c r="B4859" s="3" t="n">
        <v>46104.25</v>
      </c>
      <c r="C4859" s="3" t="n">
        <v>46104.75</v>
      </c>
      <c r="D4859" s="4">
        <f>(C4859-B4859)*24</f>
        <v/>
      </c>
      <c r="E4859" s="5">
        <f>IF(AND(HOUR(B4859)&gt;=6,HOUR(B4859)&lt;18),"Day Shift","Night Shift")</f>
        <v/>
      </c>
      <c r="F4859" s="6">
        <f>INT(B4859)</f>
        <v/>
      </c>
      <c r="G4859" s="6">
        <f>INT(C4859)</f>
        <v/>
      </c>
    </row>
    <row r="4860">
      <c r="A4860" s="7" t="inlineStr">
        <is>
          <t>EXD52</t>
        </is>
      </c>
      <c r="B4860" s="8" t="n">
        <v>46104.75</v>
      </c>
      <c r="C4860" s="8" t="n">
        <v>46105.08722222222</v>
      </c>
      <c r="D4860" s="9">
        <f>(C4860-B4860)*24</f>
        <v/>
      </c>
      <c r="E4860" s="10">
        <f>IF(AND(HOUR(B4860)&gt;=6,HOUR(B4860)&lt;18),"Day Shift","Night Shift")</f>
        <v/>
      </c>
      <c r="F4860" s="11">
        <f>INT(B4860)</f>
        <v/>
      </c>
      <c r="G4860" s="11">
        <f>INT(C4860)</f>
        <v/>
      </c>
    </row>
    <row r="4861">
      <c r="A4861" s="7" t="inlineStr">
        <is>
          <t>SHE36</t>
        </is>
      </c>
      <c r="B4861" s="8" t="n">
        <v>46104.2227199074</v>
      </c>
      <c r="C4861" s="8" t="n">
        <v>46104.25</v>
      </c>
      <c r="D4861" s="9">
        <f>(C4861-B4861)*24</f>
        <v/>
      </c>
      <c r="E4861" s="10">
        <f>IF(AND(HOUR(B4861)&gt;=6,HOUR(B4861)&lt;18),"Day Shift","Night Shift")</f>
        <v/>
      </c>
      <c r="F4861" s="11">
        <f>INT(B4861)</f>
        <v/>
      </c>
      <c r="G4861" s="11">
        <f>INT(C4861)</f>
        <v/>
      </c>
    </row>
    <row r="4862">
      <c r="A4862" s="2" t="inlineStr">
        <is>
          <t>SHE36</t>
        </is>
      </c>
      <c r="B4862" s="3" t="n">
        <v>46104.25</v>
      </c>
      <c r="C4862" s="3" t="n">
        <v>46104.57222222222</v>
      </c>
      <c r="D4862" s="4">
        <f>(C4862-B4862)*24</f>
        <v/>
      </c>
      <c r="E4862" s="5">
        <f>IF(AND(HOUR(B4862)&gt;=6,HOUR(B4862)&lt;18),"Day Shift","Night Shift")</f>
        <v/>
      </c>
      <c r="F4862" s="6">
        <f>INT(B4862)</f>
        <v/>
      </c>
      <c r="G4862" s="6">
        <f>INT(C4862)</f>
        <v/>
      </c>
    </row>
    <row r="4863">
      <c r="A4863" s="2" t="inlineStr">
        <is>
          <t>EXD98</t>
        </is>
      </c>
      <c r="B4863" s="3" t="n">
        <v>46104.25238425926</v>
      </c>
      <c r="C4863" s="3" t="n">
        <v>46104.60920138889</v>
      </c>
      <c r="D4863" s="4">
        <f>(C4863-B4863)*24</f>
        <v/>
      </c>
      <c r="E4863" s="5">
        <f>IF(AND(HOUR(B4863)&gt;=6,HOUR(B4863)&lt;18),"Day Shift","Night Shift")</f>
        <v/>
      </c>
      <c r="F4863" s="6">
        <f>INT(B4863)</f>
        <v/>
      </c>
      <c r="G4863" s="6">
        <f>INT(C4863)</f>
        <v/>
      </c>
    </row>
    <row r="4864">
      <c r="A4864" s="2" t="inlineStr">
        <is>
          <t>DRE08</t>
        </is>
      </c>
      <c r="B4864" s="3" t="n">
        <v>46104.31059027778</v>
      </c>
      <c r="C4864" s="3" t="n">
        <v>46104.75</v>
      </c>
      <c r="D4864" s="4">
        <f>(C4864-B4864)*24</f>
        <v/>
      </c>
      <c r="E4864" s="5">
        <f>IF(AND(HOUR(B4864)&gt;=6,HOUR(B4864)&lt;18),"Day Shift","Night Shift")</f>
        <v/>
      </c>
      <c r="F4864" s="6">
        <f>INT(B4864)</f>
        <v/>
      </c>
      <c r="G4864" s="6">
        <f>INT(C4864)</f>
        <v/>
      </c>
    </row>
    <row r="4865">
      <c r="A4865" s="7" t="inlineStr">
        <is>
          <t>DRE08</t>
        </is>
      </c>
      <c r="B4865" s="8" t="n">
        <v>46104.75</v>
      </c>
      <c r="C4865" s="8" t="n">
        <v>46105.25</v>
      </c>
      <c r="D4865" s="9">
        <f>(C4865-B4865)*24</f>
        <v/>
      </c>
      <c r="E4865" s="10">
        <f>IF(AND(HOUR(B4865)&gt;=6,HOUR(B4865)&lt;18),"Day Shift","Night Shift")</f>
        <v/>
      </c>
      <c r="F4865" s="11">
        <f>INT(B4865)</f>
        <v/>
      </c>
      <c r="G4865" s="11">
        <f>INT(C4865)</f>
        <v/>
      </c>
    </row>
    <row r="4866">
      <c r="A4866" s="2" t="inlineStr">
        <is>
          <t>DRE08</t>
        </is>
      </c>
      <c r="B4866" s="3" t="n">
        <v>46105.25</v>
      </c>
      <c r="C4866" s="3" t="n">
        <v>46105.75</v>
      </c>
      <c r="D4866" s="4">
        <f>(C4866-B4866)*24</f>
        <v/>
      </c>
      <c r="E4866" s="5">
        <f>IF(AND(HOUR(B4866)&gt;=6,HOUR(B4866)&lt;18),"Day Shift","Night Shift")</f>
        <v/>
      </c>
      <c r="F4866" s="6">
        <f>INT(B4866)</f>
        <v/>
      </c>
      <c r="G4866" s="6">
        <f>INT(C4866)</f>
        <v/>
      </c>
    </row>
    <row r="4867">
      <c r="A4867" s="7" t="inlineStr">
        <is>
          <t>DRE08</t>
        </is>
      </c>
      <c r="B4867" s="8" t="n">
        <v>46105.75</v>
      </c>
      <c r="C4867" s="8" t="n">
        <v>46106.25</v>
      </c>
      <c r="D4867" s="9">
        <f>(C4867-B4867)*24</f>
        <v/>
      </c>
      <c r="E4867" s="10">
        <f>IF(AND(HOUR(B4867)&gt;=6,HOUR(B4867)&lt;18),"Day Shift","Night Shift")</f>
        <v/>
      </c>
      <c r="F4867" s="11">
        <f>INT(B4867)</f>
        <v/>
      </c>
      <c r="G4867" s="11">
        <f>INT(C4867)</f>
        <v/>
      </c>
    </row>
    <row r="4868">
      <c r="A4868" s="2" t="inlineStr">
        <is>
          <t>DRE08</t>
        </is>
      </c>
      <c r="B4868" s="3" t="n">
        <v>46106.25</v>
      </c>
      <c r="C4868" s="3" t="n">
        <v>46106.75</v>
      </c>
      <c r="D4868" s="4">
        <f>(C4868-B4868)*24</f>
        <v/>
      </c>
      <c r="E4868" s="5">
        <f>IF(AND(HOUR(B4868)&gt;=6,HOUR(B4868)&lt;18),"Day Shift","Night Shift")</f>
        <v/>
      </c>
      <c r="F4868" s="6">
        <f>INT(B4868)</f>
        <v/>
      </c>
      <c r="G4868" s="6">
        <f>INT(C4868)</f>
        <v/>
      </c>
    </row>
    <row r="4869">
      <c r="A4869" s="7" t="inlineStr">
        <is>
          <t>DRE08</t>
        </is>
      </c>
      <c r="B4869" s="8" t="n">
        <v>46106.75</v>
      </c>
      <c r="C4869" s="8" t="n">
        <v>46106.87966435185</v>
      </c>
      <c r="D4869" s="9">
        <f>(C4869-B4869)*24</f>
        <v/>
      </c>
      <c r="E4869" s="10">
        <f>IF(AND(HOUR(B4869)&gt;=6,HOUR(B4869)&lt;18),"Day Shift","Night Shift")</f>
        <v/>
      </c>
      <c r="F4869" s="11">
        <f>INT(B4869)</f>
        <v/>
      </c>
      <c r="G4869" s="11">
        <f>INT(C4869)</f>
        <v/>
      </c>
    </row>
    <row r="4870">
      <c r="A4870" s="2" t="inlineStr">
        <is>
          <t>EXD60</t>
        </is>
      </c>
      <c r="B4870" s="3" t="n">
        <v>46104.31299768519</v>
      </c>
      <c r="C4870" s="3" t="n">
        <v>46104.75</v>
      </c>
      <c r="D4870" s="4">
        <f>(C4870-B4870)*24</f>
        <v/>
      </c>
      <c r="E4870" s="5">
        <f>IF(AND(HOUR(B4870)&gt;=6,HOUR(B4870)&lt;18),"Day Shift","Night Shift")</f>
        <v/>
      </c>
      <c r="F4870" s="6">
        <f>INT(B4870)</f>
        <v/>
      </c>
      <c r="G4870" s="6">
        <f>INT(C4870)</f>
        <v/>
      </c>
    </row>
    <row r="4871">
      <c r="A4871" s="7" t="inlineStr">
        <is>
          <t>EXD60</t>
        </is>
      </c>
      <c r="B4871" s="8" t="n">
        <v>46104.75</v>
      </c>
      <c r="C4871" s="8" t="n">
        <v>46105.25</v>
      </c>
      <c r="D4871" s="9">
        <f>(C4871-B4871)*24</f>
        <v/>
      </c>
      <c r="E4871" s="10">
        <f>IF(AND(HOUR(B4871)&gt;=6,HOUR(B4871)&lt;18),"Day Shift","Night Shift")</f>
        <v/>
      </c>
      <c r="F4871" s="11">
        <f>INT(B4871)</f>
        <v/>
      </c>
      <c r="G4871" s="11">
        <f>INT(C4871)</f>
        <v/>
      </c>
    </row>
    <row r="4872">
      <c r="A4872" s="2" t="inlineStr">
        <is>
          <t>EXD60</t>
        </is>
      </c>
      <c r="B4872" s="3" t="n">
        <v>46105.25</v>
      </c>
      <c r="C4872" s="3" t="n">
        <v>46105.75</v>
      </c>
      <c r="D4872" s="4">
        <f>(C4872-B4872)*24</f>
        <v/>
      </c>
      <c r="E4872" s="5">
        <f>IF(AND(HOUR(B4872)&gt;=6,HOUR(B4872)&lt;18),"Day Shift","Night Shift")</f>
        <v/>
      </c>
      <c r="F4872" s="6">
        <f>INT(B4872)</f>
        <v/>
      </c>
      <c r="G4872" s="6">
        <f>INT(C4872)</f>
        <v/>
      </c>
    </row>
    <row r="4873">
      <c r="A4873" s="7" t="inlineStr">
        <is>
          <t>EXD60</t>
        </is>
      </c>
      <c r="B4873" s="8" t="n">
        <v>46105.75</v>
      </c>
      <c r="C4873" s="8" t="n">
        <v>46105.80021990741</v>
      </c>
      <c r="D4873" s="9">
        <f>(C4873-B4873)*24</f>
        <v/>
      </c>
      <c r="E4873" s="10">
        <f>IF(AND(HOUR(B4873)&gt;=6,HOUR(B4873)&lt;18),"Day Shift","Night Shift")</f>
        <v/>
      </c>
      <c r="F4873" s="11">
        <f>INT(B4873)</f>
        <v/>
      </c>
      <c r="G4873" s="11">
        <f>INT(C4873)</f>
        <v/>
      </c>
    </row>
    <row r="4874">
      <c r="A4874" s="2" t="inlineStr">
        <is>
          <t>DRE12</t>
        </is>
      </c>
      <c r="B4874" s="3" t="n">
        <v>46104.32084490741</v>
      </c>
      <c r="C4874" s="3" t="n">
        <v>46104.75</v>
      </c>
      <c r="D4874" s="4">
        <f>(C4874-B4874)*24</f>
        <v/>
      </c>
      <c r="E4874" s="5">
        <f>IF(AND(HOUR(B4874)&gt;=6,HOUR(B4874)&lt;18),"Day Shift","Night Shift")</f>
        <v/>
      </c>
      <c r="F4874" s="6">
        <f>INT(B4874)</f>
        <v/>
      </c>
      <c r="G4874" s="6">
        <f>INT(C4874)</f>
        <v/>
      </c>
    </row>
    <row r="4875">
      <c r="A4875" s="7" t="inlineStr">
        <is>
          <t>DRE12</t>
        </is>
      </c>
      <c r="B4875" s="8" t="n">
        <v>46104.75</v>
      </c>
      <c r="C4875" s="8" t="n">
        <v>46105.25</v>
      </c>
      <c r="D4875" s="9">
        <f>(C4875-B4875)*24</f>
        <v/>
      </c>
      <c r="E4875" s="10">
        <f>IF(AND(HOUR(B4875)&gt;=6,HOUR(B4875)&lt;18),"Day Shift","Night Shift")</f>
        <v/>
      </c>
      <c r="F4875" s="11">
        <f>INT(B4875)</f>
        <v/>
      </c>
      <c r="G4875" s="11">
        <f>INT(C4875)</f>
        <v/>
      </c>
    </row>
    <row r="4876">
      <c r="A4876" s="2" t="inlineStr">
        <is>
          <t>DRE12</t>
        </is>
      </c>
      <c r="B4876" s="3" t="n">
        <v>46105.25</v>
      </c>
      <c r="C4876" s="3" t="n">
        <v>46105.75</v>
      </c>
      <c r="D4876" s="4">
        <f>(C4876-B4876)*24</f>
        <v/>
      </c>
      <c r="E4876" s="5">
        <f>IF(AND(HOUR(B4876)&gt;=6,HOUR(B4876)&lt;18),"Day Shift","Night Shift")</f>
        <v/>
      </c>
      <c r="F4876" s="6">
        <f>INT(B4876)</f>
        <v/>
      </c>
      <c r="G4876" s="6">
        <f>INT(C4876)</f>
        <v/>
      </c>
    </row>
    <row r="4877">
      <c r="A4877" s="7" t="inlineStr">
        <is>
          <t>DRE12</t>
        </is>
      </c>
      <c r="B4877" s="8" t="n">
        <v>46105.75</v>
      </c>
      <c r="C4877" s="8" t="n">
        <v>46106.24752314815</v>
      </c>
      <c r="D4877" s="9">
        <f>(C4877-B4877)*24</f>
        <v/>
      </c>
      <c r="E4877" s="10">
        <f>IF(AND(HOUR(B4877)&gt;=6,HOUR(B4877)&lt;18),"Day Shift","Night Shift")</f>
        <v/>
      </c>
      <c r="F4877" s="11">
        <f>INT(B4877)</f>
        <v/>
      </c>
      <c r="G4877" s="11">
        <f>INT(C4877)</f>
        <v/>
      </c>
    </row>
    <row r="4878">
      <c r="A4878" s="2" t="inlineStr">
        <is>
          <t>EDD175;EDD1932;EDD2134;EDD812</t>
        </is>
      </c>
      <c r="B4878" s="3" t="n">
        <v>46104.34431712963</v>
      </c>
      <c r="C4878" s="3" t="n">
        <v>46104.49454861111</v>
      </c>
      <c r="D4878" s="4">
        <f>(C4878-B4878)*24</f>
        <v/>
      </c>
      <c r="E4878" s="5">
        <f>IF(AND(HOUR(B4878)&gt;=6,HOUR(B4878)&lt;18),"Day Shift","Night Shift")</f>
        <v/>
      </c>
      <c r="F4878" s="6">
        <f>INT(B4878)</f>
        <v/>
      </c>
      <c r="G4878" s="6">
        <f>INT(C4878)</f>
        <v/>
      </c>
    </row>
    <row r="4879">
      <c r="A4879" s="2" t="inlineStr">
        <is>
          <t>EDD175;EDD1932;EDD2134;EDD812</t>
        </is>
      </c>
      <c r="B4879" s="3" t="n">
        <v>46104.49454861111</v>
      </c>
      <c r="C4879" s="3" t="n">
        <v>46104.6534837963</v>
      </c>
      <c r="D4879" s="4">
        <f>(C4879-B4879)*24</f>
        <v/>
      </c>
      <c r="E4879" s="5">
        <f>IF(AND(HOUR(B4879)&gt;=6,HOUR(B4879)&lt;18),"Day Shift","Night Shift")</f>
        <v/>
      </c>
      <c r="F4879" s="6">
        <f>INT(B4879)</f>
        <v/>
      </c>
      <c r="G4879" s="6">
        <f>INT(C4879)</f>
        <v/>
      </c>
    </row>
    <row r="4880">
      <c r="A4880" s="2" t="inlineStr">
        <is>
          <t>Sprint 1</t>
        </is>
      </c>
      <c r="B4880" s="3" t="n">
        <v>46104.54335648148</v>
      </c>
      <c r="C4880" s="3" t="n">
        <v>46104.75</v>
      </c>
      <c r="D4880" s="4">
        <f>(C4880-B4880)*24</f>
        <v/>
      </c>
      <c r="E4880" s="5">
        <f>IF(AND(HOUR(B4880)&gt;=6,HOUR(B4880)&lt;18),"Day Shift","Night Shift")</f>
        <v/>
      </c>
      <c r="F4880" s="6">
        <f>INT(B4880)</f>
        <v/>
      </c>
      <c r="G4880" s="6">
        <f>INT(C4880)</f>
        <v/>
      </c>
    </row>
    <row r="4881">
      <c r="A4881" s="7" t="inlineStr">
        <is>
          <t>Sprint 1</t>
        </is>
      </c>
      <c r="B4881" s="8" t="n">
        <v>46104.75</v>
      </c>
      <c r="C4881" s="8" t="n">
        <v>46105.25</v>
      </c>
      <c r="D4881" s="9">
        <f>(C4881-B4881)*24</f>
        <v/>
      </c>
      <c r="E4881" s="10">
        <f>IF(AND(HOUR(B4881)&gt;=6,HOUR(B4881)&lt;18),"Day Shift","Night Shift")</f>
        <v/>
      </c>
      <c r="F4881" s="11">
        <f>INT(B4881)</f>
        <v/>
      </c>
      <c r="G4881" s="11">
        <f>INT(C4881)</f>
        <v/>
      </c>
    </row>
    <row r="4882">
      <c r="A4882" s="2" t="inlineStr">
        <is>
          <t>Sprint 1</t>
        </is>
      </c>
      <c r="B4882" s="3" t="n">
        <v>46105.25</v>
      </c>
      <c r="C4882" s="3" t="n">
        <v>46105.35336805556</v>
      </c>
      <c r="D4882" s="4">
        <f>(C4882-B4882)*24</f>
        <v/>
      </c>
      <c r="E4882" s="5">
        <f>IF(AND(HOUR(B4882)&gt;=6,HOUR(B4882)&lt;18),"Day Shift","Night Shift")</f>
        <v/>
      </c>
      <c r="F4882" s="6">
        <f>INT(B4882)</f>
        <v/>
      </c>
      <c r="G4882" s="6">
        <f>INT(C4882)</f>
        <v/>
      </c>
    </row>
    <row r="4883">
      <c r="A4883" s="2" t="inlineStr">
        <is>
          <t>SHE36</t>
        </is>
      </c>
      <c r="B4883" s="3" t="n">
        <v>46104.57502314815</v>
      </c>
      <c r="C4883" s="3" t="n">
        <v>46104.75</v>
      </c>
      <c r="D4883" s="4">
        <f>(C4883-B4883)*24</f>
        <v/>
      </c>
      <c r="E4883" s="5">
        <f>IF(AND(HOUR(B4883)&gt;=6,HOUR(B4883)&lt;18),"Day Shift","Night Shift")</f>
        <v/>
      </c>
      <c r="F4883" s="6">
        <f>INT(B4883)</f>
        <v/>
      </c>
      <c r="G4883" s="6">
        <f>INT(C4883)</f>
        <v/>
      </c>
    </row>
    <row r="4884">
      <c r="A4884" s="7" t="inlineStr">
        <is>
          <t>SHE36</t>
        </is>
      </c>
      <c r="B4884" s="8" t="n">
        <v>46104.75</v>
      </c>
      <c r="C4884" s="8" t="n">
        <v>46104.97556712963</v>
      </c>
      <c r="D4884" s="9">
        <f>(C4884-B4884)*24</f>
        <v/>
      </c>
      <c r="E4884" s="10">
        <f>IF(AND(HOUR(B4884)&gt;=6,HOUR(B4884)&lt;18),"Day Shift","Night Shift")</f>
        <v/>
      </c>
      <c r="F4884" s="11">
        <f>INT(B4884)</f>
        <v/>
      </c>
      <c r="G4884" s="11">
        <f>INT(C4884)</f>
        <v/>
      </c>
    </row>
    <row r="4885">
      <c r="A4885" s="2" t="inlineStr">
        <is>
          <t>EXD101</t>
        </is>
      </c>
      <c r="B4885" s="3" t="n">
        <v>46104.58297453704</v>
      </c>
      <c r="C4885" s="3" t="n">
        <v>46104.75</v>
      </c>
      <c r="D4885" s="4">
        <f>(C4885-B4885)*24</f>
        <v/>
      </c>
      <c r="E4885" s="5">
        <f>IF(AND(HOUR(B4885)&gt;=6,HOUR(B4885)&lt;18),"Day Shift","Night Shift")</f>
        <v/>
      </c>
      <c r="F4885" s="6">
        <f>INT(B4885)</f>
        <v/>
      </c>
      <c r="G4885" s="6">
        <f>INT(C4885)</f>
        <v/>
      </c>
    </row>
    <row r="4886">
      <c r="A4886" s="7" t="inlineStr">
        <is>
          <t>EXD101</t>
        </is>
      </c>
      <c r="B4886" s="8" t="n">
        <v>46104.75</v>
      </c>
      <c r="C4886" s="8" t="n">
        <v>46104.84273148148</v>
      </c>
      <c r="D4886" s="9">
        <f>(C4886-B4886)*24</f>
        <v/>
      </c>
      <c r="E4886" s="10">
        <f>IF(AND(HOUR(B4886)&gt;=6,HOUR(B4886)&lt;18),"Day Shift","Night Shift")</f>
        <v/>
      </c>
      <c r="F4886" s="11">
        <f>INT(B4886)</f>
        <v/>
      </c>
      <c r="G4886" s="11">
        <f>INT(C4886)</f>
        <v/>
      </c>
    </row>
    <row r="4887">
      <c r="A4887" s="2" t="inlineStr">
        <is>
          <t>EXD408</t>
        </is>
      </c>
      <c r="B4887" s="3" t="n">
        <v>46104.60622685185</v>
      </c>
      <c r="C4887" s="3" t="n">
        <v>46104.75</v>
      </c>
      <c r="D4887" s="4">
        <f>(C4887-B4887)*24</f>
        <v/>
      </c>
      <c r="E4887" s="5">
        <f>IF(AND(HOUR(B4887)&gt;=6,HOUR(B4887)&lt;18),"Day Shift","Night Shift")</f>
        <v/>
      </c>
      <c r="F4887" s="6">
        <f>INT(B4887)</f>
        <v/>
      </c>
      <c r="G4887" s="6">
        <f>INT(C4887)</f>
        <v/>
      </c>
    </row>
    <row r="4888">
      <c r="A4888" s="7" t="inlineStr">
        <is>
          <t>EXD408</t>
        </is>
      </c>
      <c r="B4888" s="8" t="n">
        <v>46104.75</v>
      </c>
      <c r="C4888" s="8" t="n">
        <v>46105.25</v>
      </c>
      <c r="D4888" s="9">
        <f>(C4888-B4888)*24</f>
        <v/>
      </c>
      <c r="E4888" s="10">
        <f>IF(AND(HOUR(B4888)&gt;=6,HOUR(B4888)&lt;18),"Day Shift","Night Shift")</f>
        <v/>
      </c>
      <c r="F4888" s="11">
        <f>INT(B4888)</f>
        <v/>
      </c>
      <c r="G4888" s="11">
        <f>INT(C4888)</f>
        <v/>
      </c>
    </row>
    <row r="4889">
      <c r="A4889" s="2" t="inlineStr">
        <is>
          <t>EXD408</t>
        </is>
      </c>
      <c r="B4889" s="3" t="n">
        <v>46105.25</v>
      </c>
      <c r="C4889" s="3" t="n">
        <v>46105.6784837963</v>
      </c>
      <c r="D4889" s="4">
        <f>(C4889-B4889)*24</f>
        <v/>
      </c>
      <c r="E4889" s="5">
        <f>IF(AND(HOUR(B4889)&gt;=6,HOUR(B4889)&lt;18),"Day Shift","Night Shift")</f>
        <v/>
      </c>
      <c r="F4889" s="6">
        <f>INT(B4889)</f>
        <v/>
      </c>
      <c r="G4889" s="6">
        <f>INT(C4889)</f>
        <v/>
      </c>
    </row>
    <row r="4890">
      <c r="A4890" s="2" t="inlineStr">
        <is>
          <t>EXD98</t>
        </is>
      </c>
      <c r="B4890" s="3" t="n">
        <v>46104.61</v>
      </c>
      <c r="C4890" s="3" t="n">
        <v>46104.75</v>
      </c>
      <c r="D4890" s="4">
        <f>(C4890-B4890)*24</f>
        <v/>
      </c>
      <c r="E4890" s="5">
        <f>IF(AND(HOUR(B4890)&gt;=6,HOUR(B4890)&lt;18),"Day Shift","Night Shift")</f>
        <v/>
      </c>
      <c r="F4890" s="6">
        <f>INT(B4890)</f>
        <v/>
      </c>
      <c r="G4890" s="6">
        <f>INT(C4890)</f>
        <v/>
      </c>
    </row>
    <row r="4891">
      <c r="A4891" s="7" t="inlineStr">
        <is>
          <t>EXD98</t>
        </is>
      </c>
      <c r="B4891" s="8" t="n">
        <v>46104.75</v>
      </c>
      <c r="C4891" s="8" t="n">
        <v>46104.88083333334</v>
      </c>
      <c r="D4891" s="9">
        <f>(C4891-B4891)*24</f>
        <v/>
      </c>
      <c r="E4891" s="10">
        <f>IF(AND(HOUR(B4891)&gt;=6,HOUR(B4891)&lt;18),"Day Shift","Night Shift")</f>
        <v/>
      </c>
      <c r="F4891" s="11">
        <f>INT(B4891)</f>
        <v/>
      </c>
      <c r="G4891" s="11">
        <f>INT(C4891)</f>
        <v/>
      </c>
    </row>
    <row r="4892">
      <c r="A4892" s="2" t="inlineStr">
        <is>
          <t>EDD175;EDD1932;EDD2134;EDD812</t>
        </is>
      </c>
      <c r="B4892" s="3" t="n">
        <v>46104.6534837963</v>
      </c>
      <c r="C4892" s="3" t="n">
        <v>46104.75</v>
      </c>
      <c r="D4892" s="4">
        <f>(C4892-B4892)*24</f>
        <v/>
      </c>
      <c r="E4892" s="5">
        <f>IF(AND(HOUR(B4892)&gt;=6,HOUR(B4892)&lt;18),"Day Shift","Night Shift")</f>
        <v/>
      </c>
      <c r="F4892" s="6">
        <f>INT(B4892)</f>
        <v/>
      </c>
      <c r="G4892" s="6">
        <f>INT(C4892)</f>
        <v/>
      </c>
    </row>
    <row r="4893">
      <c r="A4893" s="7" t="inlineStr">
        <is>
          <t>EDD175;EDD1932;EDD2134;EDD812</t>
        </is>
      </c>
      <c r="B4893" s="8" t="n">
        <v>46104.75</v>
      </c>
      <c r="C4893" s="8" t="n">
        <v>46104.81212962963</v>
      </c>
      <c r="D4893" s="9">
        <f>(C4893-B4893)*24</f>
        <v/>
      </c>
      <c r="E4893" s="10">
        <f>IF(AND(HOUR(B4893)&gt;=6,HOUR(B4893)&lt;18),"Day Shift","Night Shift")</f>
        <v/>
      </c>
      <c r="F4893" s="11">
        <f>INT(B4893)</f>
        <v/>
      </c>
      <c r="G4893" s="11">
        <f>INT(C4893)</f>
        <v/>
      </c>
    </row>
    <row r="4894">
      <c r="A4894" s="7" t="inlineStr">
        <is>
          <t>EDD175;EDD1932;EDD2134;EDD812</t>
        </is>
      </c>
      <c r="B4894" s="8" t="n">
        <v>46104.81212962963</v>
      </c>
      <c r="C4894" s="8" t="n">
        <v>46104.96736111111</v>
      </c>
      <c r="D4894" s="9">
        <f>(C4894-B4894)*24</f>
        <v/>
      </c>
      <c r="E4894" s="10">
        <f>IF(AND(HOUR(B4894)&gt;=6,HOUR(B4894)&lt;18),"Day Shift","Night Shift")</f>
        <v/>
      </c>
      <c r="F4894" s="11">
        <f>INT(B4894)</f>
        <v/>
      </c>
      <c r="G4894" s="11">
        <f>INT(C4894)</f>
        <v/>
      </c>
    </row>
    <row r="4895">
      <c r="A4895" s="7" t="inlineStr">
        <is>
          <t>EXD101</t>
        </is>
      </c>
      <c r="B4895" s="8" t="n">
        <v>46104.84273148148</v>
      </c>
      <c r="C4895" s="8" t="n">
        <v>46105.1166087963</v>
      </c>
      <c r="D4895" s="9">
        <f>(C4895-B4895)*24</f>
        <v/>
      </c>
      <c r="E4895" s="10">
        <f>IF(AND(HOUR(B4895)&gt;=6,HOUR(B4895)&lt;18),"Day Shift","Night Shift")</f>
        <v/>
      </c>
      <c r="F4895" s="11">
        <f>INT(B4895)</f>
        <v/>
      </c>
      <c r="G4895" s="11">
        <f>INT(C4895)</f>
        <v/>
      </c>
    </row>
    <row r="4896">
      <c r="A4896" s="7" t="inlineStr">
        <is>
          <t>EXD98</t>
        </is>
      </c>
      <c r="B4896" s="8" t="n">
        <v>46104.88083333334</v>
      </c>
      <c r="C4896" s="8" t="n">
        <v>46105.25</v>
      </c>
      <c r="D4896" s="9">
        <f>(C4896-B4896)*24</f>
        <v/>
      </c>
      <c r="E4896" s="10">
        <f>IF(AND(HOUR(B4896)&gt;=6,HOUR(B4896)&lt;18),"Day Shift","Night Shift")</f>
        <v/>
      </c>
      <c r="F4896" s="11">
        <f>INT(B4896)</f>
        <v/>
      </c>
      <c r="G4896" s="11">
        <f>INT(C4896)</f>
        <v/>
      </c>
    </row>
    <row r="4897">
      <c r="A4897" s="2" t="inlineStr">
        <is>
          <t>EXD98</t>
        </is>
      </c>
      <c r="B4897" s="3" t="n">
        <v>46105.25</v>
      </c>
      <c r="C4897" s="3" t="n">
        <v>46105.75</v>
      </c>
      <c r="D4897" s="4">
        <f>(C4897-B4897)*24</f>
        <v/>
      </c>
      <c r="E4897" s="5">
        <f>IF(AND(HOUR(B4897)&gt;=6,HOUR(B4897)&lt;18),"Day Shift","Night Shift")</f>
        <v/>
      </c>
      <c r="F4897" s="6">
        <f>INT(B4897)</f>
        <v/>
      </c>
      <c r="G4897" s="6">
        <f>INT(C4897)</f>
        <v/>
      </c>
    </row>
    <row r="4898">
      <c r="A4898" s="7" t="inlineStr">
        <is>
          <t>EXD98</t>
        </is>
      </c>
      <c r="B4898" s="8" t="n">
        <v>46105.75</v>
      </c>
      <c r="C4898" s="8" t="n">
        <v>46105.7878587963</v>
      </c>
      <c r="D4898" s="9">
        <f>(C4898-B4898)*24</f>
        <v/>
      </c>
      <c r="E4898" s="10">
        <f>IF(AND(HOUR(B4898)&gt;=6,HOUR(B4898)&lt;18),"Day Shift","Night Shift")</f>
        <v/>
      </c>
      <c r="F4898" s="11">
        <f>INT(B4898)</f>
        <v/>
      </c>
      <c r="G4898" s="11">
        <f>INT(C4898)</f>
        <v/>
      </c>
    </row>
    <row r="4899">
      <c r="A4899" s="7" t="inlineStr">
        <is>
          <t>LDW262;EXD52</t>
        </is>
      </c>
      <c r="B4899" s="8" t="n">
        <v>46104.90179398148</v>
      </c>
      <c r="C4899" s="8" t="n">
        <v>46105.25</v>
      </c>
      <c r="D4899" s="9">
        <f>(C4899-B4899)*24</f>
        <v/>
      </c>
      <c r="E4899" s="10">
        <f>IF(AND(HOUR(B4899)&gt;=6,HOUR(B4899)&lt;18),"Day Shift","Night Shift")</f>
        <v/>
      </c>
      <c r="F4899" s="11">
        <f>INT(B4899)</f>
        <v/>
      </c>
      <c r="G4899" s="11">
        <f>INT(C4899)</f>
        <v/>
      </c>
    </row>
    <row r="4900">
      <c r="A4900" s="2" t="inlineStr">
        <is>
          <t>LDW262;EXD52</t>
        </is>
      </c>
      <c r="B4900" s="3" t="n">
        <v>46105.25</v>
      </c>
      <c r="C4900" s="3" t="n">
        <v>46105.75</v>
      </c>
      <c r="D4900" s="4">
        <f>(C4900-B4900)*24</f>
        <v/>
      </c>
      <c r="E4900" s="5">
        <f>IF(AND(HOUR(B4900)&gt;=6,HOUR(B4900)&lt;18),"Day Shift","Night Shift")</f>
        <v/>
      </c>
      <c r="F4900" s="6">
        <f>INT(B4900)</f>
        <v/>
      </c>
      <c r="G4900" s="6">
        <f>INT(C4900)</f>
        <v/>
      </c>
    </row>
    <row r="4901">
      <c r="A4901" s="7" t="inlineStr">
        <is>
          <t>LDW262;EXD52</t>
        </is>
      </c>
      <c r="B4901" s="8" t="n">
        <v>46105.75</v>
      </c>
      <c r="C4901" s="8" t="n">
        <v>46106.25</v>
      </c>
      <c r="D4901" s="9">
        <f>(C4901-B4901)*24</f>
        <v/>
      </c>
      <c r="E4901" s="10">
        <f>IF(AND(HOUR(B4901)&gt;=6,HOUR(B4901)&lt;18),"Day Shift","Night Shift")</f>
        <v/>
      </c>
      <c r="F4901" s="11">
        <f>INT(B4901)</f>
        <v/>
      </c>
      <c r="G4901" s="11">
        <f>INT(C4901)</f>
        <v/>
      </c>
    </row>
    <row r="4902">
      <c r="A4902" s="2" t="inlineStr">
        <is>
          <t>LDW262;EXD52</t>
        </is>
      </c>
      <c r="B4902" s="3" t="n">
        <v>46106.25</v>
      </c>
      <c r="C4902" s="3" t="n">
        <v>46106.41393518518</v>
      </c>
      <c r="D4902" s="4">
        <f>(C4902-B4902)*24</f>
        <v/>
      </c>
      <c r="E4902" s="5">
        <f>IF(AND(HOUR(B4902)&gt;=6,HOUR(B4902)&lt;18),"Day Shift","Night Shift")</f>
        <v/>
      </c>
      <c r="F4902" s="6">
        <f>INT(B4902)</f>
        <v/>
      </c>
      <c r="G4902" s="6">
        <f>INT(C4902)</f>
        <v/>
      </c>
    </row>
    <row r="4903">
      <c r="A4903" s="7" t="inlineStr">
        <is>
          <t>EDD175;EDD1932;EDD2134;EDD812</t>
        </is>
      </c>
      <c r="B4903" s="8" t="n">
        <v>46104.96736111111</v>
      </c>
      <c r="C4903" s="8" t="n">
        <v>46105.11902777778</v>
      </c>
      <c r="D4903" s="9">
        <f>(C4903-B4903)*24</f>
        <v/>
      </c>
      <c r="E4903" s="10">
        <f>IF(AND(HOUR(B4903)&gt;=6,HOUR(B4903)&lt;18),"Day Shift","Night Shift")</f>
        <v/>
      </c>
      <c r="F4903" s="11">
        <f>INT(B4903)</f>
        <v/>
      </c>
      <c r="G4903" s="11">
        <f>INT(C4903)</f>
        <v/>
      </c>
    </row>
    <row r="4904">
      <c r="A4904" s="7" t="inlineStr">
        <is>
          <t>SHE36</t>
        </is>
      </c>
      <c r="B4904" s="8" t="n">
        <v>46104.97556712963</v>
      </c>
      <c r="C4904" s="8" t="n">
        <v>46105.25</v>
      </c>
      <c r="D4904" s="9">
        <f>(C4904-B4904)*24</f>
        <v/>
      </c>
      <c r="E4904" s="10">
        <f>IF(AND(HOUR(B4904)&gt;=6,HOUR(B4904)&lt;18),"Day Shift","Night Shift")</f>
        <v/>
      </c>
      <c r="F4904" s="11">
        <f>INT(B4904)</f>
        <v/>
      </c>
      <c r="G4904" s="11">
        <f>INT(C4904)</f>
        <v/>
      </c>
    </row>
    <row r="4905">
      <c r="A4905" s="2" t="inlineStr">
        <is>
          <t>SHE36</t>
        </is>
      </c>
      <c r="B4905" s="3" t="n">
        <v>46105.25</v>
      </c>
      <c r="C4905" s="3" t="n">
        <v>46105.47113425926</v>
      </c>
      <c r="D4905" s="4">
        <f>(C4905-B4905)*24</f>
        <v/>
      </c>
      <c r="E4905" s="5">
        <f>IF(AND(HOUR(B4905)&gt;=6,HOUR(B4905)&lt;18),"Day Shift","Night Shift")</f>
        <v/>
      </c>
      <c r="F4905" s="6">
        <f>INT(B4905)</f>
        <v/>
      </c>
      <c r="G4905" s="6">
        <f>INT(C4905)</f>
        <v/>
      </c>
    </row>
    <row r="4906">
      <c r="A4906" s="7" t="inlineStr">
        <is>
          <t>EXD52</t>
        </is>
      </c>
      <c r="B4906" s="8" t="n">
        <v>46105.08722222222</v>
      </c>
      <c r="C4906" s="8" t="n">
        <v>46105.25</v>
      </c>
      <c r="D4906" s="9">
        <f>(C4906-B4906)*24</f>
        <v/>
      </c>
      <c r="E4906" s="10">
        <f>IF(AND(HOUR(B4906)&gt;=6,HOUR(B4906)&lt;18),"Day Shift","Night Shift")</f>
        <v/>
      </c>
      <c r="F4906" s="11">
        <f>INT(B4906)</f>
        <v/>
      </c>
      <c r="G4906" s="11">
        <f>INT(C4906)</f>
        <v/>
      </c>
    </row>
    <row r="4907">
      <c r="A4907" s="2" t="inlineStr">
        <is>
          <t>EXD52</t>
        </is>
      </c>
      <c r="B4907" s="3" t="n">
        <v>46105.25</v>
      </c>
      <c r="C4907" s="3" t="n">
        <v>46105.75</v>
      </c>
      <c r="D4907" s="4">
        <f>(C4907-B4907)*24</f>
        <v/>
      </c>
      <c r="E4907" s="5">
        <f>IF(AND(HOUR(B4907)&gt;=6,HOUR(B4907)&lt;18),"Day Shift","Night Shift")</f>
        <v/>
      </c>
      <c r="F4907" s="6">
        <f>INT(B4907)</f>
        <v/>
      </c>
      <c r="G4907" s="6">
        <f>INT(C4907)</f>
        <v/>
      </c>
    </row>
    <row r="4908">
      <c r="A4908" s="7" t="inlineStr">
        <is>
          <t>EXD52</t>
        </is>
      </c>
      <c r="B4908" s="8" t="n">
        <v>46105.75</v>
      </c>
      <c r="C4908" s="8" t="n">
        <v>46106.11136574074</v>
      </c>
      <c r="D4908" s="9">
        <f>(C4908-B4908)*24</f>
        <v/>
      </c>
      <c r="E4908" s="10">
        <f>IF(AND(HOUR(B4908)&gt;=6,HOUR(B4908)&lt;18),"Day Shift","Night Shift")</f>
        <v/>
      </c>
      <c r="F4908" s="11">
        <f>INT(B4908)</f>
        <v/>
      </c>
      <c r="G4908" s="11">
        <f>INT(C4908)</f>
        <v/>
      </c>
    </row>
    <row r="4909">
      <c r="A4909" s="7" t="inlineStr">
        <is>
          <t>EXD100</t>
        </is>
      </c>
      <c r="B4909" s="8" t="n">
        <v>46105.09268518518</v>
      </c>
      <c r="C4909" s="8" t="n">
        <v>46105.25</v>
      </c>
      <c r="D4909" s="9">
        <f>(C4909-B4909)*24</f>
        <v/>
      </c>
      <c r="E4909" s="10">
        <f>IF(AND(HOUR(B4909)&gt;=6,HOUR(B4909)&lt;18),"Day Shift","Night Shift")</f>
        <v/>
      </c>
      <c r="F4909" s="11">
        <f>INT(B4909)</f>
        <v/>
      </c>
      <c r="G4909" s="11">
        <f>INT(C4909)</f>
        <v/>
      </c>
    </row>
    <row r="4910">
      <c r="A4910" s="2" t="inlineStr">
        <is>
          <t>EXD100</t>
        </is>
      </c>
      <c r="B4910" s="3" t="n">
        <v>46105.25</v>
      </c>
      <c r="C4910" s="3" t="n">
        <v>46105.75</v>
      </c>
      <c r="D4910" s="4">
        <f>(C4910-B4910)*24</f>
        <v/>
      </c>
      <c r="E4910" s="5">
        <f>IF(AND(HOUR(B4910)&gt;=6,HOUR(B4910)&lt;18),"Day Shift","Night Shift")</f>
        <v/>
      </c>
      <c r="F4910" s="6">
        <f>INT(B4910)</f>
        <v/>
      </c>
      <c r="G4910" s="6">
        <f>INT(C4910)</f>
        <v/>
      </c>
    </row>
    <row r="4911">
      <c r="A4911" s="7" t="inlineStr">
        <is>
          <t>EXD100</t>
        </is>
      </c>
      <c r="B4911" s="8" t="n">
        <v>46105.75</v>
      </c>
      <c r="C4911" s="8" t="n">
        <v>46106.22199074074</v>
      </c>
      <c r="D4911" s="9">
        <f>(C4911-B4911)*24</f>
        <v/>
      </c>
      <c r="E4911" s="10">
        <f>IF(AND(HOUR(B4911)&gt;=6,HOUR(B4911)&lt;18),"Day Shift","Night Shift")</f>
        <v/>
      </c>
      <c r="F4911" s="11">
        <f>INT(B4911)</f>
        <v/>
      </c>
      <c r="G4911" s="11">
        <f>INT(C4911)</f>
        <v/>
      </c>
    </row>
    <row r="4912">
      <c r="A4912" s="7" t="inlineStr">
        <is>
          <t>EXD51</t>
        </is>
      </c>
      <c r="B4912" s="8" t="n">
        <v>46105.10701388889</v>
      </c>
      <c r="C4912" s="8" t="n">
        <v>46105.25</v>
      </c>
      <c r="D4912" s="9">
        <f>(C4912-B4912)*24</f>
        <v/>
      </c>
      <c r="E4912" s="10">
        <f>IF(AND(HOUR(B4912)&gt;=6,HOUR(B4912)&lt;18),"Day Shift","Night Shift")</f>
        <v/>
      </c>
      <c r="F4912" s="11">
        <f>INT(B4912)</f>
        <v/>
      </c>
      <c r="G4912" s="11">
        <f>INT(C4912)</f>
        <v/>
      </c>
    </row>
    <row r="4913">
      <c r="A4913" s="2" t="inlineStr">
        <is>
          <t>EXD51</t>
        </is>
      </c>
      <c r="B4913" s="3" t="n">
        <v>46105.25</v>
      </c>
      <c r="C4913" s="3" t="n">
        <v>46105.75</v>
      </c>
      <c r="D4913" s="4">
        <f>(C4913-B4913)*24</f>
        <v/>
      </c>
      <c r="E4913" s="5">
        <f>IF(AND(HOUR(B4913)&gt;=6,HOUR(B4913)&lt;18),"Day Shift","Night Shift")</f>
        <v/>
      </c>
      <c r="F4913" s="6">
        <f>INT(B4913)</f>
        <v/>
      </c>
      <c r="G4913" s="6">
        <f>INT(C4913)</f>
        <v/>
      </c>
    </row>
    <row r="4914">
      <c r="A4914" s="7" t="inlineStr">
        <is>
          <t>EXD51</t>
        </is>
      </c>
      <c r="B4914" s="8" t="n">
        <v>46105.75</v>
      </c>
      <c r="C4914" s="8" t="n">
        <v>46106.25</v>
      </c>
      <c r="D4914" s="9">
        <f>(C4914-B4914)*24</f>
        <v/>
      </c>
      <c r="E4914" s="10">
        <f>IF(AND(HOUR(B4914)&gt;=6,HOUR(B4914)&lt;18),"Day Shift","Night Shift")</f>
        <v/>
      </c>
      <c r="F4914" s="11">
        <f>INT(B4914)</f>
        <v/>
      </c>
      <c r="G4914" s="11">
        <f>INT(C4914)</f>
        <v/>
      </c>
    </row>
    <row r="4915">
      <c r="A4915" s="2" t="inlineStr">
        <is>
          <t>EXD51</t>
        </is>
      </c>
      <c r="B4915" s="3" t="n">
        <v>46106.25</v>
      </c>
      <c r="C4915" s="3" t="n">
        <v>46106.26175925926</v>
      </c>
      <c r="D4915" s="4">
        <f>(C4915-B4915)*24</f>
        <v/>
      </c>
      <c r="E4915" s="5">
        <f>IF(AND(HOUR(B4915)&gt;=6,HOUR(B4915)&lt;18),"Day Shift","Night Shift")</f>
        <v/>
      </c>
      <c r="F4915" s="6">
        <f>INT(B4915)</f>
        <v/>
      </c>
      <c r="G4915" s="6">
        <f>INT(C4915)</f>
        <v/>
      </c>
    </row>
    <row r="4916">
      <c r="A4916" s="7" t="inlineStr">
        <is>
          <t>EXD101</t>
        </is>
      </c>
      <c r="B4916" s="8" t="n">
        <v>46105.1166087963</v>
      </c>
      <c r="C4916" s="8" t="n">
        <v>46105.25</v>
      </c>
      <c r="D4916" s="9">
        <f>(C4916-B4916)*24</f>
        <v/>
      </c>
      <c r="E4916" s="10">
        <f>IF(AND(HOUR(B4916)&gt;=6,HOUR(B4916)&lt;18),"Day Shift","Night Shift")</f>
        <v/>
      </c>
      <c r="F4916" s="11">
        <f>INT(B4916)</f>
        <v/>
      </c>
      <c r="G4916" s="11">
        <f>INT(C4916)</f>
        <v/>
      </c>
    </row>
    <row r="4917">
      <c r="A4917" s="2" t="inlineStr">
        <is>
          <t>EXD101</t>
        </is>
      </c>
      <c r="B4917" s="3" t="n">
        <v>46105.25</v>
      </c>
      <c r="C4917" s="3" t="n">
        <v>46105.37420138889</v>
      </c>
      <c r="D4917" s="4">
        <f>(C4917-B4917)*24</f>
        <v/>
      </c>
      <c r="E4917" s="5">
        <f>IF(AND(HOUR(B4917)&gt;=6,HOUR(B4917)&lt;18),"Day Shift","Night Shift")</f>
        <v/>
      </c>
      <c r="F4917" s="6">
        <f>INT(B4917)</f>
        <v/>
      </c>
      <c r="G4917" s="6">
        <f>INT(C4917)</f>
        <v/>
      </c>
    </row>
    <row r="4918">
      <c r="A4918" s="7" t="inlineStr">
        <is>
          <t>EDD175;EDD1932;EDD2134;EDD812</t>
        </is>
      </c>
      <c r="B4918" s="8" t="n">
        <v>46105.11902777778</v>
      </c>
      <c r="C4918" s="8" t="n">
        <v>46105.2283912037</v>
      </c>
      <c r="D4918" s="9">
        <f>(C4918-B4918)*24</f>
        <v/>
      </c>
      <c r="E4918" s="10">
        <f>IF(AND(HOUR(B4918)&gt;=6,HOUR(B4918)&lt;18),"Day Shift","Night Shift")</f>
        <v/>
      </c>
      <c r="F4918" s="11">
        <f>INT(B4918)</f>
        <v/>
      </c>
      <c r="G4918" s="11">
        <f>INT(C4918)</f>
        <v/>
      </c>
    </row>
    <row r="4919">
      <c r="A4919" s="7" t="inlineStr">
        <is>
          <t>EDD175;EDD1932;EDD2134;EDD812</t>
        </is>
      </c>
      <c r="B4919" s="8" t="n">
        <v>46105.2283912037</v>
      </c>
      <c r="C4919" s="8" t="n">
        <v>46105.25</v>
      </c>
      <c r="D4919" s="9">
        <f>(C4919-B4919)*24</f>
        <v/>
      </c>
      <c r="E4919" s="10">
        <f>IF(AND(HOUR(B4919)&gt;=6,HOUR(B4919)&lt;18),"Day Shift","Night Shift")</f>
        <v/>
      </c>
      <c r="F4919" s="11">
        <f>INT(B4919)</f>
        <v/>
      </c>
      <c r="G4919" s="11">
        <f>INT(C4919)</f>
        <v/>
      </c>
    </row>
    <row r="4920">
      <c r="A4920" s="2" t="inlineStr">
        <is>
          <t>EDD175;EDD1932;EDD2134;EDD812</t>
        </is>
      </c>
      <c r="B4920" s="3" t="n">
        <v>46105.25</v>
      </c>
      <c r="C4920" s="3" t="n">
        <v>46105.41998842593</v>
      </c>
      <c r="D4920" s="4">
        <f>(C4920-B4920)*24</f>
        <v/>
      </c>
      <c r="E4920" s="5">
        <f>IF(AND(HOUR(B4920)&gt;=6,HOUR(B4920)&lt;18),"Day Shift","Night Shift")</f>
        <v/>
      </c>
      <c r="F4920" s="6">
        <f>INT(B4920)</f>
        <v/>
      </c>
      <c r="G4920" s="6">
        <f>INT(C4920)</f>
        <v/>
      </c>
    </row>
    <row r="4921">
      <c r="A4921" s="7" t="inlineStr">
        <is>
          <t>EXD56</t>
        </is>
      </c>
      <c r="B4921" s="8" t="n">
        <v>46105.24270833333</v>
      </c>
      <c r="C4921" s="8" t="n">
        <v>46105.25</v>
      </c>
      <c r="D4921" s="9">
        <f>(C4921-B4921)*24</f>
        <v/>
      </c>
      <c r="E4921" s="10">
        <f>IF(AND(HOUR(B4921)&gt;=6,HOUR(B4921)&lt;18),"Day Shift","Night Shift")</f>
        <v/>
      </c>
      <c r="F4921" s="11">
        <f>INT(B4921)</f>
        <v/>
      </c>
      <c r="G4921" s="11">
        <f>INT(C4921)</f>
        <v/>
      </c>
    </row>
    <row r="4922">
      <c r="A4922" s="2" t="inlineStr">
        <is>
          <t>EXD56</t>
        </is>
      </c>
      <c r="B4922" s="3" t="n">
        <v>46105.25</v>
      </c>
      <c r="C4922" s="3" t="n">
        <v>46105.75</v>
      </c>
      <c r="D4922" s="4">
        <f>(C4922-B4922)*24</f>
        <v/>
      </c>
      <c r="E4922" s="5">
        <f>IF(AND(HOUR(B4922)&gt;=6,HOUR(B4922)&lt;18),"Day Shift","Night Shift")</f>
        <v/>
      </c>
      <c r="F4922" s="6">
        <f>INT(B4922)</f>
        <v/>
      </c>
      <c r="G4922" s="6">
        <f>INT(C4922)</f>
        <v/>
      </c>
    </row>
    <row r="4923">
      <c r="A4923" s="7" t="inlineStr">
        <is>
          <t>EXD56</t>
        </is>
      </c>
      <c r="B4923" s="8" t="n">
        <v>46105.75</v>
      </c>
      <c r="C4923" s="8" t="n">
        <v>46106.25</v>
      </c>
      <c r="D4923" s="9">
        <f>(C4923-B4923)*24</f>
        <v/>
      </c>
      <c r="E4923" s="10">
        <f>IF(AND(HOUR(B4923)&gt;=6,HOUR(B4923)&lt;18),"Day Shift","Night Shift")</f>
        <v/>
      </c>
      <c r="F4923" s="11">
        <f>INT(B4923)</f>
        <v/>
      </c>
      <c r="G4923" s="11">
        <f>INT(C4923)</f>
        <v/>
      </c>
    </row>
    <row r="4924">
      <c r="A4924" s="2" t="inlineStr">
        <is>
          <t>EXD56</t>
        </is>
      </c>
      <c r="B4924" s="3" t="n">
        <v>46106.25</v>
      </c>
      <c r="C4924" s="3" t="n">
        <v>46106.75</v>
      </c>
      <c r="D4924" s="4">
        <f>(C4924-B4924)*24</f>
        <v/>
      </c>
      <c r="E4924" s="5">
        <f>IF(AND(HOUR(B4924)&gt;=6,HOUR(B4924)&lt;18),"Day Shift","Night Shift")</f>
        <v/>
      </c>
      <c r="F4924" s="6">
        <f>INT(B4924)</f>
        <v/>
      </c>
      <c r="G4924" s="6">
        <f>INT(C4924)</f>
        <v/>
      </c>
    </row>
    <row r="4925">
      <c r="A4925" s="7" t="inlineStr">
        <is>
          <t>EXD56</t>
        </is>
      </c>
      <c r="B4925" s="8" t="n">
        <v>46106.75</v>
      </c>
      <c r="C4925" s="8" t="n">
        <v>46107.25</v>
      </c>
      <c r="D4925" s="9">
        <f>(C4925-B4925)*24</f>
        <v/>
      </c>
      <c r="E4925" s="10">
        <f>IF(AND(HOUR(B4925)&gt;=6,HOUR(B4925)&lt;18),"Day Shift","Night Shift")</f>
        <v/>
      </c>
      <c r="F4925" s="11">
        <f>INT(B4925)</f>
        <v/>
      </c>
      <c r="G4925" s="11">
        <f>INT(C4925)</f>
        <v/>
      </c>
    </row>
    <row r="4926">
      <c r="A4926" s="2" t="inlineStr">
        <is>
          <t>EXD56</t>
        </is>
      </c>
      <c r="B4926" s="3" t="n">
        <v>46107.25</v>
      </c>
      <c r="C4926" s="3" t="n">
        <v>46107.75</v>
      </c>
      <c r="D4926" s="4">
        <f>(C4926-B4926)*24</f>
        <v/>
      </c>
      <c r="E4926" s="5">
        <f>IF(AND(HOUR(B4926)&gt;=6,HOUR(B4926)&lt;18),"Day Shift","Night Shift")</f>
        <v/>
      </c>
      <c r="F4926" s="6">
        <f>INT(B4926)</f>
        <v/>
      </c>
      <c r="G4926" s="6">
        <f>INT(C4926)</f>
        <v/>
      </c>
    </row>
    <row r="4927">
      <c r="A4927" s="7" t="inlineStr">
        <is>
          <t>EXD56</t>
        </is>
      </c>
      <c r="B4927" s="8" t="n">
        <v>46107.75</v>
      </c>
      <c r="C4927" s="8" t="n">
        <v>46108.25</v>
      </c>
      <c r="D4927" s="9">
        <f>(C4927-B4927)*24</f>
        <v/>
      </c>
      <c r="E4927" s="10">
        <f>IF(AND(HOUR(B4927)&gt;=6,HOUR(B4927)&lt;18),"Day Shift","Night Shift")</f>
        <v/>
      </c>
      <c r="F4927" s="11">
        <f>INT(B4927)</f>
        <v/>
      </c>
      <c r="G4927" s="11">
        <f>INT(C4927)</f>
        <v/>
      </c>
    </row>
    <row r="4928">
      <c r="A4928" s="2" t="inlineStr">
        <is>
          <t>EXD56</t>
        </is>
      </c>
      <c r="B4928" s="3" t="n">
        <v>46108.25</v>
      </c>
      <c r="C4928" s="3" t="n">
        <v>46108.75</v>
      </c>
      <c r="D4928" s="4">
        <f>(C4928-B4928)*24</f>
        <v/>
      </c>
      <c r="E4928" s="5">
        <f>IF(AND(HOUR(B4928)&gt;=6,HOUR(B4928)&lt;18),"Day Shift","Night Shift")</f>
        <v/>
      </c>
      <c r="F4928" s="6">
        <f>INT(B4928)</f>
        <v/>
      </c>
      <c r="G4928" s="6">
        <f>INT(C4928)</f>
        <v/>
      </c>
    </row>
    <row r="4929">
      <c r="A4929" s="7" t="inlineStr">
        <is>
          <t>EXD56</t>
        </is>
      </c>
      <c r="B4929" s="8" t="n">
        <v>46108.75</v>
      </c>
      <c r="C4929" s="8" t="n">
        <v>46109.25</v>
      </c>
      <c r="D4929" s="9">
        <f>(C4929-B4929)*24</f>
        <v/>
      </c>
      <c r="E4929" s="10">
        <f>IF(AND(HOUR(B4929)&gt;=6,HOUR(B4929)&lt;18),"Day Shift","Night Shift")</f>
        <v/>
      </c>
      <c r="F4929" s="11">
        <f>INT(B4929)</f>
        <v/>
      </c>
      <c r="G4929" s="11">
        <f>INT(C4929)</f>
        <v/>
      </c>
    </row>
    <row r="4930">
      <c r="A4930" s="2" t="inlineStr">
        <is>
          <t>EXD56</t>
        </is>
      </c>
      <c r="B4930" s="3" t="n">
        <v>46109.25</v>
      </c>
      <c r="C4930" s="3" t="n">
        <v>46109.75</v>
      </c>
      <c r="D4930" s="4">
        <f>(C4930-B4930)*24</f>
        <v/>
      </c>
      <c r="E4930" s="5">
        <f>IF(AND(HOUR(B4930)&gt;=6,HOUR(B4930)&lt;18),"Day Shift","Night Shift")</f>
        <v/>
      </c>
      <c r="F4930" s="6">
        <f>INT(B4930)</f>
        <v/>
      </c>
      <c r="G4930" s="6">
        <f>INT(C4930)</f>
        <v/>
      </c>
    </row>
    <row r="4931">
      <c r="A4931" s="7" t="inlineStr">
        <is>
          <t>EXD56</t>
        </is>
      </c>
      <c r="B4931" s="8" t="n">
        <v>46109.75</v>
      </c>
      <c r="C4931" s="8" t="n">
        <v>46110.15469907408</v>
      </c>
      <c r="D4931" s="9">
        <f>(C4931-B4931)*24</f>
        <v/>
      </c>
      <c r="E4931" s="10">
        <f>IF(AND(HOUR(B4931)&gt;=6,HOUR(B4931)&lt;18),"Day Shift","Night Shift")</f>
        <v/>
      </c>
      <c r="F4931" s="11">
        <f>INT(B4931)</f>
        <v/>
      </c>
      <c r="G4931" s="11">
        <f>INT(C4931)</f>
        <v/>
      </c>
    </row>
    <row r="4932">
      <c r="A4932" s="2" t="inlineStr">
        <is>
          <t>Sprint 1</t>
        </is>
      </c>
      <c r="B4932" s="3" t="n">
        <v>46105.35336805556</v>
      </c>
      <c r="C4932" s="3" t="n">
        <v>46105.75</v>
      </c>
      <c r="D4932" s="4">
        <f>(C4932-B4932)*24</f>
        <v/>
      </c>
      <c r="E4932" s="5">
        <f>IF(AND(HOUR(B4932)&gt;=6,HOUR(B4932)&lt;18),"Day Shift","Night Shift")</f>
        <v/>
      </c>
      <c r="F4932" s="6">
        <f>INT(B4932)</f>
        <v/>
      </c>
      <c r="G4932" s="6">
        <f>INT(C4932)</f>
        <v/>
      </c>
    </row>
    <row r="4933">
      <c r="A4933" s="7" t="inlineStr">
        <is>
          <t>Sprint 1</t>
        </is>
      </c>
      <c r="B4933" s="8" t="n">
        <v>46105.75</v>
      </c>
      <c r="C4933" s="8" t="n">
        <v>46106.19721064815</v>
      </c>
      <c r="D4933" s="9">
        <f>(C4933-B4933)*24</f>
        <v/>
      </c>
      <c r="E4933" s="10">
        <f>IF(AND(HOUR(B4933)&gt;=6,HOUR(B4933)&lt;18),"Day Shift","Night Shift")</f>
        <v/>
      </c>
      <c r="F4933" s="11">
        <f>INT(B4933)</f>
        <v/>
      </c>
      <c r="G4933" s="11">
        <f>INT(C4933)</f>
        <v/>
      </c>
    </row>
    <row r="4934">
      <c r="A4934" s="2" t="inlineStr">
        <is>
          <t>EXD101</t>
        </is>
      </c>
      <c r="B4934" s="3" t="n">
        <v>46105.37420138889</v>
      </c>
      <c r="C4934" s="3" t="n">
        <v>46105.62319444444</v>
      </c>
      <c r="D4934" s="4">
        <f>(C4934-B4934)*24</f>
        <v/>
      </c>
      <c r="E4934" s="5">
        <f>IF(AND(HOUR(B4934)&gt;=6,HOUR(B4934)&lt;18),"Day Shift","Night Shift")</f>
        <v/>
      </c>
      <c r="F4934" s="6">
        <f>INT(B4934)</f>
        <v/>
      </c>
      <c r="G4934" s="6">
        <f>INT(C4934)</f>
        <v/>
      </c>
    </row>
    <row r="4935">
      <c r="A4935" s="2" t="inlineStr">
        <is>
          <t>EDD175;EDD1932;EDD2134;EDD812</t>
        </is>
      </c>
      <c r="B4935" s="3" t="n">
        <v>46105.41998842593</v>
      </c>
      <c r="C4935" s="3" t="n">
        <v>46105.55598379629</v>
      </c>
      <c r="D4935" s="4">
        <f>(C4935-B4935)*24</f>
        <v/>
      </c>
      <c r="E4935" s="5">
        <f>IF(AND(HOUR(B4935)&gt;=6,HOUR(B4935)&lt;18),"Day Shift","Night Shift")</f>
        <v/>
      </c>
      <c r="F4935" s="6">
        <f>INT(B4935)</f>
        <v/>
      </c>
      <c r="G4935" s="6">
        <f>INT(C4935)</f>
        <v/>
      </c>
    </row>
    <row r="4936">
      <c r="A4936" s="2" t="inlineStr">
        <is>
          <t>EXD73</t>
        </is>
      </c>
      <c r="B4936" s="3" t="n">
        <v>46105.42991898148</v>
      </c>
      <c r="C4936" s="3" t="n">
        <v>46105.75</v>
      </c>
      <c r="D4936" s="4">
        <f>(C4936-B4936)*24</f>
        <v/>
      </c>
      <c r="E4936" s="5">
        <f>IF(AND(HOUR(B4936)&gt;=6,HOUR(B4936)&lt;18),"Day Shift","Night Shift")</f>
        <v/>
      </c>
      <c r="F4936" s="6">
        <f>INT(B4936)</f>
        <v/>
      </c>
      <c r="G4936" s="6">
        <f>INT(C4936)</f>
        <v/>
      </c>
    </row>
    <row r="4937">
      <c r="A4937" s="7" t="inlineStr">
        <is>
          <t>EXD73</t>
        </is>
      </c>
      <c r="B4937" s="8" t="n">
        <v>46105.75</v>
      </c>
      <c r="C4937" s="8" t="n">
        <v>46105.80070601852</v>
      </c>
      <c r="D4937" s="9">
        <f>(C4937-B4937)*24</f>
        <v/>
      </c>
      <c r="E4937" s="10">
        <f>IF(AND(HOUR(B4937)&gt;=6,HOUR(B4937)&lt;18),"Day Shift","Night Shift")</f>
        <v/>
      </c>
      <c r="F4937" s="11">
        <f>INT(B4937)</f>
        <v/>
      </c>
      <c r="G4937" s="11">
        <f>INT(C4937)</f>
        <v/>
      </c>
    </row>
    <row r="4938">
      <c r="A4938" s="2" t="inlineStr">
        <is>
          <t>EXD55</t>
        </is>
      </c>
      <c r="B4938" s="3" t="n">
        <v>46105.47783564815</v>
      </c>
      <c r="C4938" s="3" t="n">
        <v>46105.75</v>
      </c>
      <c r="D4938" s="4">
        <f>(C4938-B4938)*24</f>
        <v/>
      </c>
      <c r="E4938" s="5">
        <f>IF(AND(HOUR(B4938)&gt;=6,HOUR(B4938)&lt;18),"Day Shift","Night Shift")</f>
        <v/>
      </c>
      <c r="F4938" s="6">
        <f>INT(B4938)</f>
        <v/>
      </c>
      <c r="G4938" s="6">
        <f>INT(C4938)</f>
        <v/>
      </c>
    </row>
    <row r="4939">
      <c r="A4939" s="7" t="inlineStr">
        <is>
          <t>EXD55</t>
        </is>
      </c>
      <c r="B4939" s="8" t="n">
        <v>46105.75</v>
      </c>
      <c r="C4939" s="8" t="n">
        <v>46106.25</v>
      </c>
      <c r="D4939" s="9">
        <f>(C4939-B4939)*24</f>
        <v/>
      </c>
      <c r="E4939" s="10">
        <f>IF(AND(HOUR(B4939)&gt;=6,HOUR(B4939)&lt;18),"Day Shift","Night Shift")</f>
        <v/>
      </c>
      <c r="F4939" s="11">
        <f>INT(B4939)</f>
        <v/>
      </c>
      <c r="G4939" s="11">
        <f>INT(C4939)</f>
        <v/>
      </c>
    </row>
    <row r="4940">
      <c r="A4940" s="2" t="inlineStr">
        <is>
          <t>EXD55</t>
        </is>
      </c>
      <c r="B4940" s="3" t="n">
        <v>46106.25</v>
      </c>
      <c r="C4940" s="3" t="n">
        <v>46106.75</v>
      </c>
      <c r="D4940" s="4">
        <f>(C4940-B4940)*24</f>
        <v/>
      </c>
      <c r="E4940" s="5">
        <f>IF(AND(HOUR(B4940)&gt;=6,HOUR(B4940)&lt;18),"Day Shift","Night Shift")</f>
        <v/>
      </c>
      <c r="F4940" s="6">
        <f>INT(B4940)</f>
        <v/>
      </c>
      <c r="G4940" s="6">
        <f>INT(C4940)</f>
        <v/>
      </c>
    </row>
    <row r="4941">
      <c r="A4941" s="7" t="inlineStr">
        <is>
          <t>EXD55</t>
        </is>
      </c>
      <c r="B4941" s="8" t="n">
        <v>46106.75</v>
      </c>
      <c r="C4941" s="8" t="n">
        <v>46107.25</v>
      </c>
      <c r="D4941" s="9">
        <f>(C4941-B4941)*24</f>
        <v/>
      </c>
      <c r="E4941" s="10">
        <f>IF(AND(HOUR(B4941)&gt;=6,HOUR(B4941)&lt;18),"Day Shift","Night Shift")</f>
        <v/>
      </c>
      <c r="F4941" s="11">
        <f>INT(B4941)</f>
        <v/>
      </c>
      <c r="G4941" s="11">
        <f>INT(C4941)</f>
        <v/>
      </c>
    </row>
    <row r="4942">
      <c r="A4942" s="2" t="inlineStr">
        <is>
          <t>EXD55</t>
        </is>
      </c>
      <c r="B4942" s="3" t="n">
        <v>46107.25</v>
      </c>
      <c r="C4942" s="3" t="n">
        <v>46107.75</v>
      </c>
      <c r="D4942" s="4">
        <f>(C4942-B4942)*24</f>
        <v/>
      </c>
      <c r="E4942" s="5">
        <f>IF(AND(HOUR(B4942)&gt;=6,HOUR(B4942)&lt;18),"Day Shift","Night Shift")</f>
        <v/>
      </c>
      <c r="F4942" s="6">
        <f>INT(B4942)</f>
        <v/>
      </c>
      <c r="G4942" s="6">
        <f>INT(C4942)</f>
        <v/>
      </c>
    </row>
    <row r="4943">
      <c r="A4943" s="7" t="inlineStr">
        <is>
          <t>EXD55</t>
        </is>
      </c>
      <c r="B4943" s="8" t="n">
        <v>46107.75</v>
      </c>
      <c r="C4943" s="8" t="n">
        <v>46108.25</v>
      </c>
      <c r="D4943" s="9">
        <f>(C4943-B4943)*24</f>
        <v/>
      </c>
      <c r="E4943" s="10">
        <f>IF(AND(HOUR(B4943)&gt;=6,HOUR(B4943)&lt;18),"Day Shift","Night Shift")</f>
        <v/>
      </c>
      <c r="F4943" s="11">
        <f>INT(B4943)</f>
        <v/>
      </c>
      <c r="G4943" s="11">
        <f>INT(C4943)</f>
        <v/>
      </c>
    </row>
    <row r="4944">
      <c r="A4944" s="2" t="inlineStr">
        <is>
          <t>EXD55</t>
        </is>
      </c>
      <c r="B4944" s="3" t="n">
        <v>46108.25</v>
      </c>
      <c r="C4944" s="3" t="n">
        <v>46108.75</v>
      </c>
      <c r="D4944" s="4">
        <f>(C4944-B4944)*24</f>
        <v/>
      </c>
      <c r="E4944" s="5">
        <f>IF(AND(HOUR(B4944)&gt;=6,HOUR(B4944)&lt;18),"Day Shift","Night Shift")</f>
        <v/>
      </c>
      <c r="F4944" s="6">
        <f>INT(B4944)</f>
        <v/>
      </c>
      <c r="G4944" s="6">
        <f>INT(C4944)</f>
        <v/>
      </c>
    </row>
    <row r="4945">
      <c r="A4945" s="7" t="inlineStr">
        <is>
          <t>EXD55</t>
        </is>
      </c>
      <c r="B4945" s="8" t="n">
        <v>46108.75</v>
      </c>
      <c r="C4945" s="8" t="n">
        <v>46109.01601851852</v>
      </c>
      <c r="D4945" s="9">
        <f>(C4945-B4945)*24</f>
        <v/>
      </c>
      <c r="E4945" s="10">
        <f>IF(AND(HOUR(B4945)&gt;=6,HOUR(B4945)&lt;18),"Day Shift","Night Shift")</f>
        <v/>
      </c>
      <c r="F4945" s="11">
        <f>INT(B4945)</f>
        <v/>
      </c>
      <c r="G4945" s="11">
        <f>INT(C4945)</f>
        <v/>
      </c>
    </row>
    <row r="4946">
      <c r="A4946" s="2" t="inlineStr">
        <is>
          <t>EDD175;EDD1932;EDD2134;EDD812</t>
        </is>
      </c>
      <c r="B4946" s="3" t="n">
        <v>46105.55598379629</v>
      </c>
      <c r="C4946" s="3" t="n">
        <v>46105.69052083333</v>
      </c>
      <c r="D4946" s="4">
        <f>(C4946-B4946)*24</f>
        <v/>
      </c>
      <c r="E4946" s="5">
        <f>IF(AND(HOUR(B4946)&gt;=6,HOUR(B4946)&lt;18),"Day Shift","Night Shift")</f>
        <v/>
      </c>
      <c r="F4946" s="6">
        <f>INT(B4946)</f>
        <v/>
      </c>
      <c r="G4946" s="6">
        <f>INT(C4946)</f>
        <v/>
      </c>
    </row>
    <row r="4947">
      <c r="A4947" s="2" t="inlineStr">
        <is>
          <t>SHE36</t>
        </is>
      </c>
      <c r="B4947" s="3" t="n">
        <v>46105.58831018519</v>
      </c>
      <c r="C4947" s="3" t="n">
        <v>46105.75</v>
      </c>
      <c r="D4947" s="4">
        <f>(C4947-B4947)*24</f>
        <v/>
      </c>
      <c r="E4947" s="5">
        <f>IF(AND(HOUR(B4947)&gt;=6,HOUR(B4947)&lt;18),"Day Shift","Night Shift")</f>
        <v/>
      </c>
      <c r="F4947" s="6">
        <f>INT(B4947)</f>
        <v/>
      </c>
      <c r="G4947" s="6">
        <f>INT(C4947)</f>
        <v/>
      </c>
    </row>
    <row r="4948">
      <c r="A4948" s="7" t="inlineStr">
        <is>
          <t>SHE36</t>
        </is>
      </c>
      <c r="B4948" s="8" t="n">
        <v>46105.75</v>
      </c>
      <c r="C4948" s="8" t="n">
        <v>46105.7697800926</v>
      </c>
      <c r="D4948" s="9">
        <f>(C4948-B4948)*24</f>
        <v/>
      </c>
      <c r="E4948" s="10">
        <f>IF(AND(HOUR(B4948)&gt;=6,HOUR(B4948)&lt;18),"Day Shift","Night Shift")</f>
        <v/>
      </c>
      <c r="F4948" s="11">
        <f>INT(B4948)</f>
        <v/>
      </c>
      <c r="G4948" s="11">
        <f>INT(C4948)</f>
        <v/>
      </c>
    </row>
    <row r="4949">
      <c r="A4949" s="2" t="inlineStr">
        <is>
          <t>EXD101</t>
        </is>
      </c>
      <c r="B4949" s="3" t="n">
        <v>46105.67015046296</v>
      </c>
      <c r="C4949" s="3" t="n">
        <v>46105.75</v>
      </c>
      <c r="D4949" s="4">
        <f>(C4949-B4949)*24</f>
        <v/>
      </c>
      <c r="E4949" s="5">
        <f>IF(AND(HOUR(B4949)&gt;=6,HOUR(B4949)&lt;18),"Day Shift","Night Shift")</f>
        <v/>
      </c>
      <c r="F4949" s="6">
        <f>INT(B4949)</f>
        <v/>
      </c>
      <c r="G4949" s="6">
        <f>INT(C4949)</f>
        <v/>
      </c>
    </row>
    <row r="4950">
      <c r="A4950" s="7" t="inlineStr">
        <is>
          <t>EXD101</t>
        </is>
      </c>
      <c r="B4950" s="8" t="n">
        <v>46105.75</v>
      </c>
      <c r="C4950" s="8" t="n">
        <v>46105.95959490741</v>
      </c>
      <c r="D4950" s="9">
        <f>(C4950-B4950)*24</f>
        <v/>
      </c>
      <c r="E4950" s="10">
        <f>IF(AND(HOUR(B4950)&gt;=6,HOUR(B4950)&lt;18),"Day Shift","Night Shift")</f>
        <v/>
      </c>
      <c r="F4950" s="11">
        <f>INT(B4950)</f>
        <v/>
      </c>
      <c r="G4950" s="11">
        <f>INT(C4950)</f>
        <v/>
      </c>
    </row>
    <row r="4951">
      <c r="A4951" s="2" t="inlineStr">
        <is>
          <t>EXD409</t>
        </is>
      </c>
      <c r="B4951" s="3" t="n">
        <v>46105.67247685185</v>
      </c>
      <c r="C4951" s="3" t="n">
        <v>46105.75</v>
      </c>
      <c r="D4951" s="4">
        <f>(C4951-B4951)*24</f>
        <v/>
      </c>
      <c r="E4951" s="5">
        <f>IF(AND(HOUR(B4951)&gt;=6,HOUR(B4951)&lt;18),"Day Shift","Night Shift")</f>
        <v/>
      </c>
      <c r="F4951" s="6">
        <f>INT(B4951)</f>
        <v/>
      </c>
      <c r="G4951" s="6">
        <f>INT(C4951)</f>
        <v/>
      </c>
    </row>
    <row r="4952">
      <c r="A4952" s="7" t="inlineStr">
        <is>
          <t>EXD409</t>
        </is>
      </c>
      <c r="B4952" s="8" t="n">
        <v>46105.75</v>
      </c>
      <c r="C4952" s="8" t="n">
        <v>46106.25</v>
      </c>
      <c r="D4952" s="9">
        <f>(C4952-B4952)*24</f>
        <v/>
      </c>
      <c r="E4952" s="10">
        <f>IF(AND(HOUR(B4952)&gt;=6,HOUR(B4952)&lt;18),"Day Shift","Night Shift")</f>
        <v/>
      </c>
      <c r="F4952" s="11">
        <f>INT(B4952)</f>
        <v/>
      </c>
      <c r="G4952" s="11">
        <f>INT(C4952)</f>
        <v/>
      </c>
    </row>
    <row r="4953">
      <c r="A4953" s="2" t="inlineStr">
        <is>
          <t>EXD409</t>
        </is>
      </c>
      <c r="B4953" s="3" t="n">
        <v>46106.25</v>
      </c>
      <c r="C4953" s="3" t="n">
        <v>46106.75</v>
      </c>
      <c r="D4953" s="4">
        <f>(C4953-B4953)*24</f>
        <v/>
      </c>
      <c r="E4953" s="5">
        <f>IF(AND(HOUR(B4953)&gt;=6,HOUR(B4953)&lt;18),"Day Shift","Night Shift")</f>
        <v/>
      </c>
      <c r="F4953" s="6">
        <f>INT(B4953)</f>
        <v/>
      </c>
      <c r="G4953" s="6">
        <f>INT(C4953)</f>
        <v/>
      </c>
    </row>
    <row r="4954">
      <c r="A4954" s="7" t="inlineStr">
        <is>
          <t>EXD409</t>
        </is>
      </c>
      <c r="B4954" s="8" t="n">
        <v>46106.75</v>
      </c>
      <c r="C4954" s="8" t="n">
        <v>46107.25</v>
      </c>
      <c r="D4954" s="9">
        <f>(C4954-B4954)*24</f>
        <v/>
      </c>
      <c r="E4954" s="10">
        <f>IF(AND(HOUR(B4954)&gt;=6,HOUR(B4954)&lt;18),"Day Shift","Night Shift")</f>
        <v/>
      </c>
      <c r="F4954" s="11">
        <f>INT(B4954)</f>
        <v/>
      </c>
      <c r="G4954" s="11">
        <f>INT(C4954)</f>
        <v/>
      </c>
    </row>
    <row r="4955">
      <c r="A4955" s="2" t="inlineStr">
        <is>
          <t>EXD409</t>
        </is>
      </c>
      <c r="B4955" s="3" t="n">
        <v>46107.25</v>
      </c>
      <c r="C4955" s="3" t="n">
        <v>46107.34359953704</v>
      </c>
      <c r="D4955" s="4">
        <f>(C4955-B4955)*24</f>
        <v/>
      </c>
      <c r="E4955" s="5">
        <f>IF(AND(HOUR(B4955)&gt;=6,HOUR(B4955)&lt;18),"Day Shift","Night Shift")</f>
        <v/>
      </c>
      <c r="F4955" s="6">
        <f>INT(B4955)</f>
        <v/>
      </c>
      <c r="G4955" s="6">
        <f>INT(C4955)</f>
        <v/>
      </c>
    </row>
    <row r="4956">
      <c r="A4956" s="2" t="inlineStr">
        <is>
          <t>EXD408</t>
        </is>
      </c>
      <c r="B4956" s="3" t="n">
        <v>46105.6784837963</v>
      </c>
      <c r="C4956" s="3" t="n">
        <v>46105.75</v>
      </c>
      <c r="D4956" s="4">
        <f>(C4956-B4956)*24</f>
        <v/>
      </c>
      <c r="E4956" s="5">
        <f>IF(AND(HOUR(B4956)&gt;=6,HOUR(B4956)&lt;18),"Day Shift","Night Shift")</f>
        <v/>
      </c>
      <c r="F4956" s="6">
        <f>INT(B4956)</f>
        <v/>
      </c>
      <c r="G4956" s="6">
        <f>INT(C4956)</f>
        <v/>
      </c>
    </row>
    <row r="4957">
      <c r="A4957" s="7" t="inlineStr">
        <is>
          <t>EXD408</t>
        </is>
      </c>
      <c r="B4957" s="8" t="n">
        <v>46105.75</v>
      </c>
      <c r="C4957" s="8" t="n">
        <v>46106.25</v>
      </c>
      <c r="D4957" s="9">
        <f>(C4957-B4957)*24</f>
        <v/>
      </c>
      <c r="E4957" s="10">
        <f>IF(AND(HOUR(B4957)&gt;=6,HOUR(B4957)&lt;18),"Day Shift","Night Shift")</f>
        <v/>
      </c>
      <c r="F4957" s="11">
        <f>INT(B4957)</f>
        <v/>
      </c>
      <c r="G4957" s="11">
        <f>INT(C4957)</f>
        <v/>
      </c>
    </row>
    <row r="4958">
      <c r="A4958" s="2" t="inlineStr">
        <is>
          <t>EXD408</t>
        </is>
      </c>
      <c r="B4958" s="3" t="n">
        <v>46106.25</v>
      </c>
      <c r="C4958" s="3" t="n">
        <v>46106.52553240741</v>
      </c>
      <c r="D4958" s="4">
        <f>(C4958-B4958)*24</f>
        <v/>
      </c>
      <c r="E4958" s="5">
        <f>IF(AND(HOUR(B4958)&gt;=6,HOUR(B4958)&lt;18),"Day Shift","Night Shift")</f>
        <v/>
      </c>
      <c r="F4958" s="6">
        <f>INT(B4958)</f>
        <v/>
      </c>
      <c r="G4958" s="6">
        <f>INT(C4958)</f>
        <v/>
      </c>
    </row>
    <row r="4959">
      <c r="A4959" s="2" t="inlineStr">
        <is>
          <t>EDD175;EDD1932;EDD2134;EDD812</t>
        </is>
      </c>
      <c r="B4959" s="3" t="n">
        <v>46105.69052083333</v>
      </c>
      <c r="C4959" s="3" t="n">
        <v>46105.75</v>
      </c>
      <c r="D4959" s="4">
        <f>(C4959-B4959)*24</f>
        <v/>
      </c>
      <c r="E4959" s="5">
        <f>IF(AND(HOUR(B4959)&gt;=6,HOUR(B4959)&lt;18),"Day Shift","Night Shift")</f>
        <v/>
      </c>
      <c r="F4959" s="6">
        <f>INT(B4959)</f>
        <v/>
      </c>
      <c r="G4959" s="6">
        <f>INT(C4959)</f>
        <v/>
      </c>
    </row>
    <row r="4960">
      <c r="A4960" s="7" t="inlineStr">
        <is>
          <t>EDD175;EDD1932;EDD2134;EDD812</t>
        </is>
      </c>
      <c r="B4960" s="8" t="n">
        <v>46105.75</v>
      </c>
      <c r="C4960" s="8" t="n">
        <v>46105.8309837963</v>
      </c>
      <c r="D4960" s="9">
        <f>(C4960-B4960)*24</f>
        <v/>
      </c>
      <c r="E4960" s="10">
        <f>IF(AND(HOUR(B4960)&gt;=6,HOUR(B4960)&lt;18),"Day Shift","Night Shift")</f>
        <v/>
      </c>
      <c r="F4960" s="11">
        <f>INT(B4960)</f>
        <v/>
      </c>
      <c r="G4960" s="11">
        <f>INT(C4960)</f>
        <v/>
      </c>
    </row>
    <row r="4961">
      <c r="A4961" s="7" t="inlineStr">
        <is>
          <t>EXD98</t>
        </is>
      </c>
      <c r="B4961" s="8" t="n">
        <v>46105.7878587963</v>
      </c>
      <c r="C4961" s="8" t="n">
        <v>46106.25</v>
      </c>
      <c r="D4961" s="9">
        <f>(C4961-B4961)*24</f>
        <v/>
      </c>
      <c r="E4961" s="10">
        <f>IF(AND(HOUR(B4961)&gt;=6,HOUR(B4961)&lt;18),"Day Shift","Night Shift")</f>
        <v/>
      </c>
      <c r="F4961" s="11">
        <f>INT(B4961)</f>
        <v/>
      </c>
      <c r="G4961" s="11">
        <f>INT(C4961)</f>
        <v/>
      </c>
    </row>
    <row r="4962">
      <c r="A4962" s="2" t="inlineStr">
        <is>
          <t>EXD98</t>
        </is>
      </c>
      <c r="B4962" s="3" t="n">
        <v>46106.25</v>
      </c>
      <c r="C4962" s="3" t="n">
        <v>46106.68011574074</v>
      </c>
      <c r="D4962" s="4">
        <f>(C4962-B4962)*24</f>
        <v/>
      </c>
      <c r="E4962" s="5">
        <f>IF(AND(HOUR(B4962)&gt;=6,HOUR(B4962)&lt;18),"Day Shift","Night Shift")</f>
        <v/>
      </c>
      <c r="F4962" s="6">
        <f>INT(B4962)</f>
        <v/>
      </c>
      <c r="G4962" s="6">
        <f>INT(C4962)</f>
        <v/>
      </c>
    </row>
    <row r="4963">
      <c r="A4963" s="7" t="inlineStr">
        <is>
          <t>EXD60</t>
        </is>
      </c>
      <c r="B4963" s="8" t="n">
        <v>46105.80021990741</v>
      </c>
      <c r="C4963" s="8" t="n">
        <v>46106.25</v>
      </c>
      <c r="D4963" s="9">
        <f>(C4963-B4963)*24</f>
        <v/>
      </c>
      <c r="E4963" s="10">
        <f>IF(AND(HOUR(B4963)&gt;=6,HOUR(B4963)&lt;18),"Day Shift","Night Shift")</f>
        <v/>
      </c>
      <c r="F4963" s="11">
        <f>INT(B4963)</f>
        <v/>
      </c>
      <c r="G4963" s="11">
        <f>INT(C4963)</f>
        <v/>
      </c>
    </row>
    <row r="4964">
      <c r="A4964" s="2" t="inlineStr">
        <is>
          <t>EXD60</t>
        </is>
      </c>
      <c r="B4964" s="3" t="n">
        <v>46106.25</v>
      </c>
      <c r="C4964" s="3" t="n">
        <v>46106.75</v>
      </c>
      <c r="D4964" s="4">
        <f>(C4964-B4964)*24</f>
        <v/>
      </c>
      <c r="E4964" s="5">
        <f>IF(AND(HOUR(B4964)&gt;=6,HOUR(B4964)&lt;18),"Day Shift","Night Shift")</f>
        <v/>
      </c>
      <c r="F4964" s="6">
        <f>INT(B4964)</f>
        <v/>
      </c>
      <c r="G4964" s="6">
        <f>INT(C4964)</f>
        <v/>
      </c>
    </row>
    <row r="4965">
      <c r="A4965" s="7" t="inlineStr">
        <is>
          <t>EXD60</t>
        </is>
      </c>
      <c r="B4965" s="8" t="n">
        <v>46106.75</v>
      </c>
      <c r="C4965" s="8" t="n">
        <v>46107.25</v>
      </c>
      <c r="D4965" s="9">
        <f>(C4965-B4965)*24</f>
        <v/>
      </c>
      <c r="E4965" s="10">
        <f>IF(AND(HOUR(B4965)&gt;=6,HOUR(B4965)&lt;18),"Day Shift","Night Shift")</f>
        <v/>
      </c>
      <c r="F4965" s="11">
        <f>INT(B4965)</f>
        <v/>
      </c>
      <c r="G4965" s="11">
        <f>INT(C4965)</f>
        <v/>
      </c>
    </row>
    <row r="4966">
      <c r="A4966" s="2" t="inlineStr">
        <is>
          <t>EXD60</t>
        </is>
      </c>
      <c r="B4966" s="3" t="n">
        <v>46107.25</v>
      </c>
      <c r="C4966" s="3" t="n">
        <v>46107.75</v>
      </c>
      <c r="D4966" s="4">
        <f>(C4966-B4966)*24</f>
        <v/>
      </c>
      <c r="E4966" s="5">
        <f>IF(AND(HOUR(B4966)&gt;=6,HOUR(B4966)&lt;18),"Day Shift","Night Shift")</f>
        <v/>
      </c>
      <c r="F4966" s="6">
        <f>INT(B4966)</f>
        <v/>
      </c>
      <c r="G4966" s="6">
        <f>INT(C4966)</f>
        <v/>
      </c>
    </row>
    <row r="4967">
      <c r="A4967" s="7" t="inlineStr">
        <is>
          <t>EXD60</t>
        </is>
      </c>
      <c r="B4967" s="8" t="n">
        <v>46107.75</v>
      </c>
      <c r="C4967" s="8" t="n">
        <v>46108.25</v>
      </c>
      <c r="D4967" s="9">
        <f>(C4967-B4967)*24</f>
        <v/>
      </c>
      <c r="E4967" s="10">
        <f>IF(AND(HOUR(B4967)&gt;=6,HOUR(B4967)&lt;18),"Day Shift","Night Shift")</f>
        <v/>
      </c>
      <c r="F4967" s="11">
        <f>INT(B4967)</f>
        <v/>
      </c>
      <c r="G4967" s="11">
        <f>INT(C4967)</f>
        <v/>
      </c>
    </row>
    <row r="4968">
      <c r="A4968" s="2" t="inlineStr">
        <is>
          <t>EXD60</t>
        </is>
      </c>
      <c r="B4968" s="3" t="n">
        <v>46108.25</v>
      </c>
      <c r="C4968" s="3" t="n">
        <v>46108.75</v>
      </c>
      <c r="D4968" s="4">
        <f>(C4968-B4968)*24</f>
        <v/>
      </c>
      <c r="E4968" s="5">
        <f>IF(AND(HOUR(B4968)&gt;=6,HOUR(B4968)&lt;18),"Day Shift","Night Shift")</f>
        <v/>
      </c>
      <c r="F4968" s="6">
        <f>INT(B4968)</f>
        <v/>
      </c>
      <c r="G4968" s="6">
        <f>INT(C4968)</f>
        <v/>
      </c>
    </row>
    <row r="4969">
      <c r="A4969" s="7" t="inlineStr">
        <is>
          <t>EXD60</t>
        </is>
      </c>
      <c r="B4969" s="8" t="n">
        <v>46108.75</v>
      </c>
      <c r="C4969" s="8" t="n">
        <v>46109.00208333333</v>
      </c>
      <c r="D4969" s="9">
        <f>(C4969-B4969)*24</f>
        <v/>
      </c>
      <c r="E4969" s="10">
        <f>IF(AND(HOUR(B4969)&gt;=6,HOUR(B4969)&lt;18),"Day Shift","Night Shift")</f>
        <v/>
      </c>
      <c r="F4969" s="11">
        <f>INT(B4969)</f>
        <v/>
      </c>
      <c r="G4969" s="11">
        <f>INT(C4969)</f>
        <v/>
      </c>
    </row>
    <row r="4970">
      <c r="A4970" s="7" t="inlineStr">
        <is>
          <t>EXD73</t>
        </is>
      </c>
      <c r="B4970" s="8" t="n">
        <v>46105.80070601852</v>
      </c>
      <c r="C4970" s="8" t="n">
        <v>46106.25</v>
      </c>
      <c r="D4970" s="9">
        <f>(C4970-B4970)*24</f>
        <v/>
      </c>
      <c r="E4970" s="10">
        <f>IF(AND(HOUR(B4970)&gt;=6,HOUR(B4970)&lt;18),"Day Shift","Night Shift")</f>
        <v/>
      </c>
      <c r="F4970" s="11">
        <f>INT(B4970)</f>
        <v/>
      </c>
      <c r="G4970" s="11">
        <f>INT(C4970)</f>
        <v/>
      </c>
    </row>
    <row r="4971">
      <c r="A4971" s="2" t="inlineStr">
        <is>
          <t>EXD73</t>
        </is>
      </c>
      <c r="B4971" s="3" t="n">
        <v>46106.25</v>
      </c>
      <c r="C4971" s="3" t="n">
        <v>46106.37113425926</v>
      </c>
      <c r="D4971" s="4">
        <f>(C4971-B4971)*24</f>
        <v/>
      </c>
      <c r="E4971" s="5">
        <f>IF(AND(HOUR(B4971)&gt;=6,HOUR(B4971)&lt;18),"Day Shift","Night Shift")</f>
        <v/>
      </c>
      <c r="F4971" s="6">
        <f>INT(B4971)</f>
        <v/>
      </c>
      <c r="G4971" s="6">
        <f>INT(C4971)</f>
        <v/>
      </c>
    </row>
    <row r="4972">
      <c r="A4972" s="7" t="inlineStr">
        <is>
          <t>EDD175;EDD1932;EDD2134;EDD812</t>
        </is>
      </c>
      <c r="B4972" s="8" t="n">
        <v>46105.8309837963</v>
      </c>
      <c r="C4972" s="8" t="n">
        <v>46105.97359953704</v>
      </c>
      <c r="D4972" s="9">
        <f>(C4972-B4972)*24</f>
        <v/>
      </c>
      <c r="E4972" s="10">
        <f>IF(AND(HOUR(B4972)&gt;=6,HOUR(B4972)&lt;18),"Day Shift","Night Shift")</f>
        <v/>
      </c>
      <c r="F4972" s="11">
        <f>INT(B4972)</f>
        <v/>
      </c>
      <c r="G4972" s="11">
        <f>INT(C4972)</f>
        <v/>
      </c>
    </row>
    <row r="4973">
      <c r="A4973" s="7" t="inlineStr">
        <is>
          <t>SHE36</t>
        </is>
      </c>
      <c r="B4973" s="8" t="n">
        <v>46105.89633101852</v>
      </c>
      <c r="C4973" s="8" t="n">
        <v>46106.25</v>
      </c>
      <c r="D4973" s="9">
        <f>(C4973-B4973)*24</f>
        <v/>
      </c>
      <c r="E4973" s="10">
        <f>IF(AND(HOUR(B4973)&gt;=6,HOUR(B4973)&lt;18),"Day Shift","Night Shift")</f>
        <v/>
      </c>
      <c r="F4973" s="11">
        <f>INT(B4973)</f>
        <v/>
      </c>
      <c r="G4973" s="11">
        <f>INT(C4973)</f>
        <v/>
      </c>
    </row>
    <row r="4974">
      <c r="A4974" s="2" t="inlineStr">
        <is>
          <t>SHE36</t>
        </is>
      </c>
      <c r="B4974" s="3" t="n">
        <v>46106.25</v>
      </c>
      <c r="C4974" s="3" t="n">
        <v>46106.53234953704</v>
      </c>
      <c r="D4974" s="4">
        <f>(C4974-B4974)*24</f>
        <v/>
      </c>
      <c r="E4974" s="5">
        <f>IF(AND(HOUR(B4974)&gt;=6,HOUR(B4974)&lt;18),"Day Shift","Night Shift")</f>
        <v/>
      </c>
      <c r="F4974" s="6">
        <f>INT(B4974)</f>
        <v/>
      </c>
      <c r="G4974" s="6">
        <f>INT(C4974)</f>
        <v/>
      </c>
    </row>
    <row r="4975">
      <c r="A4975" s="7" t="inlineStr">
        <is>
          <t>EXD101</t>
        </is>
      </c>
      <c r="B4975" s="8" t="n">
        <v>46105.95959490741</v>
      </c>
      <c r="C4975" s="8" t="n">
        <v>46106.25</v>
      </c>
      <c r="D4975" s="9">
        <f>(C4975-B4975)*24</f>
        <v/>
      </c>
      <c r="E4975" s="10">
        <f>IF(AND(HOUR(B4975)&gt;=6,HOUR(B4975)&lt;18),"Day Shift","Night Shift")</f>
        <v/>
      </c>
      <c r="F4975" s="11">
        <f>INT(B4975)</f>
        <v/>
      </c>
      <c r="G4975" s="11">
        <f>INT(C4975)</f>
        <v/>
      </c>
    </row>
    <row r="4976">
      <c r="A4976" s="2" t="inlineStr">
        <is>
          <t>EXD101</t>
        </is>
      </c>
      <c r="B4976" s="3" t="n">
        <v>46106.25</v>
      </c>
      <c r="C4976" s="3" t="n">
        <v>46106.26478009259</v>
      </c>
      <c r="D4976" s="4">
        <f>(C4976-B4976)*24</f>
        <v/>
      </c>
      <c r="E4976" s="5">
        <f>IF(AND(HOUR(B4976)&gt;=6,HOUR(B4976)&lt;18),"Day Shift","Night Shift")</f>
        <v/>
      </c>
      <c r="F4976" s="6">
        <f>INT(B4976)</f>
        <v/>
      </c>
      <c r="G4976" s="6">
        <f>INT(C4976)</f>
        <v/>
      </c>
    </row>
    <row r="4977">
      <c r="A4977" s="7" t="inlineStr">
        <is>
          <t>EDD175;EDD1932;EDD2134;EDD812</t>
        </is>
      </c>
      <c r="B4977" s="8" t="n">
        <v>46105.97359953704</v>
      </c>
      <c r="C4977" s="8" t="n">
        <v>46106.11236111111</v>
      </c>
      <c r="D4977" s="9">
        <f>(C4977-B4977)*24</f>
        <v/>
      </c>
      <c r="E4977" s="10">
        <f>IF(AND(HOUR(B4977)&gt;=6,HOUR(B4977)&lt;18),"Day Shift","Night Shift")</f>
        <v/>
      </c>
      <c r="F4977" s="11">
        <f>INT(B4977)</f>
        <v/>
      </c>
      <c r="G4977" s="11">
        <f>INT(C4977)</f>
        <v/>
      </c>
    </row>
    <row r="4978">
      <c r="A4978" s="7" t="inlineStr">
        <is>
          <t>EDD175;EDD1932;EDD2134;EDD812</t>
        </is>
      </c>
      <c r="B4978" s="8" t="n">
        <v>46106.11236111111</v>
      </c>
      <c r="C4978" s="8" t="n">
        <v>46106.18756944445</v>
      </c>
      <c r="D4978" s="9">
        <f>(C4978-B4978)*24</f>
        <v/>
      </c>
      <c r="E4978" s="10">
        <f>IF(AND(HOUR(B4978)&gt;=6,HOUR(B4978)&lt;18),"Day Shift","Night Shift")</f>
        <v/>
      </c>
      <c r="F4978" s="11">
        <f>INT(B4978)</f>
        <v/>
      </c>
      <c r="G4978" s="11">
        <f>INT(C4978)</f>
        <v/>
      </c>
    </row>
    <row r="4979">
      <c r="A4979" s="7" t="inlineStr">
        <is>
          <t>EXD61</t>
        </is>
      </c>
      <c r="B4979" s="8" t="n">
        <v>46106.1672337963</v>
      </c>
      <c r="C4979" s="8" t="n">
        <v>46106.25</v>
      </c>
      <c r="D4979" s="9">
        <f>(C4979-B4979)*24</f>
        <v/>
      </c>
      <c r="E4979" s="10">
        <f>IF(AND(HOUR(B4979)&gt;=6,HOUR(B4979)&lt;18),"Day Shift","Night Shift")</f>
        <v/>
      </c>
      <c r="F4979" s="11">
        <f>INT(B4979)</f>
        <v/>
      </c>
      <c r="G4979" s="11">
        <f>INT(C4979)</f>
        <v/>
      </c>
    </row>
    <row r="4980">
      <c r="A4980" s="2" t="inlineStr">
        <is>
          <t>EXD61</t>
        </is>
      </c>
      <c r="B4980" s="3" t="n">
        <v>46106.25</v>
      </c>
      <c r="C4980" s="3" t="n">
        <v>46106.73371527778</v>
      </c>
      <c r="D4980" s="4">
        <f>(C4980-B4980)*24</f>
        <v/>
      </c>
      <c r="E4980" s="5">
        <f>IF(AND(HOUR(B4980)&gt;=6,HOUR(B4980)&lt;18),"Day Shift","Night Shift")</f>
        <v/>
      </c>
      <c r="F4980" s="6">
        <f>INT(B4980)</f>
        <v/>
      </c>
      <c r="G4980" s="6">
        <f>INT(C4980)</f>
        <v/>
      </c>
    </row>
    <row r="4981">
      <c r="A4981" s="7" t="inlineStr">
        <is>
          <t>Sprint 1</t>
        </is>
      </c>
      <c r="B4981" s="8" t="n">
        <v>46106.19721064815</v>
      </c>
      <c r="C4981" s="8" t="n">
        <v>46106.25</v>
      </c>
      <c r="D4981" s="9">
        <f>(C4981-B4981)*24</f>
        <v/>
      </c>
      <c r="E4981" s="10">
        <f>IF(AND(HOUR(B4981)&gt;=6,HOUR(B4981)&lt;18),"Day Shift","Night Shift")</f>
        <v/>
      </c>
      <c r="F4981" s="11">
        <f>INT(B4981)</f>
        <v/>
      </c>
      <c r="G4981" s="11">
        <f>INT(C4981)</f>
        <v/>
      </c>
    </row>
    <row r="4982">
      <c r="A4982" s="2" t="inlineStr">
        <is>
          <t>Sprint 1</t>
        </is>
      </c>
      <c r="B4982" s="3" t="n">
        <v>46106.25</v>
      </c>
      <c r="C4982" s="3" t="n">
        <v>46106.75</v>
      </c>
      <c r="D4982" s="4">
        <f>(C4982-B4982)*24</f>
        <v/>
      </c>
      <c r="E4982" s="5">
        <f>IF(AND(HOUR(B4982)&gt;=6,HOUR(B4982)&lt;18),"Day Shift","Night Shift")</f>
        <v/>
      </c>
      <c r="F4982" s="6">
        <f>INT(B4982)</f>
        <v/>
      </c>
      <c r="G4982" s="6">
        <f>INT(C4982)</f>
        <v/>
      </c>
    </row>
    <row r="4983">
      <c r="A4983" s="7" t="inlineStr">
        <is>
          <t>Sprint 1</t>
        </is>
      </c>
      <c r="B4983" s="8" t="n">
        <v>46106.75</v>
      </c>
      <c r="C4983" s="8" t="n">
        <v>46107.16141203704</v>
      </c>
      <c r="D4983" s="9">
        <f>(C4983-B4983)*24</f>
        <v/>
      </c>
      <c r="E4983" s="10">
        <f>IF(AND(HOUR(B4983)&gt;=6,HOUR(B4983)&lt;18),"Day Shift","Night Shift")</f>
        <v/>
      </c>
      <c r="F4983" s="11">
        <f>INT(B4983)</f>
        <v/>
      </c>
      <c r="G4983" s="11">
        <f>INT(C4983)</f>
        <v/>
      </c>
    </row>
    <row r="4984">
      <c r="A4984" s="7" t="inlineStr">
        <is>
          <t>EXD100</t>
        </is>
      </c>
      <c r="B4984" s="8" t="n">
        <v>46106.22199074074</v>
      </c>
      <c r="C4984" s="8" t="n">
        <v>46106.25</v>
      </c>
      <c r="D4984" s="9">
        <f>(C4984-B4984)*24</f>
        <v/>
      </c>
      <c r="E4984" s="10">
        <f>IF(AND(HOUR(B4984)&gt;=6,HOUR(B4984)&lt;18),"Day Shift","Night Shift")</f>
        <v/>
      </c>
      <c r="F4984" s="11">
        <f>INT(B4984)</f>
        <v/>
      </c>
      <c r="G4984" s="11">
        <f>INT(C4984)</f>
        <v/>
      </c>
    </row>
    <row r="4985">
      <c r="A4985" s="2" t="inlineStr">
        <is>
          <t>EXD100</t>
        </is>
      </c>
      <c r="B4985" s="3" t="n">
        <v>46106.25</v>
      </c>
      <c r="C4985" s="3" t="n">
        <v>46106.75</v>
      </c>
      <c r="D4985" s="4">
        <f>(C4985-B4985)*24</f>
        <v/>
      </c>
      <c r="E4985" s="5">
        <f>IF(AND(HOUR(B4985)&gt;=6,HOUR(B4985)&lt;18),"Day Shift","Night Shift")</f>
        <v/>
      </c>
      <c r="F4985" s="6">
        <f>INT(B4985)</f>
        <v/>
      </c>
      <c r="G4985" s="6">
        <f>INT(C4985)</f>
        <v/>
      </c>
    </row>
    <row r="4986">
      <c r="A4986" s="7" t="inlineStr">
        <is>
          <t>EXD100</t>
        </is>
      </c>
      <c r="B4986" s="8" t="n">
        <v>46106.75</v>
      </c>
      <c r="C4986" s="8" t="n">
        <v>46106.86229166666</v>
      </c>
      <c r="D4986" s="9">
        <f>(C4986-B4986)*24</f>
        <v/>
      </c>
      <c r="E4986" s="10">
        <f>IF(AND(HOUR(B4986)&gt;=6,HOUR(B4986)&lt;18),"Day Shift","Night Shift")</f>
        <v/>
      </c>
      <c r="F4986" s="11">
        <f>INT(B4986)</f>
        <v/>
      </c>
      <c r="G4986" s="11">
        <f>INT(C4986)</f>
        <v/>
      </c>
    </row>
    <row r="4987">
      <c r="A4987" s="7" t="inlineStr">
        <is>
          <t>DRE12</t>
        </is>
      </c>
      <c r="B4987" s="8" t="n">
        <v>46106.24752314815</v>
      </c>
      <c r="C4987" s="8" t="n">
        <v>46106.25</v>
      </c>
      <c r="D4987" s="9">
        <f>(C4987-B4987)*24</f>
        <v/>
      </c>
      <c r="E4987" s="10">
        <f>IF(AND(HOUR(B4987)&gt;=6,HOUR(B4987)&lt;18),"Day Shift","Night Shift")</f>
        <v/>
      </c>
      <c r="F4987" s="11">
        <f>INT(B4987)</f>
        <v/>
      </c>
      <c r="G4987" s="11">
        <f>INT(C4987)</f>
        <v/>
      </c>
    </row>
    <row r="4988">
      <c r="A4988" s="2" t="inlineStr">
        <is>
          <t>DRE12</t>
        </is>
      </c>
      <c r="B4988" s="3" t="n">
        <v>46106.25</v>
      </c>
      <c r="C4988" s="3" t="n">
        <v>46106.75</v>
      </c>
      <c r="D4988" s="4">
        <f>(C4988-B4988)*24</f>
        <v/>
      </c>
      <c r="E4988" s="5">
        <f>IF(AND(HOUR(B4988)&gt;=6,HOUR(B4988)&lt;18),"Day Shift","Night Shift")</f>
        <v/>
      </c>
      <c r="F4988" s="6">
        <f>INT(B4988)</f>
        <v/>
      </c>
      <c r="G4988" s="6">
        <f>INT(C4988)</f>
        <v/>
      </c>
    </row>
    <row r="4989">
      <c r="A4989" s="7" t="inlineStr">
        <is>
          <t>DRE12</t>
        </is>
      </c>
      <c r="B4989" s="8" t="n">
        <v>46106.75</v>
      </c>
      <c r="C4989" s="8" t="n">
        <v>46107.25</v>
      </c>
      <c r="D4989" s="9">
        <f>(C4989-B4989)*24</f>
        <v/>
      </c>
      <c r="E4989" s="10">
        <f>IF(AND(HOUR(B4989)&gt;=6,HOUR(B4989)&lt;18),"Day Shift","Night Shift")</f>
        <v/>
      </c>
      <c r="F4989" s="11">
        <f>INT(B4989)</f>
        <v/>
      </c>
      <c r="G4989" s="11">
        <f>INT(C4989)</f>
        <v/>
      </c>
    </row>
    <row r="4990">
      <c r="A4990" s="2" t="inlineStr">
        <is>
          <t>DRE12</t>
        </is>
      </c>
      <c r="B4990" s="3" t="n">
        <v>46107.25</v>
      </c>
      <c r="C4990" s="3" t="n">
        <v>46107.75</v>
      </c>
      <c r="D4990" s="4">
        <f>(C4990-B4990)*24</f>
        <v/>
      </c>
      <c r="E4990" s="5">
        <f>IF(AND(HOUR(B4990)&gt;=6,HOUR(B4990)&lt;18),"Day Shift","Night Shift")</f>
        <v/>
      </c>
      <c r="F4990" s="6">
        <f>INT(B4990)</f>
        <v/>
      </c>
      <c r="G4990" s="6">
        <f>INT(C4990)</f>
        <v/>
      </c>
    </row>
    <row r="4991">
      <c r="A4991" s="7" t="inlineStr">
        <is>
          <t>DRE12</t>
        </is>
      </c>
      <c r="B4991" s="8" t="n">
        <v>46107.75</v>
      </c>
      <c r="C4991" s="8" t="n">
        <v>46108.23535879629</v>
      </c>
      <c r="D4991" s="9">
        <f>(C4991-B4991)*24</f>
        <v/>
      </c>
      <c r="E4991" s="10">
        <f>IF(AND(HOUR(B4991)&gt;=6,HOUR(B4991)&lt;18),"Day Shift","Night Shift")</f>
        <v/>
      </c>
      <c r="F4991" s="11">
        <f>INT(B4991)</f>
        <v/>
      </c>
      <c r="G4991" s="11">
        <f>INT(C4991)</f>
        <v/>
      </c>
    </row>
    <row r="4992">
      <c r="A4992" s="2" t="inlineStr">
        <is>
          <t>EXD101</t>
        </is>
      </c>
      <c r="B4992" s="3" t="n">
        <v>46106.26478009259</v>
      </c>
      <c r="C4992" s="3" t="n">
        <v>46106.55180555556</v>
      </c>
      <c r="D4992" s="4">
        <f>(C4992-B4992)*24</f>
        <v/>
      </c>
      <c r="E4992" s="5">
        <f>IF(AND(HOUR(B4992)&gt;=6,HOUR(B4992)&lt;18),"Day Shift","Night Shift")</f>
        <v/>
      </c>
      <c r="F4992" s="6">
        <f>INT(B4992)</f>
        <v/>
      </c>
      <c r="G4992" s="6">
        <f>INT(C4992)</f>
        <v/>
      </c>
    </row>
    <row r="4993">
      <c r="A4993" s="2" t="inlineStr">
        <is>
          <t>EXD51</t>
        </is>
      </c>
      <c r="B4993" s="3" t="n">
        <v>46106.32929398148</v>
      </c>
      <c r="C4993" s="3" t="n">
        <v>46106.61454861111</v>
      </c>
      <c r="D4993" s="4">
        <f>(C4993-B4993)*24</f>
        <v/>
      </c>
      <c r="E4993" s="5">
        <f>IF(AND(HOUR(B4993)&gt;=6,HOUR(B4993)&lt;18),"Day Shift","Night Shift")</f>
        <v/>
      </c>
      <c r="F4993" s="6">
        <f>INT(B4993)</f>
        <v/>
      </c>
      <c r="G4993" s="6">
        <f>INT(C4993)</f>
        <v/>
      </c>
    </row>
    <row r="4994">
      <c r="A4994" s="2" t="inlineStr">
        <is>
          <t>EXD73</t>
        </is>
      </c>
      <c r="B4994" s="3" t="n">
        <v>46106.37113425926</v>
      </c>
      <c r="C4994" s="3" t="n">
        <v>46106.75</v>
      </c>
      <c r="D4994" s="4">
        <f>(C4994-B4994)*24</f>
        <v/>
      </c>
      <c r="E4994" s="5">
        <f>IF(AND(HOUR(B4994)&gt;=6,HOUR(B4994)&lt;18),"Day Shift","Night Shift")</f>
        <v/>
      </c>
      <c r="F4994" s="6">
        <f>INT(B4994)</f>
        <v/>
      </c>
      <c r="G4994" s="6">
        <f>INT(C4994)</f>
        <v/>
      </c>
    </row>
    <row r="4995">
      <c r="A4995" s="7" t="inlineStr">
        <is>
          <t>EXD73</t>
        </is>
      </c>
      <c r="B4995" s="8" t="n">
        <v>46106.75</v>
      </c>
      <c r="C4995" s="8" t="n">
        <v>46106.88440972222</v>
      </c>
      <c r="D4995" s="9">
        <f>(C4995-B4995)*24</f>
        <v/>
      </c>
      <c r="E4995" s="10">
        <f>IF(AND(HOUR(B4995)&gt;=6,HOUR(B4995)&lt;18),"Day Shift","Night Shift")</f>
        <v/>
      </c>
      <c r="F4995" s="11">
        <f>INT(B4995)</f>
        <v/>
      </c>
      <c r="G4995" s="11">
        <f>INT(C4995)</f>
        <v/>
      </c>
    </row>
    <row r="4996">
      <c r="A4996" s="2" t="inlineStr">
        <is>
          <t>EXD52;LDW262</t>
        </is>
      </c>
      <c r="B4996" s="3" t="n">
        <v>46106.41393518518</v>
      </c>
      <c r="C4996" s="3" t="n">
        <v>46106.71525462963</v>
      </c>
      <c r="D4996" s="4">
        <f>(C4996-B4996)*24</f>
        <v/>
      </c>
      <c r="E4996" s="5">
        <f>IF(AND(HOUR(B4996)&gt;=6,HOUR(B4996)&lt;18),"Day Shift","Night Shift")</f>
        <v/>
      </c>
      <c r="F4996" s="6">
        <f>INT(B4996)</f>
        <v/>
      </c>
      <c r="G4996" s="6">
        <f>INT(C4996)</f>
        <v/>
      </c>
    </row>
    <row r="4997">
      <c r="A4997" s="2" t="inlineStr">
        <is>
          <t>EDD175;EDD1932;EDD2134;EDD2541;EDD812</t>
        </is>
      </c>
      <c r="B4997" s="3" t="n">
        <v>46106.41460648148</v>
      </c>
      <c r="C4997" s="3" t="n">
        <v>46106.75</v>
      </c>
      <c r="D4997" s="4">
        <f>(C4997-B4997)*24</f>
        <v/>
      </c>
      <c r="E4997" s="5">
        <f>IF(AND(HOUR(B4997)&gt;=6,HOUR(B4997)&lt;18),"Day Shift","Night Shift")</f>
        <v/>
      </c>
      <c r="F4997" s="6">
        <f>INT(B4997)</f>
        <v/>
      </c>
      <c r="G4997" s="6">
        <f>INT(C4997)</f>
        <v/>
      </c>
    </row>
    <row r="4998">
      <c r="A4998" s="7" t="inlineStr">
        <is>
          <t>EDD175;EDD1932;EDD2134;EDD2541;EDD812</t>
        </is>
      </c>
      <c r="B4998" s="8" t="n">
        <v>46106.75</v>
      </c>
      <c r="C4998" s="8" t="n">
        <v>46107.25</v>
      </c>
      <c r="D4998" s="9">
        <f>(C4998-B4998)*24</f>
        <v/>
      </c>
      <c r="E4998" s="10">
        <f>IF(AND(HOUR(B4998)&gt;=6,HOUR(B4998)&lt;18),"Day Shift","Night Shift")</f>
        <v/>
      </c>
      <c r="F4998" s="11">
        <f>INT(B4998)</f>
        <v/>
      </c>
      <c r="G4998" s="11">
        <f>INT(C4998)</f>
        <v/>
      </c>
    </row>
    <row r="4999">
      <c r="A4999" s="2" t="inlineStr">
        <is>
          <t>EDD175;EDD1932;EDD2134;EDD2541;EDD812</t>
        </is>
      </c>
      <c r="B4999" s="3" t="n">
        <v>46107.25</v>
      </c>
      <c r="C4999" s="3" t="n">
        <v>46107.75</v>
      </c>
      <c r="D4999" s="4">
        <f>(C4999-B4999)*24</f>
        <v/>
      </c>
      <c r="E4999" s="5">
        <f>IF(AND(HOUR(B4999)&gt;=6,HOUR(B4999)&lt;18),"Day Shift","Night Shift")</f>
        <v/>
      </c>
      <c r="F4999" s="6">
        <f>INT(B4999)</f>
        <v/>
      </c>
      <c r="G4999" s="6">
        <f>INT(C4999)</f>
        <v/>
      </c>
    </row>
    <row r="5000">
      <c r="A5000" s="7" t="inlineStr">
        <is>
          <t>EDD175;EDD1932;EDD2134;EDD2541;EDD812</t>
        </is>
      </c>
      <c r="B5000" s="8" t="n">
        <v>46107.75</v>
      </c>
      <c r="C5000" s="8" t="n">
        <v>46107.77076388889</v>
      </c>
      <c r="D5000" s="9">
        <f>(C5000-B5000)*24</f>
        <v/>
      </c>
      <c r="E5000" s="10">
        <f>IF(AND(HOUR(B5000)&gt;=6,HOUR(B5000)&lt;18),"Day Shift","Night Shift")</f>
        <v/>
      </c>
      <c r="F5000" s="11">
        <f>INT(B5000)</f>
        <v/>
      </c>
      <c r="G5000" s="11">
        <f>INT(C5000)</f>
        <v/>
      </c>
    </row>
    <row r="5001">
      <c r="A5001" s="2" t="inlineStr">
        <is>
          <t>EXD408</t>
        </is>
      </c>
      <c r="B5001" s="3" t="n">
        <v>46106.52553240741</v>
      </c>
      <c r="C5001" s="3" t="n">
        <v>46106.75</v>
      </c>
      <c r="D5001" s="4">
        <f>(C5001-B5001)*24</f>
        <v/>
      </c>
      <c r="E5001" s="5">
        <f>IF(AND(HOUR(B5001)&gt;=6,HOUR(B5001)&lt;18),"Day Shift","Night Shift")</f>
        <v/>
      </c>
      <c r="F5001" s="6">
        <f>INT(B5001)</f>
        <v/>
      </c>
      <c r="G5001" s="6">
        <f>INT(C5001)</f>
        <v/>
      </c>
    </row>
    <row r="5002">
      <c r="A5002" s="7" t="inlineStr">
        <is>
          <t>EXD408</t>
        </is>
      </c>
      <c r="B5002" s="8" t="n">
        <v>46106.75</v>
      </c>
      <c r="C5002" s="8" t="n">
        <v>46107.17439814815</v>
      </c>
      <c r="D5002" s="9">
        <f>(C5002-B5002)*24</f>
        <v/>
      </c>
      <c r="E5002" s="10">
        <f>IF(AND(HOUR(B5002)&gt;=6,HOUR(B5002)&lt;18),"Day Shift","Night Shift")</f>
        <v/>
      </c>
      <c r="F5002" s="11">
        <f>INT(B5002)</f>
        <v/>
      </c>
      <c r="G5002" s="11">
        <f>INT(C5002)</f>
        <v/>
      </c>
    </row>
    <row r="5003">
      <c r="A5003" s="2" t="inlineStr">
        <is>
          <t>SHE36</t>
        </is>
      </c>
      <c r="B5003" s="3" t="n">
        <v>46106.53234953704</v>
      </c>
      <c r="C5003" s="3" t="n">
        <v>46106.75</v>
      </c>
      <c r="D5003" s="4">
        <f>(C5003-B5003)*24</f>
        <v/>
      </c>
      <c r="E5003" s="5">
        <f>IF(AND(HOUR(B5003)&gt;=6,HOUR(B5003)&lt;18),"Day Shift","Night Shift")</f>
        <v/>
      </c>
      <c r="F5003" s="6">
        <f>INT(B5003)</f>
        <v/>
      </c>
      <c r="G5003" s="6">
        <f>INT(C5003)</f>
        <v/>
      </c>
    </row>
    <row r="5004">
      <c r="A5004" s="7" t="inlineStr">
        <is>
          <t>SHE36</t>
        </is>
      </c>
      <c r="B5004" s="8" t="n">
        <v>46106.75</v>
      </c>
      <c r="C5004" s="8" t="n">
        <v>46106.85332175926</v>
      </c>
      <c r="D5004" s="9">
        <f>(C5004-B5004)*24</f>
        <v/>
      </c>
      <c r="E5004" s="10">
        <f>IF(AND(HOUR(B5004)&gt;=6,HOUR(B5004)&lt;18),"Day Shift","Night Shift")</f>
        <v/>
      </c>
      <c r="F5004" s="11">
        <f>INT(B5004)</f>
        <v/>
      </c>
      <c r="G5004" s="11">
        <f>INT(C5004)</f>
        <v/>
      </c>
    </row>
    <row r="5005">
      <c r="A5005" s="2" t="inlineStr">
        <is>
          <t>EXD101</t>
        </is>
      </c>
      <c r="B5005" s="3" t="n">
        <v>46106.55180555556</v>
      </c>
      <c r="C5005" s="3" t="n">
        <v>46106.75</v>
      </c>
      <c r="D5005" s="4">
        <f>(C5005-B5005)*24</f>
        <v/>
      </c>
      <c r="E5005" s="5">
        <f>IF(AND(HOUR(B5005)&gt;=6,HOUR(B5005)&lt;18),"Day Shift","Night Shift")</f>
        <v/>
      </c>
      <c r="F5005" s="6">
        <f>INT(B5005)</f>
        <v/>
      </c>
      <c r="G5005" s="6">
        <f>INT(C5005)</f>
        <v/>
      </c>
    </row>
    <row r="5006">
      <c r="A5006" s="7" t="inlineStr">
        <is>
          <t>EXD101</t>
        </is>
      </c>
      <c r="B5006" s="8" t="n">
        <v>46106.75</v>
      </c>
      <c r="C5006" s="8" t="n">
        <v>46106.82924768519</v>
      </c>
      <c r="D5006" s="9">
        <f>(C5006-B5006)*24</f>
        <v/>
      </c>
      <c r="E5006" s="10">
        <f>IF(AND(HOUR(B5006)&gt;=6,HOUR(B5006)&lt;18),"Day Shift","Night Shift")</f>
        <v/>
      </c>
      <c r="F5006" s="11">
        <f>INT(B5006)</f>
        <v/>
      </c>
      <c r="G5006" s="11">
        <f>INT(C5006)</f>
        <v/>
      </c>
    </row>
    <row r="5007">
      <c r="A5007" s="2" t="inlineStr">
        <is>
          <t>EXD51</t>
        </is>
      </c>
      <c r="B5007" s="3" t="n">
        <v>46106.61454861111</v>
      </c>
      <c r="C5007" s="3" t="n">
        <v>46106.75</v>
      </c>
      <c r="D5007" s="4">
        <f>(C5007-B5007)*24</f>
        <v/>
      </c>
      <c r="E5007" s="5">
        <f>IF(AND(HOUR(B5007)&gt;=6,HOUR(B5007)&lt;18),"Day Shift","Night Shift")</f>
        <v/>
      </c>
      <c r="F5007" s="6">
        <f>INT(B5007)</f>
        <v/>
      </c>
      <c r="G5007" s="6">
        <f>INT(C5007)</f>
        <v/>
      </c>
    </row>
    <row r="5008">
      <c r="A5008" s="7" t="inlineStr">
        <is>
          <t>EXD51</t>
        </is>
      </c>
      <c r="B5008" s="8" t="n">
        <v>46106.75</v>
      </c>
      <c r="C5008" s="8" t="n">
        <v>46107.25</v>
      </c>
      <c r="D5008" s="9">
        <f>(C5008-B5008)*24</f>
        <v/>
      </c>
      <c r="E5008" s="10">
        <f>IF(AND(HOUR(B5008)&gt;=6,HOUR(B5008)&lt;18),"Day Shift","Night Shift")</f>
        <v/>
      </c>
      <c r="F5008" s="11">
        <f>INT(B5008)</f>
        <v/>
      </c>
      <c r="G5008" s="11">
        <f>INT(C5008)</f>
        <v/>
      </c>
    </row>
    <row r="5009">
      <c r="A5009" s="2" t="inlineStr">
        <is>
          <t>EXD51</t>
        </is>
      </c>
      <c r="B5009" s="3" t="n">
        <v>46107.25</v>
      </c>
      <c r="C5009" s="3" t="n">
        <v>46107.75</v>
      </c>
      <c r="D5009" s="4">
        <f>(C5009-B5009)*24</f>
        <v/>
      </c>
      <c r="E5009" s="5">
        <f>IF(AND(HOUR(B5009)&gt;=6,HOUR(B5009)&lt;18),"Day Shift","Night Shift")</f>
        <v/>
      </c>
      <c r="F5009" s="6">
        <f>INT(B5009)</f>
        <v/>
      </c>
      <c r="G5009" s="6">
        <f>INT(C5009)</f>
        <v/>
      </c>
    </row>
    <row r="5010">
      <c r="A5010" s="7" t="inlineStr">
        <is>
          <t>EXD51</t>
        </is>
      </c>
      <c r="B5010" s="8" t="n">
        <v>46107.75</v>
      </c>
      <c r="C5010" s="8" t="n">
        <v>46107.75851851852</v>
      </c>
      <c r="D5010" s="9">
        <f>(C5010-B5010)*24</f>
        <v/>
      </c>
      <c r="E5010" s="10">
        <f>IF(AND(HOUR(B5010)&gt;=6,HOUR(B5010)&lt;18),"Day Shift","Night Shift")</f>
        <v/>
      </c>
      <c r="F5010" s="11">
        <f>INT(B5010)</f>
        <v/>
      </c>
      <c r="G5010" s="11">
        <f>INT(C5010)</f>
        <v/>
      </c>
    </row>
    <row r="5011">
      <c r="A5011" s="2" t="inlineStr">
        <is>
          <t>EXD98</t>
        </is>
      </c>
      <c r="B5011" s="3" t="n">
        <v>46106.68011574074</v>
      </c>
      <c r="C5011" s="3" t="n">
        <v>46106.75</v>
      </c>
      <c r="D5011" s="4">
        <f>(C5011-B5011)*24</f>
        <v/>
      </c>
      <c r="E5011" s="5">
        <f>IF(AND(HOUR(B5011)&gt;=6,HOUR(B5011)&lt;18),"Day Shift","Night Shift")</f>
        <v/>
      </c>
      <c r="F5011" s="6">
        <f>INT(B5011)</f>
        <v/>
      </c>
      <c r="G5011" s="6">
        <f>INT(C5011)</f>
        <v/>
      </c>
    </row>
    <row r="5012">
      <c r="A5012" s="7" t="inlineStr">
        <is>
          <t>EXD98</t>
        </is>
      </c>
      <c r="B5012" s="8" t="n">
        <v>46106.75</v>
      </c>
      <c r="C5012" s="8" t="n">
        <v>46107.25</v>
      </c>
      <c r="D5012" s="9">
        <f>(C5012-B5012)*24</f>
        <v/>
      </c>
      <c r="E5012" s="10">
        <f>IF(AND(HOUR(B5012)&gt;=6,HOUR(B5012)&lt;18),"Day Shift","Night Shift")</f>
        <v/>
      </c>
      <c r="F5012" s="11">
        <f>INT(B5012)</f>
        <v/>
      </c>
      <c r="G5012" s="11">
        <f>INT(C5012)</f>
        <v/>
      </c>
    </row>
    <row r="5013">
      <c r="A5013" s="2" t="inlineStr">
        <is>
          <t>EXD98</t>
        </is>
      </c>
      <c r="B5013" s="3" t="n">
        <v>46107.25</v>
      </c>
      <c r="C5013" s="3" t="n">
        <v>46107.44505787037</v>
      </c>
      <c r="D5013" s="4">
        <f>(C5013-B5013)*24</f>
        <v/>
      </c>
      <c r="E5013" s="5">
        <f>IF(AND(HOUR(B5013)&gt;=6,HOUR(B5013)&lt;18),"Day Shift","Night Shift")</f>
        <v/>
      </c>
      <c r="F5013" s="6">
        <f>INT(B5013)</f>
        <v/>
      </c>
      <c r="G5013" s="6">
        <f>INT(C5013)</f>
        <v/>
      </c>
    </row>
    <row r="5014">
      <c r="A5014" s="2" t="inlineStr">
        <is>
          <t>EXD52;LDW262</t>
        </is>
      </c>
      <c r="B5014" s="3" t="n">
        <v>46106.71525462963</v>
      </c>
      <c r="C5014" s="3" t="n">
        <v>46106.75</v>
      </c>
      <c r="D5014" s="4">
        <f>(C5014-B5014)*24</f>
        <v/>
      </c>
      <c r="E5014" s="5">
        <f>IF(AND(HOUR(B5014)&gt;=6,HOUR(B5014)&lt;18),"Day Shift","Night Shift")</f>
        <v/>
      </c>
      <c r="F5014" s="6">
        <f>INT(B5014)</f>
        <v/>
      </c>
      <c r="G5014" s="6">
        <f>INT(C5014)</f>
        <v/>
      </c>
    </row>
    <row r="5015">
      <c r="A5015" s="7" t="inlineStr">
        <is>
          <t>EXD52;LDW262</t>
        </is>
      </c>
      <c r="B5015" s="8" t="n">
        <v>46106.75</v>
      </c>
      <c r="C5015" s="8" t="n">
        <v>46106.91788194444</v>
      </c>
      <c r="D5015" s="9">
        <f>(C5015-B5015)*24</f>
        <v/>
      </c>
      <c r="E5015" s="10">
        <f>IF(AND(HOUR(B5015)&gt;=6,HOUR(B5015)&lt;18),"Day Shift","Night Shift")</f>
        <v/>
      </c>
      <c r="F5015" s="11">
        <f>INT(B5015)</f>
        <v/>
      </c>
      <c r="G5015" s="11">
        <f>INT(C5015)</f>
        <v/>
      </c>
    </row>
    <row r="5016">
      <c r="A5016" s="2" t="inlineStr">
        <is>
          <t>EXD61</t>
        </is>
      </c>
      <c r="B5016" s="3" t="n">
        <v>46106.73371527778</v>
      </c>
      <c r="C5016" s="3" t="n">
        <v>46106.75</v>
      </c>
      <c r="D5016" s="4">
        <f>(C5016-B5016)*24</f>
        <v/>
      </c>
      <c r="E5016" s="5">
        <f>IF(AND(HOUR(B5016)&gt;=6,HOUR(B5016)&lt;18),"Day Shift","Night Shift")</f>
        <v/>
      </c>
      <c r="F5016" s="6">
        <f>INT(B5016)</f>
        <v/>
      </c>
      <c r="G5016" s="6">
        <f>INT(C5016)</f>
        <v/>
      </c>
    </row>
    <row r="5017">
      <c r="A5017" s="7" t="inlineStr">
        <is>
          <t>EXD61</t>
        </is>
      </c>
      <c r="B5017" s="8" t="n">
        <v>46106.75</v>
      </c>
      <c r="C5017" s="8" t="n">
        <v>46107.25</v>
      </c>
      <c r="D5017" s="9">
        <f>(C5017-B5017)*24</f>
        <v/>
      </c>
      <c r="E5017" s="10">
        <f>IF(AND(HOUR(B5017)&gt;=6,HOUR(B5017)&lt;18),"Day Shift","Night Shift")</f>
        <v/>
      </c>
      <c r="F5017" s="11">
        <f>INT(B5017)</f>
        <v/>
      </c>
      <c r="G5017" s="11">
        <f>INT(C5017)</f>
        <v/>
      </c>
    </row>
    <row r="5018">
      <c r="A5018" s="2" t="inlineStr">
        <is>
          <t>EXD61</t>
        </is>
      </c>
      <c r="B5018" s="3" t="n">
        <v>46107.25</v>
      </c>
      <c r="C5018" s="3" t="n">
        <v>46107.75</v>
      </c>
      <c r="D5018" s="4">
        <f>(C5018-B5018)*24</f>
        <v/>
      </c>
      <c r="E5018" s="5">
        <f>IF(AND(HOUR(B5018)&gt;=6,HOUR(B5018)&lt;18),"Day Shift","Night Shift")</f>
        <v/>
      </c>
      <c r="F5018" s="6">
        <f>INT(B5018)</f>
        <v/>
      </c>
      <c r="G5018" s="6">
        <f>INT(C5018)</f>
        <v/>
      </c>
    </row>
    <row r="5019">
      <c r="A5019" s="7" t="inlineStr">
        <is>
          <t>EXD61</t>
        </is>
      </c>
      <c r="B5019" s="8" t="n">
        <v>46107.75</v>
      </c>
      <c r="C5019" s="8" t="n">
        <v>46108.25</v>
      </c>
      <c r="D5019" s="9">
        <f>(C5019-B5019)*24</f>
        <v/>
      </c>
      <c r="E5019" s="10">
        <f>IF(AND(HOUR(B5019)&gt;=6,HOUR(B5019)&lt;18),"Day Shift","Night Shift")</f>
        <v/>
      </c>
      <c r="F5019" s="11">
        <f>INT(B5019)</f>
        <v/>
      </c>
      <c r="G5019" s="11">
        <f>INT(C5019)</f>
        <v/>
      </c>
    </row>
    <row r="5020">
      <c r="A5020" s="2" t="inlineStr">
        <is>
          <t>EXD61</t>
        </is>
      </c>
      <c r="B5020" s="3" t="n">
        <v>46108.25</v>
      </c>
      <c r="C5020" s="3" t="n">
        <v>46108.75</v>
      </c>
      <c r="D5020" s="4">
        <f>(C5020-B5020)*24</f>
        <v/>
      </c>
      <c r="E5020" s="5">
        <f>IF(AND(HOUR(B5020)&gt;=6,HOUR(B5020)&lt;18),"Day Shift","Night Shift")</f>
        <v/>
      </c>
      <c r="F5020" s="6">
        <f>INT(B5020)</f>
        <v/>
      </c>
      <c r="G5020" s="6">
        <f>INT(C5020)</f>
        <v/>
      </c>
    </row>
    <row r="5021">
      <c r="A5021" s="7" t="inlineStr">
        <is>
          <t>EXD61</t>
        </is>
      </c>
      <c r="B5021" s="8" t="n">
        <v>46108.75</v>
      </c>
      <c r="C5021" s="8" t="n">
        <v>46109.25</v>
      </c>
      <c r="D5021" s="9">
        <f>(C5021-B5021)*24</f>
        <v/>
      </c>
      <c r="E5021" s="10">
        <f>IF(AND(HOUR(B5021)&gt;=6,HOUR(B5021)&lt;18),"Day Shift","Night Shift")</f>
        <v/>
      </c>
      <c r="F5021" s="11">
        <f>INT(B5021)</f>
        <v/>
      </c>
      <c r="G5021" s="11">
        <f>INT(C5021)</f>
        <v/>
      </c>
    </row>
    <row r="5022">
      <c r="A5022" s="2" t="inlineStr">
        <is>
          <t>EXD61</t>
        </is>
      </c>
      <c r="B5022" s="3" t="n">
        <v>46109.25</v>
      </c>
      <c r="C5022" s="3" t="n">
        <v>46109.57020833333</v>
      </c>
      <c r="D5022" s="4">
        <f>(C5022-B5022)*24</f>
        <v/>
      </c>
      <c r="E5022" s="5">
        <f>IF(AND(HOUR(B5022)&gt;=6,HOUR(B5022)&lt;18),"Day Shift","Night Shift")</f>
        <v/>
      </c>
      <c r="F5022" s="6">
        <f>INT(B5022)</f>
        <v/>
      </c>
      <c r="G5022" s="6">
        <f>INT(C5022)</f>
        <v/>
      </c>
    </row>
    <row r="5023">
      <c r="A5023" s="2" t="inlineStr">
        <is>
          <t>EXD407</t>
        </is>
      </c>
      <c r="B5023" s="3" t="n">
        <v>46106.7456712963</v>
      </c>
      <c r="C5023" s="3" t="n">
        <v>46106.75</v>
      </c>
      <c r="D5023" s="4">
        <f>(C5023-B5023)*24</f>
        <v/>
      </c>
      <c r="E5023" s="5">
        <f>IF(AND(HOUR(B5023)&gt;=6,HOUR(B5023)&lt;18),"Day Shift","Night Shift")</f>
        <v/>
      </c>
      <c r="F5023" s="6">
        <f>INT(B5023)</f>
        <v/>
      </c>
      <c r="G5023" s="6">
        <f>INT(C5023)</f>
        <v/>
      </c>
    </row>
    <row r="5024">
      <c r="A5024" s="7" t="inlineStr">
        <is>
          <t>EXD407</t>
        </is>
      </c>
      <c r="B5024" s="8" t="n">
        <v>46106.75</v>
      </c>
      <c r="C5024" s="8" t="n">
        <v>46107.25</v>
      </c>
      <c r="D5024" s="9">
        <f>(C5024-B5024)*24</f>
        <v/>
      </c>
      <c r="E5024" s="10">
        <f>IF(AND(HOUR(B5024)&gt;=6,HOUR(B5024)&lt;18),"Day Shift","Night Shift")</f>
        <v/>
      </c>
      <c r="F5024" s="11">
        <f>INT(B5024)</f>
        <v/>
      </c>
      <c r="G5024" s="11">
        <f>INT(C5024)</f>
        <v/>
      </c>
    </row>
    <row r="5025">
      <c r="A5025" s="2" t="inlineStr">
        <is>
          <t>EXD407</t>
        </is>
      </c>
      <c r="B5025" s="3" t="n">
        <v>46107.25</v>
      </c>
      <c r="C5025" s="3" t="n">
        <v>46107.75</v>
      </c>
      <c r="D5025" s="4">
        <f>(C5025-B5025)*24</f>
        <v/>
      </c>
      <c r="E5025" s="5">
        <f>IF(AND(HOUR(B5025)&gt;=6,HOUR(B5025)&lt;18),"Day Shift","Night Shift")</f>
        <v/>
      </c>
      <c r="F5025" s="6">
        <f>INT(B5025)</f>
        <v/>
      </c>
      <c r="G5025" s="6">
        <f>INT(C5025)</f>
        <v/>
      </c>
    </row>
    <row r="5026">
      <c r="A5026" s="7" t="inlineStr">
        <is>
          <t>EXD407</t>
        </is>
      </c>
      <c r="B5026" s="8" t="n">
        <v>46107.75</v>
      </c>
      <c r="C5026" s="8" t="n">
        <v>46107.8169212963</v>
      </c>
      <c r="D5026" s="9">
        <f>(C5026-B5026)*24</f>
        <v/>
      </c>
      <c r="E5026" s="10">
        <f>IF(AND(HOUR(B5026)&gt;=6,HOUR(B5026)&lt;18),"Day Shift","Night Shift")</f>
        <v/>
      </c>
      <c r="F5026" s="11">
        <f>INT(B5026)</f>
        <v/>
      </c>
      <c r="G5026" s="11">
        <f>INT(C5026)</f>
        <v/>
      </c>
    </row>
    <row r="5027">
      <c r="A5027" s="7" t="inlineStr">
        <is>
          <t>SHE36</t>
        </is>
      </c>
      <c r="B5027" s="8" t="n">
        <v>46106.85332175926</v>
      </c>
      <c r="C5027" s="8" t="n">
        <v>46107.03421296296</v>
      </c>
      <c r="D5027" s="9">
        <f>(C5027-B5027)*24</f>
        <v/>
      </c>
      <c r="E5027" s="10">
        <f>IF(AND(HOUR(B5027)&gt;=6,HOUR(B5027)&lt;18),"Day Shift","Night Shift")</f>
        <v/>
      </c>
      <c r="F5027" s="11">
        <f>INT(B5027)</f>
        <v/>
      </c>
      <c r="G5027" s="11">
        <f>INT(C5027)</f>
        <v/>
      </c>
    </row>
    <row r="5028">
      <c r="A5028" s="7" t="inlineStr">
        <is>
          <t>EXD100</t>
        </is>
      </c>
      <c r="B5028" s="8" t="n">
        <v>46106.86229166666</v>
      </c>
      <c r="C5028" s="8" t="n">
        <v>46107.25</v>
      </c>
      <c r="D5028" s="9">
        <f>(C5028-B5028)*24</f>
        <v/>
      </c>
      <c r="E5028" s="10">
        <f>IF(AND(HOUR(B5028)&gt;=6,HOUR(B5028)&lt;18),"Day Shift","Night Shift")</f>
        <v/>
      </c>
      <c r="F5028" s="11">
        <f>INT(B5028)</f>
        <v/>
      </c>
      <c r="G5028" s="11">
        <f>INT(C5028)</f>
        <v/>
      </c>
    </row>
    <row r="5029">
      <c r="A5029" s="2" t="inlineStr">
        <is>
          <t>EXD100</t>
        </is>
      </c>
      <c r="B5029" s="3" t="n">
        <v>46107.25</v>
      </c>
      <c r="C5029" s="3" t="n">
        <v>46107.39225694445</v>
      </c>
      <c r="D5029" s="4">
        <f>(C5029-B5029)*24</f>
        <v/>
      </c>
      <c r="E5029" s="5">
        <f>IF(AND(HOUR(B5029)&gt;=6,HOUR(B5029)&lt;18),"Day Shift","Night Shift")</f>
        <v/>
      </c>
      <c r="F5029" s="6">
        <f>INT(B5029)</f>
        <v/>
      </c>
      <c r="G5029" s="6">
        <f>INT(C5029)</f>
        <v/>
      </c>
    </row>
    <row r="5030">
      <c r="A5030" s="7" t="inlineStr">
        <is>
          <t>DRE08</t>
        </is>
      </c>
      <c r="B5030" s="8" t="n">
        <v>46106.87966435185</v>
      </c>
      <c r="C5030" s="8" t="n">
        <v>46107.25</v>
      </c>
      <c r="D5030" s="9">
        <f>(C5030-B5030)*24</f>
        <v/>
      </c>
      <c r="E5030" s="10">
        <f>IF(AND(HOUR(B5030)&gt;=6,HOUR(B5030)&lt;18),"Day Shift","Night Shift")</f>
        <v/>
      </c>
      <c r="F5030" s="11">
        <f>INT(B5030)</f>
        <v/>
      </c>
      <c r="G5030" s="11">
        <f>INT(C5030)</f>
        <v/>
      </c>
    </row>
    <row r="5031">
      <c r="A5031" s="2" t="inlineStr">
        <is>
          <t>DRE08</t>
        </is>
      </c>
      <c r="B5031" s="3" t="n">
        <v>46107.25</v>
      </c>
      <c r="C5031" s="3" t="n">
        <v>46107.75</v>
      </c>
      <c r="D5031" s="4">
        <f>(C5031-B5031)*24</f>
        <v/>
      </c>
      <c r="E5031" s="5">
        <f>IF(AND(HOUR(B5031)&gt;=6,HOUR(B5031)&lt;18),"Day Shift","Night Shift")</f>
        <v/>
      </c>
      <c r="F5031" s="6">
        <f>INT(B5031)</f>
        <v/>
      </c>
      <c r="G5031" s="6">
        <f>INT(C5031)</f>
        <v/>
      </c>
    </row>
    <row r="5032">
      <c r="A5032" s="7" t="inlineStr">
        <is>
          <t>DRE08</t>
        </is>
      </c>
      <c r="B5032" s="8" t="n">
        <v>46107.75</v>
      </c>
      <c r="C5032" s="8" t="n">
        <v>46108.25</v>
      </c>
      <c r="D5032" s="9">
        <f>(C5032-B5032)*24</f>
        <v/>
      </c>
      <c r="E5032" s="10">
        <f>IF(AND(HOUR(B5032)&gt;=6,HOUR(B5032)&lt;18),"Day Shift","Night Shift")</f>
        <v/>
      </c>
      <c r="F5032" s="11">
        <f>INT(B5032)</f>
        <v/>
      </c>
      <c r="G5032" s="11">
        <f>INT(C5032)</f>
        <v/>
      </c>
    </row>
    <row r="5033">
      <c r="A5033" s="2" t="inlineStr">
        <is>
          <t>DRE08</t>
        </is>
      </c>
      <c r="B5033" s="3" t="n">
        <v>46108.25</v>
      </c>
      <c r="C5033" s="3" t="n">
        <v>46108.75</v>
      </c>
      <c r="D5033" s="4">
        <f>(C5033-B5033)*24</f>
        <v/>
      </c>
      <c r="E5033" s="5">
        <f>IF(AND(HOUR(B5033)&gt;=6,HOUR(B5033)&lt;18),"Day Shift","Night Shift")</f>
        <v/>
      </c>
      <c r="F5033" s="6">
        <f>INT(B5033)</f>
        <v/>
      </c>
      <c r="G5033" s="6">
        <f>INT(C5033)</f>
        <v/>
      </c>
    </row>
    <row r="5034">
      <c r="A5034" s="7" t="inlineStr">
        <is>
          <t>DRE08</t>
        </is>
      </c>
      <c r="B5034" s="8" t="n">
        <v>46108.75</v>
      </c>
      <c r="C5034" s="8" t="n">
        <v>46109.25</v>
      </c>
      <c r="D5034" s="9">
        <f>(C5034-B5034)*24</f>
        <v/>
      </c>
      <c r="E5034" s="10">
        <f>IF(AND(HOUR(B5034)&gt;=6,HOUR(B5034)&lt;18),"Day Shift","Night Shift")</f>
        <v/>
      </c>
      <c r="F5034" s="11">
        <f>INT(B5034)</f>
        <v/>
      </c>
      <c r="G5034" s="11">
        <f>INT(C5034)</f>
        <v/>
      </c>
    </row>
    <row r="5035">
      <c r="A5035" s="2" t="inlineStr">
        <is>
          <t>DRE08</t>
        </is>
      </c>
      <c r="B5035" s="3" t="n">
        <v>46109.25</v>
      </c>
      <c r="C5035" s="3" t="n">
        <v>46109.71484953703</v>
      </c>
      <c r="D5035" s="4">
        <f>(C5035-B5035)*24</f>
        <v/>
      </c>
      <c r="E5035" s="5">
        <f>IF(AND(HOUR(B5035)&gt;=6,HOUR(B5035)&lt;18),"Day Shift","Night Shift")</f>
        <v/>
      </c>
      <c r="F5035" s="6">
        <f>INT(B5035)</f>
        <v/>
      </c>
      <c r="G5035" s="6">
        <f>INT(C5035)</f>
        <v/>
      </c>
    </row>
    <row r="5036">
      <c r="A5036" s="7" t="inlineStr">
        <is>
          <t>EXD52;LDW262</t>
        </is>
      </c>
      <c r="B5036" s="8" t="n">
        <v>46106.91788194444</v>
      </c>
      <c r="C5036" s="8" t="n">
        <v>46107.10252314815</v>
      </c>
      <c r="D5036" s="9">
        <f>(C5036-B5036)*24</f>
        <v/>
      </c>
      <c r="E5036" s="10">
        <f>IF(AND(HOUR(B5036)&gt;=6,HOUR(B5036)&lt;18),"Day Shift","Night Shift")</f>
        <v/>
      </c>
      <c r="F5036" s="11">
        <f>INT(B5036)</f>
        <v/>
      </c>
      <c r="G5036" s="11">
        <f>INT(C5036)</f>
        <v/>
      </c>
    </row>
    <row r="5037">
      <c r="A5037" s="7" t="inlineStr">
        <is>
          <t>EXD73</t>
        </is>
      </c>
      <c r="B5037" s="8" t="n">
        <v>46106.94459490741</v>
      </c>
      <c r="C5037" s="8" t="n">
        <v>46107.25</v>
      </c>
      <c r="D5037" s="9">
        <f>(C5037-B5037)*24</f>
        <v/>
      </c>
      <c r="E5037" s="10">
        <f>IF(AND(HOUR(B5037)&gt;=6,HOUR(B5037)&lt;18),"Day Shift","Night Shift")</f>
        <v/>
      </c>
      <c r="F5037" s="11">
        <f>INT(B5037)</f>
        <v/>
      </c>
      <c r="G5037" s="11">
        <f>INT(C5037)</f>
        <v/>
      </c>
    </row>
    <row r="5038">
      <c r="A5038" s="2" t="inlineStr">
        <is>
          <t>EXD73</t>
        </is>
      </c>
      <c r="B5038" s="3" t="n">
        <v>46107.25</v>
      </c>
      <c r="C5038" s="3" t="n">
        <v>46107.4031712963</v>
      </c>
      <c r="D5038" s="4">
        <f>(C5038-B5038)*24</f>
        <v/>
      </c>
      <c r="E5038" s="5">
        <f>IF(AND(HOUR(B5038)&gt;=6,HOUR(B5038)&lt;18),"Day Shift","Night Shift")</f>
        <v/>
      </c>
      <c r="F5038" s="6">
        <f>INT(B5038)</f>
        <v/>
      </c>
      <c r="G5038" s="6">
        <f>INT(C5038)</f>
        <v/>
      </c>
    </row>
    <row r="5039">
      <c r="A5039" s="7" t="inlineStr">
        <is>
          <t>SHE36</t>
        </is>
      </c>
      <c r="B5039" s="8" t="n">
        <v>46107.03421296296</v>
      </c>
      <c r="C5039" s="8" t="n">
        <v>46107.25</v>
      </c>
      <c r="D5039" s="9">
        <f>(C5039-B5039)*24</f>
        <v/>
      </c>
      <c r="E5039" s="10">
        <f>IF(AND(HOUR(B5039)&gt;=6,HOUR(B5039)&lt;18),"Day Shift","Night Shift")</f>
        <v/>
      </c>
      <c r="F5039" s="11">
        <f>INT(B5039)</f>
        <v/>
      </c>
      <c r="G5039" s="11">
        <f>INT(C5039)</f>
        <v/>
      </c>
    </row>
    <row r="5040">
      <c r="A5040" s="2" t="inlineStr">
        <is>
          <t>SHE36</t>
        </is>
      </c>
      <c r="B5040" s="3" t="n">
        <v>46107.25</v>
      </c>
      <c r="C5040" s="3" t="n">
        <v>46107.75</v>
      </c>
      <c r="D5040" s="4">
        <f>(C5040-B5040)*24</f>
        <v/>
      </c>
      <c r="E5040" s="5">
        <f>IF(AND(HOUR(B5040)&gt;=6,HOUR(B5040)&lt;18),"Day Shift","Night Shift")</f>
        <v/>
      </c>
      <c r="F5040" s="6">
        <f>INT(B5040)</f>
        <v/>
      </c>
      <c r="G5040" s="6">
        <f>INT(C5040)</f>
        <v/>
      </c>
    </row>
    <row r="5041">
      <c r="A5041" s="7" t="inlineStr">
        <is>
          <t>SHE36</t>
        </is>
      </c>
      <c r="B5041" s="8" t="n">
        <v>46107.75</v>
      </c>
      <c r="C5041" s="8" t="n">
        <v>46107.98609953704</v>
      </c>
      <c r="D5041" s="9">
        <f>(C5041-B5041)*24</f>
        <v/>
      </c>
      <c r="E5041" s="10">
        <f>IF(AND(HOUR(B5041)&gt;=6,HOUR(B5041)&lt;18),"Day Shift","Night Shift")</f>
        <v/>
      </c>
      <c r="F5041" s="11">
        <f>INT(B5041)</f>
        <v/>
      </c>
      <c r="G5041" s="11">
        <f>INT(C5041)</f>
        <v/>
      </c>
    </row>
    <row r="5042">
      <c r="A5042" s="7" t="inlineStr">
        <is>
          <t>EXD52;LDW262</t>
        </is>
      </c>
      <c r="B5042" s="8" t="n">
        <v>46107.10252314815</v>
      </c>
      <c r="C5042" s="8" t="n">
        <v>46107.25</v>
      </c>
      <c r="D5042" s="9">
        <f>(C5042-B5042)*24</f>
        <v/>
      </c>
      <c r="E5042" s="10">
        <f>IF(AND(HOUR(B5042)&gt;=6,HOUR(B5042)&lt;18),"Day Shift","Night Shift")</f>
        <v/>
      </c>
      <c r="F5042" s="11">
        <f>INT(B5042)</f>
        <v/>
      </c>
      <c r="G5042" s="11">
        <f>INT(C5042)</f>
        <v/>
      </c>
    </row>
    <row r="5043">
      <c r="A5043" s="2" t="inlineStr">
        <is>
          <t>EXD52;LDW262</t>
        </is>
      </c>
      <c r="B5043" s="3" t="n">
        <v>46107.25</v>
      </c>
      <c r="C5043" s="3" t="n">
        <v>46107.75</v>
      </c>
      <c r="D5043" s="4">
        <f>(C5043-B5043)*24</f>
        <v/>
      </c>
      <c r="E5043" s="5">
        <f>IF(AND(HOUR(B5043)&gt;=6,HOUR(B5043)&lt;18),"Day Shift","Night Shift")</f>
        <v/>
      </c>
      <c r="F5043" s="6">
        <f>INT(B5043)</f>
        <v/>
      </c>
      <c r="G5043" s="6">
        <f>INT(C5043)</f>
        <v/>
      </c>
    </row>
    <row r="5044">
      <c r="A5044" s="7" t="inlineStr">
        <is>
          <t>EXD52;LDW262</t>
        </is>
      </c>
      <c r="B5044" s="8" t="n">
        <v>46107.75</v>
      </c>
      <c r="C5044" s="8" t="n">
        <v>46108.22857638889</v>
      </c>
      <c r="D5044" s="9">
        <f>(C5044-B5044)*24</f>
        <v/>
      </c>
      <c r="E5044" s="10">
        <f>IF(AND(HOUR(B5044)&gt;=6,HOUR(B5044)&lt;18),"Day Shift","Night Shift")</f>
        <v/>
      </c>
      <c r="F5044" s="11">
        <f>INT(B5044)</f>
        <v/>
      </c>
      <c r="G5044" s="11">
        <f>INT(C5044)</f>
        <v/>
      </c>
    </row>
    <row r="5045">
      <c r="A5045" s="7" t="inlineStr">
        <is>
          <t>EXD101</t>
        </is>
      </c>
      <c r="B5045" s="8" t="n">
        <v>46107.13325231482</v>
      </c>
      <c r="C5045" s="8" t="n">
        <v>46107.25</v>
      </c>
      <c r="D5045" s="9">
        <f>(C5045-B5045)*24</f>
        <v/>
      </c>
      <c r="E5045" s="10">
        <f>IF(AND(HOUR(B5045)&gt;=6,HOUR(B5045)&lt;18),"Day Shift","Night Shift")</f>
        <v/>
      </c>
      <c r="F5045" s="11">
        <f>INT(B5045)</f>
        <v/>
      </c>
      <c r="G5045" s="11">
        <f>INT(C5045)</f>
        <v/>
      </c>
    </row>
    <row r="5046">
      <c r="A5046" s="2" t="inlineStr">
        <is>
          <t>EXD101</t>
        </is>
      </c>
      <c r="B5046" s="3" t="n">
        <v>46107.25</v>
      </c>
      <c r="C5046" s="3" t="n">
        <v>46107.75</v>
      </c>
      <c r="D5046" s="4">
        <f>(C5046-B5046)*24</f>
        <v/>
      </c>
      <c r="E5046" s="5">
        <f>IF(AND(HOUR(B5046)&gt;=6,HOUR(B5046)&lt;18),"Day Shift","Night Shift")</f>
        <v/>
      </c>
      <c r="F5046" s="6">
        <f>INT(B5046)</f>
        <v/>
      </c>
      <c r="G5046" s="6">
        <f>INT(C5046)</f>
        <v/>
      </c>
    </row>
    <row r="5047">
      <c r="A5047" s="7" t="inlineStr">
        <is>
          <t>EXD101</t>
        </is>
      </c>
      <c r="B5047" s="8" t="n">
        <v>46107.75</v>
      </c>
      <c r="C5047" s="8" t="n">
        <v>46108.25</v>
      </c>
      <c r="D5047" s="9">
        <f>(C5047-B5047)*24</f>
        <v/>
      </c>
      <c r="E5047" s="10">
        <f>IF(AND(HOUR(B5047)&gt;=6,HOUR(B5047)&lt;18),"Day Shift","Night Shift")</f>
        <v/>
      </c>
      <c r="F5047" s="11">
        <f>INT(B5047)</f>
        <v/>
      </c>
      <c r="G5047" s="11">
        <f>INT(C5047)</f>
        <v/>
      </c>
    </row>
    <row r="5048">
      <c r="A5048" s="2" t="inlineStr">
        <is>
          <t>EXD101</t>
        </is>
      </c>
      <c r="B5048" s="3" t="n">
        <v>46108.25</v>
      </c>
      <c r="C5048" s="3" t="n">
        <v>46108.75</v>
      </c>
      <c r="D5048" s="4">
        <f>(C5048-B5048)*24</f>
        <v/>
      </c>
      <c r="E5048" s="5">
        <f>IF(AND(HOUR(B5048)&gt;=6,HOUR(B5048)&lt;18),"Day Shift","Night Shift")</f>
        <v/>
      </c>
      <c r="F5048" s="6">
        <f>INT(B5048)</f>
        <v/>
      </c>
      <c r="G5048" s="6">
        <f>INT(C5048)</f>
        <v/>
      </c>
    </row>
    <row r="5049">
      <c r="A5049" s="7" t="inlineStr">
        <is>
          <t>EXD101</t>
        </is>
      </c>
      <c r="B5049" s="8" t="n">
        <v>46108.75</v>
      </c>
      <c r="C5049" s="8" t="n">
        <v>46109.25</v>
      </c>
      <c r="D5049" s="9">
        <f>(C5049-B5049)*24</f>
        <v/>
      </c>
      <c r="E5049" s="10">
        <f>IF(AND(HOUR(B5049)&gt;=6,HOUR(B5049)&lt;18),"Day Shift","Night Shift")</f>
        <v/>
      </c>
      <c r="F5049" s="11">
        <f>INT(B5049)</f>
        <v/>
      </c>
      <c r="G5049" s="11">
        <f>INT(C5049)</f>
        <v/>
      </c>
    </row>
    <row r="5050">
      <c r="A5050" s="2" t="inlineStr">
        <is>
          <t>EXD101</t>
        </is>
      </c>
      <c r="B5050" s="3" t="n">
        <v>46109.25</v>
      </c>
      <c r="C5050" s="3" t="n">
        <v>46109.75</v>
      </c>
      <c r="D5050" s="4">
        <f>(C5050-B5050)*24</f>
        <v/>
      </c>
      <c r="E5050" s="5">
        <f>IF(AND(HOUR(B5050)&gt;=6,HOUR(B5050)&lt;18),"Day Shift","Night Shift")</f>
        <v/>
      </c>
      <c r="F5050" s="6">
        <f>INT(B5050)</f>
        <v/>
      </c>
      <c r="G5050" s="6">
        <f>INT(C5050)</f>
        <v/>
      </c>
    </row>
    <row r="5051">
      <c r="A5051" s="7" t="inlineStr">
        <is>
          <t>EXD101</t>
        </is>
      </c>
      <c r="B5051" s="8" t="n">
        <v>46109.75</v>
      </c>
      <c r="C5051" s="8" t="n">
        <v>46110.25</v>
      </c>
      <c r="D5051" s="9">
        <f>(C5051-B5051)*24</f>
        <v/>
      </c>
      <c r="E5051" s="10">
        <f>IF(AND(HOUR(B5051)&gt;=6,HOUR(B5051)&lt;18),"Day Shift","Night Shift")</f>
        <v/>
      </c>
      <c r="F5051" s="11">
        <f>INT(B5051)</f>
        <v/>
      </c>
      <c r="G5051" s="11">
        <f>INT(C5051)</f>
        <v/>
      </c>
    </row>
    <row r="5052">
      <c r="A5052" s="2" t="inlineStr">
        <is>
          <t>EXD101</t>
        </is>
      </c>
      <c r="B5052" s="3" t="n">
        <v>46110.25</v>
      </c>
      <c r="C5052" s="3" t="n">
        <v>46110.75</v>
      </c>
      <c r="D5052" s="4">
        <f>(C5052-B5052)*24</f>
        <v/>
      </c>
      <c r="E5052" s="5">
        <f>IF(AND(HOUR(B5052)&gt;=6,HOUR(B5052)&lt;18),"Day Shift","Night Shift")</f>
        <v/>
      </c>
      <c r="F5052" s="6">
        <f>INT(B5052)</f>
        <v/>
      </c>
      <c r="G5052" s="6">
        <f>INT(C5052)</f>
        <v/>
      </c>
    </row>
    <row r="5053">
      <c r="A5053" s="7" t="inlineStr">
        <is>
          <t>EXD101</t>
        </is>
      </c>
      <c r="B5053" s="8" t="n">
        <v>46110.75</v>
      </c>
      <c r="C5053" s="8" t="n">
        <v>46111.25</v>
      </c>
      <c r="D5053" s="9">
        <f>(C5053-B5053)*24</f>
        <v/>
      </c>
      <c r="E5053" s="10">
        <f>IF(AND(HOUR(B5053)&gt;=6,HOUR(B5053)&lt;18),"Day Shift","Night Shift")</f>
        <v/>
      </c>
      <c r="F5053" s="11">
        <f>INT(B5053)</f>
        <v/>
      </c>
      <c r="G5053" s="11">
        <f>INT(C5053)</f>
        <v/>
      </c>
    </row>
    <row r="5054">
      <c r="A5054" s="2" t="inlineStr">
        <is>
          <t>EXD101</t>
        </is>
      </c>
      <c r="B5054" s="3" t="n">
        <v>46111.25</v>
      </c>
      <c r="C5054" s="3" t="n">
        <v>46111.75</v>
      </c>
      <c r="D5054" s="4">
        <f>(C5054-B5054)*24</f>
        <v/>
      </c>
      <c r="E5054" s="5">
        <f>IF(AND(HOUR(B5054)&gt;=6,HOUR(B5054)&lt;18),"Day Shift","Night Shift")</f>
        <v/>
      </c>
      <c r="F5054" s="6">
        <f>INT(B5054)</f>
        <v/>
      </c>
      <c r="G5054" s="6">
        <f>INT(C5054)</f>
        <v/>
      </c>
    </row>
    <row r="5055">
      <c r="A5055" s="7" t="inlineStr">
        <is>
          <t>EXD101</t>
        </is>
      </c>
      <c r="B5055" s="8" t="n">
        <v>46111.75</v>
      </c>
      <c r="C5055" s="8" t="n">
        <v>46112.25</v>
      </c>
      <c r="D5055" s="9">
        <f>(C5055-B5055)*24</f>
        <v/>
      </c>
      <c r="E5055" s="10">
        <f>IF(AND(HOUR(B5055)&gt;=6,HOUR(B5055)&lt;18),"Day Shift","Night Shift")</f>
        <v/>
      </c>
      <c r="F5055" s="11">
        <f>INT(B5055)</f>
        <v/>
      </c>
      <c r="G5055" s="11">
        <f>INT(C5055)</f>
        <v/>
      </c>
    </row>
    <row r="5056">
      <c r="A5056" s="2" t="inlineStr">
        <is>
          <t>EXD101</t>
        </is>
      </c>
      <c r="B5056" s="3" t="n">
        <v>46112.25</v>
      </c>
      <c r="C5056" s="3" t="n">
        <v>46112.26060185185</v>
      </c>
      <c r="D5056" s="4">
        <f>(C5056-B5056)*24</f>
        <v/>
      </c>
      <c r="E5056" s="5">
        <f>IF(AND(HOUR(B5056)&gt;=6,HOUR(B5056)&lt;18),"Day Shift","Night Shift")</f>
        <v/>
      </c>
      <c r="F5056" s="6">
        <f>INT(B5056)</f>
        <v/>
      </c>
      <c r="G5056" s="6">
        <f>INT(C5056)</f>
        <v/>
      </c>
    </row>
    <row r="5057">
      <c r="A5057" s="7" t="inlineStr">
        <is>
          <t>Sprint 1</t>
        </is>
      </c>
      <c r="B5057" s="8" t="n">
        <v>46107.16141203704</v>
      </c>
      <c r="C5057" s="8" t="n">
        <v>46107.25</v>
      </c>
      <c r="D5057" s="9">
        <f>(C5057-B5057)*24</f>
        <v/>
      </c>
      <c r="E5057" s="10">
        <f>IF(AND(HOUR(B5057)&gt;=6,HOUR(B5057)&lt;18),"Day Shift","Night Shift")</f>
        <v/>
      </c>
      <c r="F5057" s="11">
        <f>INT(B5057)</f>
        <v/>
      </c>
      <c r="G5057" s="11">
        <f>INT(C5057)</f>
        <v/>
      </c>
    </row>
    <row r="5058">
      <c r="A5058" s="2" t="inlineStr">
        <is>
          <t>Sprint 1</t>
        </is>
      </c>
      <c r="B5058" s="3" t="n">
        <v>46107.25</v>
      </c>
      <c r="C5058" s="3" t="n">
        <v>46107.75</v>
      </c>
      <c r="D5058" s="4">
        <f>(C5058-B5058)*24</f>
        <v/>
      </c>
      <c r="E5058" s="5">
        <f>IF(AND(HOUR(B5058)&gt;=6,HOUR(B5058)&lt;18),"Day Shift","Night Shift")</f>
        <v/>
      </c>
      <c r="F5058" s="6">
        <f>INT(B5058)</f>
        <v/>
      </c>
      <c r="G5058" s="6">
        <f>INT(C5058)</f>
        <v/>
      </c>
    </row>
    <row r="5059">
      <c r="A5059" s="7" t="inlineStr">
        <is>
          <t>Sprint 1</t>
        </is>
      </c>
      <c r="B5059" s="8" t="n">
        <v>46107.75</v>
      </c>
      <c r="C5059" s="8" t="n">
        <v>46108.25</v>
      </c>
      <c r="D5059" s="9">
        <f>(C5059-B5059)*24</f>
        <v/>
      </c>
      <c r="E5059" s="10">
        <f>IF(AND(HOUR(B5059)&gt;=6,HOUR(B5059)&lt;18),"Day Shift","Night Shift")</f>
        <v/>
      </c>
      <c r="F5059" s="11">
        <f>INT(B5059)</f>
        <v/>
      </c>
      <c r="G5059" s="11">
        <f>INT(C5059)</f>
        <v/>
      </c>
    </row>
    <row r="5060">
      <c r="A5060" s="2" t="inlineStr">
        <is>
          <t>Sprint 1</t>
        </is>
      </c>
      <c r="B5060" s="3" t="n">
        <v>46108.25</v>
      </c>
      <c r="C5060" s="3" t="n">
        <v>46108.33361111111</v>
      </c>
      <c r="D5060" s="4">
        <f>(C5060-B5060)*24</f>
        <v/>
      </c>
      <c r="E5060" s="5">
        <f>IF(AND(HOUR(B5060)&gt;=6,HOUR(B5060)&lt;18),"Day Shift","Night Shift")</f>
        <v/>
      </c>
      <c r="F5060" s="6">
        <f>INT(B5060)</f>
        <v/>
      </c>
      <c r="G5060" s="6">
        <f>INT(C5060)</f>
        <v/>
      </c>
    </row>
    <row r="5061">
      <c r="A5061" s="7" t="inlineStr">
        <is>
          <t>EXD408</t>
        </is>
      </c>
      <c r="B5061" s="8" t="n">
        <v>46107.17439814815</v>
      </c>
      <c r="C5061" s="8" t="n">
        <v>46107.25</v>
      </c>
      <c r="D5061" s="9">
        <f>(C5061-B5061)*24</f>
        <v/>
      </c>
      <c r="E5061" s="10">
        <f>IF(AND(HOUR(B5061)&gt;=6,HOUR(B5061)&lt;18),"Day Shift","Night Shift")</f>
        <v/>
      </c>
      <c r="F5061" s="11">
        <f>INT(B5061)</f>
        <v/>
      </c>
      <c r="G5061" s="11">
        <f>INT(C5061)</f>
        <v/>
      </c>
    </row>
    <row r="5062">
      <c r="A5062" s="2" t="inlineStr">
        <is>
          <t>EXD408</t>
        </is>
      </c>
      <c r="B5062" s="3" t="n">
        <v>46107.25</v>
      </c>
      <c r="C5062" s="3" t="n">
        <v>46107.75</v>
      </c>
      <c r="D5062" s="4">
        <f>(C5062-B5062)*24</f>
        <v/>
      </c>
      <c r="E5062" s="5">
        <f>IF(AND(HOUR(B5062)&gt;=6,HOUR(B5062)&lt;18),"Day Shift","Night Shift")</f>
        <v/>
      </c>
      <c r="F5062" s="6">
        <f>INT(B5062)</f>
        <v/>
      </c>
      <c r="G5062" s="6">
        <f>INT(C5062)</f>
        <v/>
      </c>
    </row>
    <row r="5063">
      <c r="A5063" s="7" t="inlineStr">
        <is>
          <t>EXD408</t>
        </is>
      </c>
      <c r="B5063" s="8" t="n">
        <v>46107.75</v>
      </c>
      <c r="C5063" s="8" t="n">
        <v>46108.25</v>
      </c>
      <c r="D5063" s="9">
        <f>(C5063-B5063)*24</f>
        <v/>
      </c>
      <c r="E5063" s="10">
        <f>IF(AND(HOUR(B5063)&gt;=6,HOUR(B5063)&lt;18),"Day Shift","Night Shift")</f>
        <v/>
      </c>
      <c r="F5063" s="11">
        <f>INT(B5063)</f>
        <v/>
      </c>
      <c r="G5063" s="11">
        <f>INT(C5063)</f>
        <v/>
      </c>
    </row>
    <row r="5064">
      <c r="A5064" s="2" t="inlineStr">
        <is>
          <t>EXD408</t>
        </is>
      </c>
      <c r="B5064" s="3" t="n">
        <v>46108.25</v>
      </c>
      <c r="C5064" s="3" t="n">
        <v>46108.33063657407</v>
      </c>
      <c r="D5064" s="4">
        <f>(C5064-B5064)*24</f>
        <v/>
      </c>
      <c r="E5064" s="5">
        <f>IF(AND(HOUR(B5064)&gt;=6,HOUR(B5064)&lt;18),"Day Shift","Night Shift")</f>
        <v/>
      </c>
      <c r="F5064" s="6">
        <f>INT(B5064)</f>
        <v/>
      </c>
      <c r="G5064" s="6">
        <f>INT(C5064)</f>
        <v/>
      </c>
    </row>
    <row r="5065">
      <c r="A5065" s="7" t="inlineStr">
        <is>
          <t>DRE09</t>
        </is>
      </c>
      <c r="B5065" s="8" t="n">
        <v>46107.22401620371</v>
      </c>
      <c r="C5065" s="8" t="n">
        <v>46107.25</v>
      </c>
      <c r="D5065" s="9">
        <f>(C5065-B5065)*24</f>
        <v/>
      </c>
      <c r="E5065" s="10">
        <f>IF(AND(HOUR(B5065)&gt;=6,HOUR(B5065)&lt;18),"Day Shift","Night Shift")</f>
        <v/>
      </c>
      <c r="F5065" s="11">
        <f>INT(B5065)</f>
        <v/>
      </c>
      <c r="G5065" s="11">
        <f>INT(C5065)</f>
        <v/>
      </c>
    </row>
    <row r="5066">
      <c r="A5066" s="2" t="inlineStr">
        <is>
          <t>DRE09</t>
        </is>
      </c>
      <c r="B5066" s="3" t="n">
        <v>46107.25</v>
      </c>
      <c r="C5066" s="3" t="n">
        <v>46107.75</v>
      </c>
      <c r="D5066" s="4">
        <f>(C5066-B5066)*24</f>
        <v/>
      </c>
      <c r="E5066" s="5">
        <f>IF(AND(HOUR(B5066)&gt;=6,HOUR(B5066)&lt;18),"Day Shift","Night Shift")</f>
        <v/>
      </c>
      <c r="F5066" s="6">
        <f>INT(B5066)</f>
        <v/>
      </c>
      <c r="G5066" s="6">
        <f>INT(C5066)</f>
        <v/>
      </c>
    </row>
    <row r="5067">
      <c r="A5067" s="7" t="inlineStr">
        <is>
          <t>DRE09</t>
        </is>
      </c>
      <c r="B5067" s="8" t="n">
        <v>46107.75</v>
      </c>
      <c r="C5067" s="8" t="n">
        <v>46108.25</v>
      </c>
      <c r="D5067" s="9">
        <f>(C5067-B5067)*24</f>
        <v/>
      </c>
      <c r="E5067" s="10">
        <f>IF(AND(HOUR(B5067)&gt;=6,HOUR(B5067)&lt;18),"Day Shift","Night Shift")</f>
        <v/>
      </c>
      <c r="F5067" s="11">
        <f>INT(B5067)</f>
        <v/>
      </c>
      <c r="G5067" s="11">
        <f>INT(C5067)</f>
        <v/>
      </c>
    </row>
    <row r="5068">
      <c r="A5068" s="2" t="inlineStr">
        <is>
          <t>DRE09</t>
        </is>
      </c>
      <c r="B5068" s="3" t="n">
        <v>46108.25</v>
      </c>
      <c r="C5068" s="3" t="n">
        <v>46108.75</v>
      </c>
      <c r="D5068" s="4">
        <f>(C5068-B5068)*24</f>
        <v/>
      </c>
      <c r="E5068" s="5">
        <f>IF(AND(HOUR(B5068)&gt;=6,HOUR(B5068)&lt;18),"Day Shift","Night Shift")</f>
        <v/>
      </c>
      <c r="F5068" s="6">
        <f>INT(B5068)</f>
        <v/>
      </c>
      <c r="G5068" s="6">
        <f>INT(C5068)</f>
        <v/>
      </c>
    </row>
    <row r="5069">
      <c r="A5069" s="7" t="inlineStr">
        <is>
          <t>DRE09</t>
        </is>
      </c>
      <c r="B5069" s="8" t="n">
        <v>46108.75</v>
      </c>
      <c r="C5069" s="8" t="n">
        <v>46109.25</v>
      </c>
      <c r="D5069" s="9">
        <f>(C5069-B5069)*24</f>
        <v/>
      </c>
      <c r="E5069" s="10">
        <f>IF(AND(HOUR(B5069)&gt;=6,HOUR(B5069)&lt;18),"Day Shift","Night Shift")</f>
        <v/>
      </c>
      <c r="F5069" s="11">
        <f>INT(B5069)</f>
        <v/>
      </c>
      <c r="G5069" s="11">
        <f>INT(C5069)</f>
        <v/>
      </c>
    </row>
    <row r="5070">
      <c r="A5070" s="2" t="inlineStr">
        <is>
          <t>DRE09</t>
        </is>
      </c>
      <c r="B5070" s="3" t="n">
        <v>46109.25</v>
      </c>
      <c r="C5070" s="3" t="n">
        <v>46109.75</v>
      </c>
      <c r="D5070" s="4">
        <f>(C5070-B5070)*24</f>
        <v/>
      </c>
      <c r="E5070" s="5">
        <f>IF(AND(HOUR(B5070)&gt;=6,HOUR(B5070)&lt;18),"Day Shift","Night Shift")</f>
        <v/>
      </c>
      <c r="F5070" s="6">
        <f>INT(B5070)</f>
        <v/>
      </c>
      <c r="G5070" s="6">
        <f>INT(C5070)</f>
        <v/>
      </c>
    </row>
    <row r="5071">
      <c r="A5071" s="7" t="inlineStr">
        <is>
          <t>DRE09</t>
        </is>
      </c>
      <c r="B5071" s="8" t="n">
        <v>46109.75</v>
      </c>
      <c r="C5071" s="8" t="n">
        <v>46110.25</v>
      </c>
      <c r="D5071" s="9">
        <f>(C5071-B5071)*24</f>
        <v/>
      </c>
      <c r="E5071" s="10">
        <f>IF(AND(HOUR(B5071)&gt;=6,HOUR(B5071)&lt;18),"Day Shift","Night Shift")</f>
        <v/>
      </c>
      <c r="F5071" s="11">
        <f>INT(B5071)</f>
        <v/>
      </c>
      <c r="G5071" s="11">
        <f>INT(C5071)</f>
        <v/>
      </c>
    </row>
    <row r="5072">
      <c r="A5072" s="2" t="inlineStr">
        <is>
          <t>DRE09</t>
        </is>
      </c>
      <c r="B5072" s="3" t="n">
        <v>46110.25</v>
      </c>
      <c r="C5072" s="3" t="n">
        <v>46110.75</v>
      </c>
      <c r="D5072" s="4">
        <f>(C5072-B5072)*24</f>
        <v/>
      </c>
      <c r="E5072" s="5">
        <f>IF(AND(HOUR(B5072)&gt;=6,HOUR(B5072)&lt;18),"Day Shift","Night Shift")</f>
        <v/>
      </c>
      <c r="F5072" s="6">
        <f>INT(B5072)</f>
        <v/>
      </c>
      <c r="G5072" s="6">
        <f>INT(C5072)</f>
        <v/>
      </c>
    </row>
    <row r="5073">
      <c r="A5073" s="7" t="inlineStr">
        <is>
          <t>DRE09</t>
        </is>
      </c>
      <c r="B5073" s="8" t="n">
        <v>46110.75</v>
      </c>
      <c r="C5073" s="8" t="n">
        <v>46111.25</v>
      </c>
      <c r="D5073" s="9">
        <f>(C5073-B5073)*24</f>
        <v/>
      </c>
      <c r="E5073" s="10">
        <f>IF(AND(HOUR(B5073)&gt;=6,HOUR(B5073)&lt;18),"Day Shift","Night Shift")</f>
        <v/>
      </c>
      <c r="F5073" s="11">
        <f>INT(B5073)</f>
        <v/>
      </c>
      <c r="G5073" s="11">
        <f>INT(C5073)</f>
        <v/>
      </c>
    </row>
    <row r="5074">
      <c r="A5074" s="2" t="inlineStr">
        <is>
          <t>DRE09</t>
        </is>
      </c>
      <c r="B5074" s="3" t="n">
        <v>46111.25</v>
      </c>
      <c r="C5074" s="3" t="n">
        <v>46111.75</v>
      </c>
      <c r="D5074" s="4">
        <f>(C5074-B5074)*24</f>
        <v/>
      </c>
      <c r="E5074" s="5">
        <f>IF(AND(HOUR(B5074)&gt;=6,HOUR(B5074)&lt;18),"Day Shift","Night Shift")</f>
        <v/>
      </c>
      <c r="F5074" s="6">
        <f>INT(B5074)</f>
        <v/>
      </c>
      <c r="G5074" s="6">
        <f>INT(C5074)</f>
        <v/>
      </c>
    </row>
    <row r="5075">
      <c r="A5075" s="7" t="inlineStr">
        <is>
          <t>DRE09</t>
        </is>
      </c>
      <c r="B5075" s="8" t="n">
        <v>46111.75</v>
      </c>
      <c r="C5075" s="8" t="n">
        <v>46112.25</v>
      </c>
      <c r="D5075" s="9">
        <f>(C5075-B5075)*24</f>
        <v/>
      </c>
      <c r="E5075" s="10">
        <f>IF(AND(HOUR(B5075)&gt;=6,HOUR(B5075)&lt;18),"Day Shift","Night Shift")</f>
        <v/>
      </c>
      <c r="F5075" s="11">
        <f>INT(B5075)</f>
        <v/>
      </c>
      <c r="G5075" s="11">
        <f>INT(C5075)</f>
        <v/>
      </c>
    </row>
    <row r="5076">
      <c r="A5076" s="2" t="inlineStr">
        <is>
          <t>DRE09</t>
        </is>
      </c>
      <c r="B5076" s="3" t="n">
        <v>46112.25</v>
      </c>
      <c r="C5076" s="3" t="n">
        <v>46112.75</v>
      </c>
      <c r="D5076" s="4">
        <f>(C5076-B5076)*24</f>
        <v/>
      </c>
      <c r="E5076" s="5">
        <f>IF(AND(HOUR(B5076)&gt;=6,HOUR(B5076)&lt;18),"Day Shift","Night Shift")</f>
        <v/>
      </c>
      <c r="F5076" s="6">
        <f>INT(B5076)</f>
        <v/>
      </c>
      <c r="G5076" s="6">
        <f>INT(C5076)</f>
        <v/>
      </c>
    </row>
    <row r="5077">
      <c r="A5077" s="7" t="inlineStr">
        <is>
          <t>DRE09</t>
        </is>
      </c>
      <c r="B5077" s="8" t="n">
        <v>46112.75</v>
      </c>
      <c r="C5077" s="8" t="n">
        <v>46113.25</v>
      </c>
      <c r="D5077" s="9">
        <f>(C5077-B5077)*24</f>
        <v/>
      </c>
      <c r="E5077" s="10">
        <f>IF(AND(HOUR(B5077)&gt;=6,HOUR(B5077)&lt;18),"Day Shift","Night Shift")</f>
        <v/>
      </c>
      <c r="F5077" s="11">
        <f>INT(B5077)</f>
        <v/>
      </c>
      <c r="G5077" s="11">
        <f>INT(C5077)</f>
        <v/>
      </c>
    </row>
    <row r="5078">
      <c r="A5078" s="2" t="inlineStr">
        <is>
          <t>DRE09</t>
        </is>
      </c>
      <c r="B5078" s="3" t="n">
        <v>46113.25</v>
      </c>
      <c r="C5078" s="3" t="n">
        <v>46113.75</v>
      </c>
      <c r="D5078" s="4">
        <f>(C5078-B5078)*24</f>
        <v/>
      </c>
      <c r="E5078" s="5">
        <f>IF(AND(HOUR(B5078)&gt;=6,HOUR(B5078)&lt;18),"Day Shift","Night Shift")</f>
        <v/>
      </c>
      <c r="F5078" s="6">
        <f>INT(B5078)</f>
        <v/>
      </c>
      <c r="G5078" s="6">
        <f>INT(C5078)</f>
        <v/>
      </c>
    </row>
    <row r="5079">
      <c r="A5079" s="7" t="inlineStr">
        <is>
          <t>DRE09</t>
        </is>
      </c>
      <c r="B5079" s="8" t="n">
        <v>46113.75</v>
      </c>
      <c r="C5079" s="8" t="n">
        <v>46114.25</v>
      </c>
      <c r="D5079" s="9">
        <f>(C5079-B5079)*24</f>
        <v/>
      </c>
      <c r="E5079" s="10">
        <f>IF(AND(HOUR(B5079)&gt;=6,HOUR(B5079)&lt;18),"Day Shift","Night Shift")</f>
        <v/>
      </c>
      <c r="F5079" s="11">
        <f>INT(B5079)</f>
        <v/>
      </c>
      <c r="G5079" s="11">
        <f>INT(C5079)</f>
        <v/>
      </c>
    </row>
    <row r="5080">
      <c r="A5080" s="2" t="inlineStr">
        <is>
          <t>DRE09</t>
        </is>
      </c>
      <c r="B5080" s="3" t="n">
        <v>46114.25</v>
      </c>
      <c r="C5080" s="3" t="n">
        <v>46114.75</v>
      </c>
      <c r="D5080" s="4">
        <f>(C5080-B5080)*24</f>
        <v/>
      </c>
      <c r="E5080" s="5">
        <f>IF(AND(HOUR(B5080)&gt;=6,HOUR(B5080)&lt;18),"Day Shift","Night Shift")</f>
        <v/>
      </c>
      <c r="F5080" s="6">
        <f>INT(B5080)</f>
        <v/>
      </c>
      <c r="G5080" s="6">
        <f>INT(C5080)</f>
        <v/>
      </c>
    </row>
    <row r="5081">
      <c r="A5081" s="7" t="inlineStr">
        <is>
          <t>DRE09</t>
        </is>
      </c>
      <c r="B5081" s="8" t="n">
        <v>46114.75</v>
      </c>
      <c r="C5081" s="8" t="n">
        <v>46115.25</v>
      </c>
      <c r="D5081" s="9">
        <f>(C5081-B5081)*24</f>
        <v/>
      </c>
      <c r="E5081" s="10">
        <f>IF(AND(HOUR(B5081)&gt;=6,HOUR(B5081)&lt;18),"Day Shift","Night Shift")</f>
        <v/>
      </c>
      <c r="F5081" s="11">
        <f>INT(B5081)</f>
        <v/>
      </c>
      <c r="G5081" s="11">
        <f>INT(C5081)</f>
        <v/>
      </c>
    </row>
    <row r="5082">
      <c r="A5082" s="2" t="inlineStr">
        <is>
          <t>DRE09</t>
        </is>
      </c>
      <c r="B5082" s="3" t="n">
        <v>46115.25</v>
      </c>
      <c r="C5082" s="3" t="n">
        <v>46115.75</v>
      </c>
      <c r="D5082" s="4">
        <f>(C5082-B5082)*24</f>
        <v/>
      </c>
      <c r="E5082" s="5">
        <f>IF(AND(HOUR(B5082)&gt;=6,HOUR(B5082)&lt;18),"Day Shift","Night Shift")</f>
        <v/>
      </c>
      <c r="F5082" s="6">
        <f>INT(B5082)</f>
        <v/>
      </c>
      <c r="G5082" s="6">
        <f>INT(C5082)</f>
        <v/>
      </c>
    </row>
    <row r="5083">
      <c r="A5083" s="7" t="inlineStr">
        <is>
          <t>DRE09</t>
        </is>
      </c>
      <c r="B5083" s="8" t="n">
        <v>46115.75</v>
      </c>
      <c r="C5083" s="8" t="n">
        <v>46116.25</v>
      </c>
      <c r="D5083" s="9">
        <f>(C5083-B5083)*24</f>
        <v/>
      </c>
      <c r="E5083" s="10">
        <f>IF(AND(HOUR(B5083)&gt;=6,HOUR(B5083)&lt;18),"Day Shift","Night Shift")</f>
        <v/>
      </c>
      <c r="F5083" s="11">
        <f>INT(B5083)</f>
        <v/>
      </c>
      <c r="G5083" s="11">
        <f>INT(C5083)</f>
        <v/>
      </c>
    </row>
    <row r="5084">
      <c r="A5084" s="2" t="inlineStr">
        <is>
          <t>DRE09</t>
        </is>
      </c>
      <c r="B5084" s="3" t="n">
        <v>46116.25</v>
      </c>
      <c r="C5084" s="3" t="n">
        <v>46116.75</v>
      </c>
      <c r="D5084" s="4">
        <f>(C5084-B5084)*24</f>
        <v/>
      </c>
      <c r="E5084" s="5">
        <f>IF(AND(HOUR(B5084)&gt;=6,HOUR(B5084)&lt;18),"Day Shift","Night Shift")</f>
        <v/>
      </c>
      <c r="F5084" s="6">
        <f>INT(B5084)</f>
        <v/>
      </c>
      <c r="G5084" s="6">
        <f>INT(C5084)</f>
        <v/>
      </c>
    </row>
    <row r="5085">
      <c r="A5085" s="7" t="inlineStr">
        <is>
          <t>DRE09</t>
        </is>
      </c>
      <c r="B5085" s="8" t="n">
        <v>46116.75</v>
      </c>
      <c r="C5085" s="8" t="n">
        <v>46117.25</v>
      </c>
      <c r="D5085" s="9">
        <f>(C5085-B5085)*24</f>
        <v/>
      </c>
      <c r="E5085" s="10">
        <f>IF(AND(HOUR(B5085)&gt;=6,HOUR(B5085)&lt;18),"Day Shift","Night Shift")</f>
        <v/>
      </c>
      <c r="F5085" s="11">
        <f>INT(B5085)</f>
        <v/>
      </c>
      <c r="G5085" s="11">
        <f>INT(C5085)</f>
        <v/>
      </c>
    </row>
    <row r="5086">
      <c r="A5086" s="2" t="inlineStr">
        <is>
          <t>DRE09</t>
        </is>
      </c>
      <c r="B5086" s="3" t="n">
        <v>46117.25</v>
      </c>
      <c r="C5086" s="3" t="n">
        <v>46117.75</v>
      </c>
      <c r="D5086" s="4">
        <f>(C5086-B5086)*24</f>
        <v/>
      </c>
      <c r="E5086" s="5">
        <f>IF(AND(HOUR(B5086)&gt;=6,HOUR(B5086)&lt;18),"Day Shift","Night Shift")</f>
        <v/>
      </c>
      <c r="F5086" s="6">
        <f>INT(B5086)</f>
        <v/>
      </c>
      <c r="G5086" s="6">
        <f>INT(C5086)</f>
        <v/>
      </c>
    </row>
    <row r="5087">
      <c r="A5087" s="7" t="inlineStr">
        <is>
          <t>DRE09</t>
        </is>
      </c>
      <c r="B5087" s="8" t="n">
        <v>46117.75</v>
      </c>
      <c r="C5087" s="8" t="n">
        <v>46117.94899305556</v>
      </c>
      <c r="D5087" s="9">
        <f>(C5087-B5087)*24</f>
        <v/>
      </c>
      <c r="E5087" s="10">
        <f>IF(AND(HOUR(B5087)&gt;=6,HOUR(B5087)&lt;18),"Day Shift","Night Shift")</f>
        <v/>
      </c>
      <c r="F5087" s="11">
        <f>INT(B5087)</f>
        <v/>
      </c>
      <c r="G5087" s="11">
        <f>INT(C5087)</f>
        <v/>
      </c>
    </row>
    <row r="5088">
      <c r="A5088" s="2" t="inlineStr">
        <is>
          <t>DRE42</t>
        </is>
      </c>
      <c r="B5088" s="3" t="n">
        <v>46107.33402777778</v>
      </c>
      <c r="C5088" s="3" t="n">
        <v>46107.75</v>
      </c>
      <c r="D5088" s="4">
        <f>(C5088-B5088)*24</f>
        <v/>
      </c>
      <c r="E5088" s="5">
        <f>IF(AND(HOUR(B5088)&gt;=6,HOUR(B5088)&lt;18),"Day Shift","Night Shift")</f>
        <v/>
      </c>
      <c r="F5088" s="6">
        <f>INT(B5088)</f>
        <v/>
      </c>
      <c r="G5088" s="6">
        <f>INT(C5088)</f>
        <v/>
      </c>
    </row>
    <row r="5089">
      <c r="A5089" s="7" t="inlineStr">
        <is>
          <t>DRE42</t>
        </is>
      </c>
      <c r="B5089" s="8" t="n">
        <v>46107.75</v>
      </c>
      <c r="C5089" s="8" t="n">
        <v>46108.25</v>
      </c>
      <c r="D5089" s="9">
        <f>(C5089-B5089)*24</f>
        <v/>
      </c>
      <c r="E5089" s="10">
        <f>IF(AND(HOUR(B5089)&gt;=6,HOUR(B5089)&lt;18),"Day Shift","Night Shift")</f>
        <v/>
      </c>
      <c r="F5089" s="11">
        <f>INT(B5089)</f>
        <v/>
      </c>
      <c r="G5089" s="11">
        <f>INT(C5089)</f>
        <v/>
      </c>
    </row>
    <row r="5090">
      <c r="A5090" s="2" t="inlineStr">
        <is>
          <t>DRE42</t>
        </is>
      </c>
      <c r="B5090" s="3" t="n">
        <v>46108.25</v>
      </c>
      <c r="C5090" s="3" t="n">
        <v>46108.75</v>
      </c>
      <c r="D5090" s="4">
        <f>(C5090-B5090)*24</f>
        <v/>
      </c>
      <c r="E5090" s="5">
        <f>IF(AND(HOUR(B5090)&gt;=6,HOUR(B5090)&lt;18),"Day Shift","Night Shift")</f>
        <v/>
      </c>
      <c r="F5090" s="6">
        <f>INT(B5090)</f>
        <v/>
      </c>
      <c r="G5090" s="6">
        <f>INT(C5090)</f>
        <v/>
      </c>
    </row>
    <row r="5091">
      <c r="A5091" s="7" t="inlineStr">
        <is>
          <t>DRE42</t>
        </is>
      </c>
      <c r="B5091" s="8" t="n">
        <v>46108.75</v>
      </c>
      <c r="C5091" s="8" t="n">
        <v>46109.25</v>
      </c>
      <c r="D5091" s="9">
        <f>(C5091-B5091)*24</f>
        <v/>
      </c>
      <c r="E5091" s="10">
        <f>IF(AND(HOUR(B5091)&gt;=6,HOUR(B5091)&lt;18),"Day Shift","Night Shift")</f>
        <v/>
      </c>
      <c r="F5091" s="11">
        <f>INT(B5091)</f>
        <v/>
      </c>
      <c r="G5091" s="11">
        <f>INT(C5091)</f>
        <v/>
      </c>
    </row>
    <row r="5092">
      <c r="A5092" s="2" t="inlineStr">
        <is>
          <t>DRE42</t>
        </is>
      </c>
      <c r="B5092" s="3" t="n">
        <v>46109.25</v>
      </c>
      <c r="C5092" s="3" t="n">
        <v>46109.75</v>
      </c>
      <c r="D5092" s="4">
        <f>(C5092-B5092)*24</f>
        <v/>
      </c>
      <c r="E5092" s="5">
        <f>IF(AND(HOUR(B5092)&gt;=6,HOUR(B5092)&lt;18),"Day Shift","Night Shift")</f>
        <v/>
      </c>
      <c r="F5092" s="6">
        <f>INT(B5092)</f>
        <v/>
      </c>
      <c r="G5092" s="6">
        <f>INT(C5092)</f>
        <v/>
      </c>
    </row>
    <row r="5093">
      <c r="A5093" s="7" t="inlineStr">
        <is>
          <t>DRE42</t>
        </is>
      </c>
      <c r="B5093" s="8" t="n">
        <v>46109.75</v>
      </c>
      <c r="C5093" s="8" t="n">
        <v>46110.25</v>
      </c>
      <c r="D5093" s="9">
        <f>(C5093-B5093)*24</f>
        <v/>
      </c>
      <c r="E5093" s="10">
        <f>IF(AND(HOUR(B5093)&gt;=6,HOUR(B5093)&lt;18),"Day Shift","Night Shift")</f>
        <v/>
      </c>
      <c r="F5093" s="11">
        <f>INT(B5093)</f>
        <v/>
      </c>
      <c r="G5093" s="11">
        <f>INT(C5093)</f>
        <v/>
      </c>
    </row>
    <row r="5094">
      <c r="A5094" s="2" t="inlineStr">
        <is>
          <t>DRE42</t>
        </is>
      </c>
      <c r="B5094" s="3" t="n">
        <v>46110.25</v>
      </c>
      <c r="C5094" s="3" t="n">
        <v>46110.75</v>
      </c>
      <c r="D5094" s="4">
        <f>(C5094-B5094)*24</f>
        <v/>
      </c>
      <c r="E5094" s="5">
        <f>IF(AND(HOUR(B5094)&gt;=6,HOUR(B5094)&lt;18),"Day Shift","Night Shift")</f>
        <v/>
      </c>
      <c r="F5094" s="6">
        <f>INT(B5094)</f>
        <v/>
      </c>
      <c r="G5094" s="6">
        <f>INT(C5094)</f>
        <v/>
      </c>
    </row>
    <row r="5095">
      <c r="A5095" s="7" t="inlineStr">
        <is>
          <t>DRE42</t>
        </is>
      </c>
      <c r="B5095" s="8" t="n">
        <v>46110.75</v>
      </c>
      <c r="C5095" s="8" t="n">
        <v>46111.25</v>
      </c>
      <c r="D5095" s="9">
        <f>(C5095-B5095)*24</f>
        <v/>
      </c>
      <c r="E5095" s="10">
        <f>IF(AND(HOUR(B5095)&gt;=6,HOUR(B5095)&lt;18),"Day Shift","Night Shift")</f>
        <v/>
      </c>
      <c r="F5095" s="11">
        <f>INT(B5095)</f>
        <v/>
      </c>
      <c r="G5095" s="11">
        <f>INT(C5095)</f>
        <v/>
      </c>
    </row>
    <row r="5096">
      <c r="A5096" s="2" t="inlineStr">
        <is>
          <t>DRE42</t>
        </is>
      </c>
      <c r="B5096" s="3" t="n">
        <v>46111.25</v>
      </c>
      <c r="C5096" s="3" t="n">
        <v>46111.28796296296</v>
      </c>
      <c r="D5096" s="4">
        <f>(C5096-B5096)*24</f>
        <v/>
      </c>
      <c r="E5096" s="5">
        <f>IF(AND(HOUR(B5096)&gt;=6,HOUR(B5096)&lt;18),"Day Shift","Night Shift")</f>
        <v/>
      </c>
      <c r="F5096" s="6">
        <f>INT(B5096)</f>
        <v/>
      </c>
      <c r="G5096" s="6">
        <f>INT(C5096)</f>
        <v/>
      </c>
    </row>
    <row r="5097">
      <c r="A5097" s="2" t="inlineStr">
        <is>
          <t>EXD409</t>
        </is>
      </c>
      <c r="B5097" s="3" t="n">
        <v>46107.34359953704</v>
      </c>
      <c r="C5097" s="3" t="n">
        <v>46107.75</v>
      </c>
      <c r="D5097" s="4">
        <f>(C5097-B5097)*24</f>
        <v/>
      </c>
      <c r="E5097" s="5">
        <f>IF(AND(HOUR(B5097)&gt;=6,HOUR(B5097)&lt;18),"Day Shift","Night Shift")</f>
        <v/>
      </c>
      <c r="F5097" s="6">
        <f>INT(B5097)</f>
        <v/>
      </c>
      <c r="G5097" s="6">
        <f>INT(C5097)</f>
        <v/>
      </c>
    </row>
    <row r="5098">
      <c r="A5098" s="7" t="inlineStr">
        <is>
          <t>EXD409</t>
        </is>
      </c>
      <c r="B5098" s="8" t="n">
        <v>46107.75</v>
      </c>
      <c r="C5098" s="8" t="n">
        <v>46107.875</v>
      </c>
      <c r="D5098" s="9">
        <f>(C5098-B5098)*24</f>
        <v/>
      </c>
      <c r="E5098" s="10">
        <f>IF(AND(HOUR(B5098)&gt;=6,HOUR(B5098)&lt;18),"Day Shift","Night Shift")</f>
        <v/>
      </c>
      <c r="F5098" s="11">
        <f>INT(B5098)</f>
        <v/>
      </c>
      <c r="G5098" s="11">
        <f>INT(C5098)</f>
        <v/>
      </c>
    </row>
    <row r="5099">
      <c r="A5099" s="2" t="inlineStr">
        <is>
          <t>EXD100</t>
        </is>
      </c>
      <c r="B5099" s="3" t="n">
        <v>46107.39225694445</v>
      </c>
      <c r="C5099" s="3" t="n">
        <v>46107.75</v>
      </c>
      <c r="D5099" s="4">
        <f>(C5099-B5099)*24</f>
        <v/>
      </c>
      <c r="E5099" s="5">
        <f>IF(AND(HOUR(B5099)&gt;=6,HOUR(B5099)&lt;18),"Day Shift","Night Shift")</f>
        <v/>
      </c>
      <c r="F5099" s="6">
        <f>INT(B5099)</f>
        <v/>
      </c>
      <c r="G5099" s="6">
        <f>INT(C5099)</f>
        <v/>
      </c>
    </row>
    <row r="5100">
      <c r="A5100" s="7" t="inlineStr">
        <is>
          <t>EXD100</t>
        </is>
      </c>
      <c r="B5100" s="8" t="n">
        <v>46107.75</v>
      </c>
      <c r="C5100" s="8" t="n">
        <v>46107.93344907407</v>
      </c>
      <c r="D5100" s="9">
        <f>(C5100-B5100)*24</f>
        <v/>
      </c>
      <c r="E5100" s="10">
        <f>IF(AND(HOUR(B5100)&gt;=6,HOUR(B5100)&lt;18),"Day Shift","Night Shift")</f>
        <v/>
      </c>
      <c r="F5100" s="11">
        <f>INT(B5100)</f>
        <v/>
      </c>
      <c r="G5100" s="11">
        <f>INT(C5100)</f>
        <v/>
      </c>
    </row>
    <row r="5101">
      <c r="A5101" s="2" t="inlineStr">
        <is>
          <t>EXD73</t>
        </is>
      </c>
      <c r="B5101" s="3" t="n">
        <v>46107.4031712963</v>
      </c>
      <c r="C5101" s="3" t="n">
        <v>46107.75</v>
      </c>
      <c r="D5101" s="4">
        <f>(C5101-B5101)*24</f>
        <v/>
      </c>
      <c r="E5101" s="5">
        <f>IF(AND(HOUR(B5101)&gt;=6,HOUR(B5101)&lt;18),"Day Shift","Night Shift")</f>
        <v/>
      </c>
      <c r="F5101" s="6">
        <f>INT(B5101)</f>
        <v/>
      </c>
      <c r="G5101" s="6">
        <f>INT(C5101)</f>
        <v/>
      </c>
    </row>
    <row r="5102">
      <c r="A5102" s="7" t="inlineStr">
        <is>
          <t>EXD73</t>
        </is>
      </c>
      <c r="B5102" s="8" t="n">
        <v>46107.75</v>
      </c>
      <c r="C5102" s="8" t="n">
        <v>46107.93828703704</v>
      </c>
      <c r="D5102" s="9">
        <f>(C5102-B5102)*24</f>
        <v/>
      </c>
      <c r="E5102" s="10">
        <f>IF(AND(HOUR(B5102)&gt;=6,HOUR(B5102)&lt;18),"Day Shift","Night Shift")</f>
        <v/>
      </c>
      <c r="F5102" s="11">
        <f>INT(B5102)</f>
        <v/>
      </c>
      <c r="G5102" s="11">
        <f>INT(C5102)</f>
        <v/>
      </c>
    </row>
    <row r="5103">
      <c r="A5103" s="2" t="inlineStr">
        <is>
          <t>Blast</t>
        </is>
      </c>
      <c r="B5103" s="3" t="n">
        <v>46107.45833333334</v>
      </c>
      <c r="C5103" s="3" t="n">
        <v>46107.45835648148</v>
      </c>
      <c r="D5103" s="4">
        <f>(C5103-B5103)*24</f>
        <v/>
      </c>
      <c r="E5103" s="5">
        <f>IF(AND(HOUR(B5103)&gt;=6,HOUR(B5103)&lt;18),"Day Shift","Night Shift")</f>
        <v/>
      </c>
      <c r="F5103" s="6">
        <f>INT(B5103)</f>
        <v/>
      </c>
      <c r="G5103" s="6">
        <f>INT(C5103)</f>
        <v/>
      </c>
    </row>
    <row r="5104">
      <c r="A5104" s="2" t="inlineStr">
        <is>
          <t>Blast</t>
        </is>
      </c>
      <c r="B5104" s="3" t="n">
        <v>46107.45835648148</v>
      </c>
      <c r="C5104" s="3" t="n">
        <v>46107.45839120371</v>
      </c>
      <c r="D5104" s="4">
        <f>(C5104-B5104)*24</f>
        <v/>
      </c>
      <c r="E5104" s="5">
        <f>IF(AND(HOUR(B5104)&gt;=6,HOUR(B5104)&lt;18),"Day Shift","Night Shift")</f>
        <v/>
      </c>
      <c r="F5104" s="6">
        <f>INT(B5104)</f>
        <v/>
      </c>
      <c r="G5104" s="6">
        <f>INT(C5104)</f>
        <v/>
      </c>
    </row>
    <row r="5105">
      <c r="A5105" s="2" t="inlineStr">
        <is>
          <t>Blast</t>
        </is>
      </c>
      <c r="B5105" s="3" t="n">
        <v>46107.45839120371</v>
      </c>
      <c r="C5105" s="3" t="n">
        <v>46107.45842592593</v>
      </c>
      <c r="D5105" s="4">
        <f>(C5105-B5105)*24</f>
        <v/>
      </c>
      <c r="E5105" s="5">
        <f>IF(AND(HOUR(B5105)&gt;=6,HOUR(B5105)&lt;18),"Day Shift","Night Shift")</f>
        <v/>
      </c>
      <c r="F5105" s="6">
        <f>INT(B5105)</f>
        <v/>
      </c>
      <c r="G5105" s="6">
        <f>INT(C5105)</f>
        <v/>
      </c>
    </row>
    <row r="5106">
      <c r="A5106" s="2" t="inlineStr">
        <is>
          <t>Blast</t>
        </is>
      </c>
      <c r="B5106" s="3" t="n">
        <v>46107.45842592593</v>
      </c>
      <c r="C5106" s="3" t="n">
        <v>46107.45844907407</v>
      </c>
      <c r="D5106" s="4">
        <f>(C5106-B5106)*24</f>
        <v/>
      </c>
      <c r="E5106" s="5">
        <f>IF(AND(HOUR(B5106)&gt;=6,HOUR(B5106)&lt;18),"Day Shift","Night Shift")</f>
        <v/>
      </c>
      <c r="F5106" s="6">
        <f>INT(B5106)</f>
        <v/>
      </c>
      <c r="G5106" s="6">
        <f>INT(C5106)</f>
        <v/>
      </c>
    </row>
    <row r="5107">
      <c r="A5107" s="2" t="inlineStr">
        <is>
          <t>EXD101</t>
        </is>
      </c>
      <c r="B5107" s="3" t="n">
        <v>46107.45844907407</v>
      </c>
      <c r="C5107" s="3" t="n">
        <v>46107.73528935185</v>
      </c>
      <c r="D5107" s="4">
        <f>(C5107-B5107)*24</f>
        <v/>
      </c>
      <c r="E5107" s="5">
        <f>IF(AND(HOUR(B5107)&gt;=6,HOUR(B5107)&lt;18),"Day Shift","Night Shift")</f>
        <v/>
      </c>
      <c r="F5107" s="6">
        <f>INT(B5107)</f>
        <v/>
      </c>
      <c r="G5107" s="6">
        <f>INT(C5107)</f>
        <v/>
      </c>
    </row>
    <row r="5108">
      <c r="A5108" s="2" t="inlineStr">
        <is>
          <t>EXD98</t>
        </is>
      </c>
      <c r="B5108" s="3" t="n">
        <v>46107.53664351852</v>
      </c>
      <c r="C5108" s="3" t="n">
        <v>46107.75</v>
      </c>
      <c r="D5108" s="4">
        <f>(C5108-B5108)*24</f>
        <v/>
      </c>
      <c r="E5108" s="5">
        <f>IF(AND(HOUR(B5108)&gt;=6,HOUR(B5108)&lt;18),"Day Shift","Night Shift")</f>
        <v/>
      </c>
      <c r="F5108" s="6">
        <f>INT(B5108)</f>
        <v/>
      </c>
      <c r="G5108" s="6">
        <f>INT(C5108)</f>
        <v/>
      </c>
    </row>
    <row r="5109">
      <c r="A5109" s="7" t="inlineStr">
        <is>
          <t>EXD98</t>
        </is>
      </c>
      <c r="B5109" s="8" t="n">
        <v>46107.75</v>
      </c>
      <c r="C5109" s="8" t="n">
        <v>46107.87538194445</v>
      </c>
      <c r="D5109" s="9">
        <f>(C5109-B5109)*24</f>
        <v/>
      </c>
      <c r="E5109" s="10">
        <f>IF(AND(HOUR(B5109)&gt;=6,HOUR(B5109)&lt;18),"Day Shift","Night Shift")</f>
        <v/>
      </c>
      <c r="F5109" s="11">
        <f>INT(B5109)</f>
        <v/>
      </c>
      <c r="G5109" s="11">
        <f>INT(C5109)</f>
        <v/>
      </c>
    </row>
    <row r="5110">
      <c r="A5110" s="2" t="inlineStr">
        <is>
          <t>EXD101</t>
        </is>
      </c>
      <c r="B5110" s="3" t="n">
        <v>46107.73528935185</v>
      </c>
      <c r="C5110" s="3" t="n">
        <v>46107.75</v>
      </c>
      <c r="D5110" s="4">
        <f>(C5110-B5110)*24</f>
        <v/>
      </c>
      <c r="E5110" s="5">
        <f>IF(AND(HOUR(B5110)&gt;=6,HOUR(B5110)&lt;18),"Day Shift","Night Shift")</f>
        <v/>
      </c>
      <c r="F5110" s="6">
        <f>INT(B5110)</f>
        <v/>
      </c>
      <c r="G5110" s="6">
        <f>INT(C5110)</f>
        <v/>
      </c>
    </row>
    <row r="5111">
      <c r="A5111" s="7" t="inlineStr">
        <is>
          <t>EXD101</t>
        </is>
      </c>
      <c r="B5111" s="8" t="n">
        <v>46107.75</v>
      </c>
      <c r="C5111" s="8" t="n">
        <v>46108.00774305555</v>
      </c>
      <c r="D5111" s="9">
        <f>(C5111-B5111)*24</f>
        <v/>
      </c>
      <c r="E5111" s="10">
        <f>IF(AND(HOUR(B5111)&gt;=6,HOUR(B5111)&lt;18),"Day Shift","Night Shift")</f>
        <v/>
      </c>
      <c r="F5111" s="11">
        <f>INT(B5111)</f>
        <v/>
      </c>
      <c r="G5111" s="11">
        <f>INT(C5111)</f>
        <v/>
      </c>
    </row>
    <row r="5112">
      <c r="A5112" s="7" t="inlineStr">
        <is>
          <t>EXD51</t>
        </is>
      </c>
      <c r="B5112" s="8" t="n">
        <v>46107.75851851852</v>
      </c>
      <c r="C5112" s="8" t="n">
        <v>46108.25</v>
      </c>
      <c r="D5112" s="9">
        <f>(C5112-B5112)*24</f>
        <v/>
      </c>
      <c r="E5112" s="10">
        <f>IF(AND(HOUR(B5112)&gt;=6,HOUR(B5112)&lt;18),"Day Shift","Night Shift")</f>
        <v/>
      </c>
      <c r="F5112" s="11">
        <f>INT(B5112)</f>
        <v/>
      </c>
      <c r="G5112" s="11">
        <f>INT(C5112)</f>
        <v/>
      </c>
    </row>
    <row r="5113">
      <c r="A5113" s="2" t="inlineStr">
        <is>
          <t>EXD51</t>
        </is>
      </c>
      <c r="B5113" s="3" t="n">
        <v>46108.25</v>
      </c>
      <c r="C5113" s="3" t="n">
        <v>46108.75</v>
      </c>
      <c r="D5113" s="4">
        <f>(C5113-B5113)*24</f>
        <v/>
      </c>
      <c r="E5113" s="5">
        <f>IF(AND(HOUR(B5113)&gt;=6,HOUR(B5113)&lt;18),"Day Shift","Night Shift")</f>
        <v/>
      </c>
      <c r="F5113" s="6">
        <f>INT(B5113)</f>
        <v/>
      </c>
      <c r="G5113" s="6">
        <f>INT(C5113)</f>
        <v/>
      </c>
    </row>
    <row r="5114">
      <c r="A5114" s="7" t="inlineStr">
        <is>
          <t>EXD51</t>
        </is>
      </c>
      <c r="B5114" s="8" t="n">
        <v>46108.75</v>
      </c>
      <c r="C5114" s="8" t="n">
        <v>46109.16034722222</v>
      </c>
      <c r="D5114" s="9">
        <f>(C5114-B5114)*24</f>
        <v/>
      </c>
      <c r="E5114" s="10">
        <f>IF(AND(HOUR(B5114)&gt;=6,HOUR(B5114)&lt;18),"Day Shift","Night Shift")</f>
        <v/>
      </c>
      <c r="F5114" s="11">
        <f>INT(B5114)</f>
        <v/>
      </c>
      <c r="G5114" s="11">
        <f>INT(C5114)</f>
        <v/>
      </c>
    </row>
    <row r="5115">
      <c r="A5115" s="7" t="inlineStr">
        <is>
          <t>EDD175;EDD1932;EDD2134;EDD2541;EDD812</t>
        </is>
      </c>
      <c r="B5115" s="8" t="n">
        <v>46107.77076388889</v>
      </c>
      <c r="C5115" s="8" t="n">
        <v>46108.25</v>
      </c>
      <c r="D5115" s="9">
        <f>(C5115-B5115)*24</f>
        <v/>
      </c>
      <c r="E5115" s="10">
        <f>IF(AND(HOUR(B5115)&gt;=6,HOUR(B5115)&lt;18),"Day Shift","Night Shift")</f>
        <v/>
      </c>
      <c r="F5115" s="11">
        <f>INT(B5115)</f>
        <v/>
      </c>
      <c r="G5115" s="11">
        <f>INT(C5115)</f>
        <v/>
      </c>
    </row>
    <row r="5116">
      <c r="A5116" s="2" t="inlineStr">
        <is>
          <t>EDD175;EDD1932;EDD2134;EDD2541;EDD812</t>
        </is>
      </c>
      <c r="B5116" s="3" t="n">
        <v>46108.25</v>
      </c>
      <c r="C5116" s="3" t="n">
        <v>46108.75</v>
      </c>
      <c r="D5116" s="4">
        <f>(C5116-B5116)*24</f>
        <v/>
      </c>
      <c r="E5116" s="5">
        <f>IF(AND(HOUR(B5116)&gt;=6,HOUR(B5116)&lt;18),"Day Shift","Night Shift")</f>
        <v/>
      </c>
      <c r="F5116" s="6">
        <f>INT(B5116)</f>
        <v/>
      </c>
      <c r="G5116" s="6">
        <f>INT(C5116)</f>
        <v/>
      </c>
    </row>
    <row r="5117">
      <c r="A5117" s="7" t="inlineStr">
        <is>
          <t>EDD175;EDD1932;EDD2134;EDD2541;EDD812</t>
        </is>
      </c>
      <c r="B5117" s="8" t="n">
        <v>46108.75</v>
      </c>
      <c r="C5117" s="8" t="n">
        <v>46109.13498842593</v>
      </c>
      <c r="D5117" s="9">
        <f>(C5117-B5117)*24</f>
        <v/>
      </c>
      <c r="E5117" s="10">
        <f>IF(AND(HOUR(B5117)&gt;=6,HOUR(B5117)&lt;18),"Day Shift","Night Shift")</f>
        <v/>
      </c>
      <c r="F5117" s="11">
        <f>INT(B5117)</f>
        <v/>
      </c>
      <c r="G5117" s="11">
        <f>INT(C5117)</f>
        <v/>
      </c>
    </row>
    <row r="5118">
      <c r="A5118" s="7" t="inlineStr">
        <is>
          <t>EXD407</t>
        </is>
      </c>
      <c r="B5118" s="8" t="n">
        <v>46107.8169212963</v>
      </c>
      <c r="C5118" s="8" t="n">
        <v>46108.25</v>
      </c>
      <c r="D5118" s="9">
        <f>(C5118-B5118)*24</f>
        <v/>
      </c>
      <c r="E5118" s="10">
        <f>IF(AND(HOUR(B5118)&gt;=6,HOUR(B5118)&lt;18),"Day Shift","Night Shift")</f>
        <v/>
      </c>
      <c r="F5118" s="11">
        <f>INT(B5118)</f>
        <v/>
      </c>
      <c r="G5118" s="11">
        <f>INT(C5118)</f>
        <v/>
      </c>
    </row>
    <row r="5119">
      <c r="A5119" s="2" t="inlineStr">
        <is>
          <t>EXD407</t>
        </is>
      </c>
      <c r="B5119" s="3" t="n">
        <v>46108.25</v>
      </c>
      <c r="C5119" s="3" t="n">
        <v>46108.75</v>
      </c>
      <c r="D5119" s="4">
        <f>(C5119-B5119)*24</f>
        <v/>
      </c>
      <c r="E5119" s="5">
        <f>IF(AND(HOUR(B5119)&gt;=6,HOUR(B5119)&lt;18),"Day Shift","Night Shift")</f>
        <v/>
      </c>
      <c r="F5119" s="6">
        <f>INT(B5119)</f>
        <v/>
      </c>
      <c r="G5119" s="6">
        <f>INT(C5119)</f>
        <v/>
      </c>
    </row>
    <row r="5120">
      <c r="A5120" s="7" t="inlineStr">
        <is>
          <t>EXD407</t>
        </is>
      </c>
      <c r="B5120" s="8" t="n">
        <v>46108.75</v>
      </c>
      <c r="C5120" s="8" t="n">
        <v>46109.25</v>
      </c>
      <c r="D5120" s="9">
        <f>(C5120-B5120)*24</f>
        <v/>
      </c>
      <c r="E5120" s="10">
        <f>IF(AND(HOUR(B5120)&gt;=6,HOUR(B5120)&lt;18),"Day Shift","Night Shift")</f>
        <v/>
      </c>
      <c r="F5120" s="11">
        <f>INT(B5120)</f>
        <v/>
      </c>
      <c r="G5120" s="11">
        <f>INT(C5120)</f>
        <v/>
      </c>
    </row>
    <row r="5121">
      <c r="A5121" s="2" t="inlineStr">
        <is>
          <t>EXD407</t>
        </is>
      </c>
      <c r="B5121" s="3" t="n">
        <v>46109.25</v>
      </c>
      <c r="C5121" s="3" t="n">
        <v>46109.36171296296</v>
      </c>
      <c r="D5121" s="4">
        <f>(C5121-B5121)*24</f>
        <v/>
      </c>
      <c r="E5121" s="5">
        <f>IF(AND(HOUR(B5121)&gt;=6,HOUR(B5121)&lt;18),"Day Shift","Night Shift")</f>
        <v/>
      </c>
      <c r="F5121" s="6">
        <f>INT(B5121)</f>
        <v/>
      </c>
      <c r="G5121" s="6">
        <f>INT(C5121)</f>
        <v/>
      </c>
    </row>
    <row r="5122">
      <c r="A5122" s="7" t="inlineStr">
        <is>
          <t>EXD409</t>
        </is>
      </c>
      <c r="B5122" s="8" t="n">
        <v>46107.875</v>
      </c>
      <c r="C5122" s="8" t="n">
        <v>46108.25</v>
      </c>
      <c r="D5122" s="9">
        <f>(C5122-B5122)*24</f>
        <v/>
      </c>
      <c r="E5122" s="10">
        <f>IF(AND(HOUR(B5122)&gt;=6,HOUR(B5122)&lt;18),"Day Shift","Night Shift")</f>
        <v/>
      </c>
      <c r="F5122" s="11">
        <f>INT(B5122)</f>
        <v/>
      </c>
      <c r="G5122" s="11">
        <f>INT(C5122)</f>
        <v/>
      </c>
    </row>
    <row r="5123">
      <c r="A5123" s="2" t="inlineStr">
        <is>
          <t>EXD409</t>
        </is>
      </c>
      <c r="B5123" s="3" t="n">
        <v>46108.25</v>
      </c>
      <c r="C5123" s="3" t="n">
        <v>46108.75</v>
      </c>
      <c r="D5123" s="4">
        <f>(C5123-B5123)*24</f>
        <v/>
      </c>
      <c r="E5123" s="5">
        <f>IF(AND(HOUR(B5123)&gt;=6,HOUR(B5123)&lt;18),"Day Shift","Night Shift")</f>
        <v/>
      </c>
      <c r="F5123" s="6">
        <f>INT(B5123)</f>
        <v/>
      </c>
      <c r="G5123" s="6">
        <f>INT(C5123)</f>
        <v/>
      </c>
    </row>
    <row r="5124">
      <c r="A5124" s="7" t="inlineStr">
        <is>
          <t>EXD409</t>
        </is>
      </c>
      <c r="B5124" s="8" t="n">
        <v>46108.75</v>
      </c>
      <c r="C5124" s="8" t="n">
        <v>46109.25</v>
      </c>
      <c r="D5124" s="9">
        <f>(C5124-B5124)*24</f>
        <v/>
      </c>
      <c r="E5124" s="10">
        <f>IF(AND(HOUR(B5124)&gt;=6,HOUR(B5124)&lt;18),"Day Shift","Night Shift")</f>
        <v/>
      </c>
      <c r="F5124" s="11">
        <f>INT(B5124)</f>
        <v/>
      </c>
      <c r="G5124" s="11">
        <f>INT(C5124)</f>
        <v/>
      </c>
    </row>
    <row r="5125">
      <c r="A5125" s="2" t="inlineStr">
        <is>
          <t>EXD409</t>
        </is>
      </c>
      <c r="B5125" s="3" t="n">
        <v>46109.25</v>
      </c>
      <c r="C5125" s="3" t="n">
        <v>46109.75</v>
      </c>
      <c r="D5125" s="4">
        <f>(C5125-B5125)*24</f>
        <v/>
      </c>
      <c r="E5125" s="5">
        <f>IF(AND(HOUR(B5125)&gt;=6,HOUR(B5125)&lt;18),"Day Shift","Night Shift")</f>
        <v/>
      </c>
      <c r="F5125" s="6">
        <f>INT(B5125)</f>
        <v/>
      </c>
      <c r="G5125" s="6">
        <f>INT(C5125)</f>
        <v/>
      </c>
    </row>
    <row r="5126">
      <c r="A5126" s="7" t="inlineStr">
        <is>
          <t>EXD409</t>
        </is>
      </c>
      <c r="B5126" s="8" t="n">
        <v>46109.75</v>
      </c>
      <c r="C5126" s="8" t="n">
        <v>46109.83957175926</v>
      </c>
      <c r="D5126" s="9">
        <f>(C5126-B5126)*24</f>
        <v/>
      </c>
      <c r="E5126" s="10">
        <f>IF(AND(HOUR(B5126)&gt;=6,HOUR(B5126)&lt;18),"Day Shift","Night Shift")</f>
        <v/>
      </c>
      <c r="F5126" s="11">
        <f>INT(B5126)</f>
        <v/>
      </c>
      <c r="G5126" s="11">
        <f>INT(C5126)</f>
        <v/>
      </c>
    </row>
    <row r="5127">
      <c r="A5127" s="7" t="inlineStr">
        <is>
          <t>EXD98</t>
        </is>
      </c>
      <c r="B5127" s="8" t="n">
        <v>46107.87538194445</v>
      </c>
      <c r="C5127" s="8" t="n">
        <v>46108.25</v>
      </c>
      <c r="D5127" s="9">
        <f>(C5127-B5127)*24</f>
        <v/>
      </c>
      <c r="E5127" s="10">
        <f>IF(AND(HOUR(B5127)&gt;=6,HOUR(B5127)&lt;18),"Day Shift","Night Shift")</f>
        <v/>
      </c>
      <c r="F5127" s="11">
        <f>INT(B5127)</f>
        <v/>
      </c>
      <c r="G5127" s="11">
        <f>INT(C5127)</f>
        <v/>
      </c>
    </row>
    <row r="5128">
      <c r="A5128" s="2" t="inlineStr">
        <is>
          <t>EXD98</t>
        </is>
      </c>
      <c r="B5128" s="3" t="n">
        <v>46108.25</v>
      </c>
      <c r="C5128" s="3" t="n">
        <v>46108.75</v>
      </c>
      <c r="D5128" s="4">
        <f>(C5128-B5128)*24</f>
        <v/>
      </c>
      <c r="E5128" s="5">
        <f>IF(AND(HOUR(B5128)&gt;=6,HOUR(B5128)&lt;18),"Day Shift","Night Shift")</f>
        <v/>
      </c>
      <c r="F5128" s="6">
        <f>INT(B5128)</f>
        <v/>
      </c>
      <c r="G5128" s="6">
        <f>INT(C5128)</f>
        <v/>
      </c>
    </row>
    <row r="5129">
      <c r="A5129" s="7" t="inlineStr">
        <is>
          <t>EXD98</t>
        </is>
      </c>
      <c r="B5129" s="8" t="n">
        <v>46108.75</v>
      </c>
      <c r="C5129" s="8" t="n">
        <v>46108.80237268518</v>
      </c>
      <c r="D5129" s="9">
        <f>(C5129-B5129)*24</f>
        <v/>
      </c>
      <c r="E5129" s="10">
        <f>IF(AND(HOUR(B5129)&gt;=6,HOUR(B5129)&lt;18),"Day Shift","Night Shift")</f>
        <v/>
      </c>
      <c r="F5129" s="11">
        <f>INT(B5129)</f>
        <v/>
      </c>
      <c r="G5129" s="11">
        <f>INT(C5129)</f>
        <v/>
      </c>
    </row>
    <row r="5130">
      <c r="A5130" s="7" t="inlineStr">
        <is>
          <t>EXD100</t>
        </is>
      </c>
      <c r="B5130" s="8" t="n">
        <v>46107.93344907407</v>
      </c>
      <c r="C5130" s="8" t="n">
        <v>46108.25</v>
      </c>
      <c r="D5130" s="9">
        <f>(C5130-B5130)*24</f>
        <v/>
      </c>
      <c r="E5130" s="10">
        <f>IF(AND(HOUR(B5130)&gt;=6,HOUR(B5130)&lt;18),"Day Shift","Night Shift")</f>
        <v/>
      </c>
      <c r="F5130" s="11">
        <f>INT(B5130)</f>
        <v/>
      </c>
      <c r="G5130" s="11">
        <f>INT(C5130)</f>
        <v/>
      </c>
    </row>
    <row r="5131">
      <c r="A5131" s="2" t="inlineStr">
        <is>
          <t>EXD100</t>
        </is>
      </c>
      <c r="B5131" s="3" t="n">
        <v>46108.25</v>
      </c>
      <c r="C5131" s="3" t="n">
        <v>46108.49950231481</v>
      </c>
      <c r="D5131" s="4">
        <f>(C5131-B5131)*24</f>
        <v/>
      </c>
      <c r="E5131" s="5">
        <f>IF(AND(HOUR(B5131)&gt;=6,HOUR(B5131)&lt;18),"Day Shift","Night Shift")</f>
        <v/>
      </c>
      <c r="F5131" s="6">
        <f>INT(B5131)</f>
        <v/>
      </c>
      <c r="G5131" s="6">
        <f>INT(C5131)</f>
        <v/>
      </c>
    </row>
    <row r="5132">
      <c r="A5132" s="7" t="inlineStr">
        <is>
          <t>EXD73</t>
        </is>
      </c>
      <c r="B5132" s="8" t="n">
        <v>46107.93828703704</v>
      </c>
      <c r="C5132" s="8" t="n">
        <v>46108.25</v>
      </c>
      <c r="D5132" s="9">
        <f>(C5132-B5132)*24</f>
        <v/>
      </c>
      <c r="E5132" s="10">
        <f>IF(AND(HOUR(B5132)&gt;=6,HOUR(B5132)&lt;18),"Day Shift","Night Shift")</f>
        <v/>
      </c>
      <c r="F5132" s="11">
        <f>INT(B5132)</f>
        <v/>
      </c>
      <c r="G5132" s="11">
        <f>INT(C5132)</f>
        <v/>
      </c>
    </row>
    <row r="5133">
      <c r="A5133" s="2" t="inlineStr">
        <is>
          <t>EXD73</t>
        </is>
      </c>
      <c r="B5133" s="3" t="n">
        <v>46108.25</v>
      </c>
      <c r="C5133" s="3" t="n">
        <v>46108.28424768519</v>
      </c>
      <c r="D5133" s="4">
        <f>(C5133-B5133)*24</f>
        <v/>
      </c>
      <c r="E5133" s="5">
        <f>IF(AND(HOUR(B5133)&gt;=6,HOUR(B5133)&lt;18),"Day Shift","Night Shift")</f>
        <v/>
      </c>
      <c r="F5133" s="6">
        <f>INT(B5133)</f>
        <v/>
      </c>
      <c r="G5133" s="6">
        <f>INT(C5133)</f>
        <v/>
      </c>
    </row>
    <row r="5134">
      <c r="A5134" s="7" t="inlineStr">
        <is>
          <t>EXD101</t>
        </is>
      </c>
      <c r="B5134" s="8" t="n">
        <v>46108.00774305555</v>
      </c>
      <c r="C5134" s="8" t="n">
        <v>46108.25</v>
      </c>
      <c r="D5134" s="9">
        <f>(C5134-B5134)*24</f>
        <v/>
      </c>
      <c r="E5134" s="10">
        <f>IF(AND(HOUR(B5134)&gt;=6,HOUR(B5134)&lt;18),"Day Shift","Night Shift")</f>
        <v/>
      </c>
      <c r="F5134" s="11">
        <f>INT(B5134)</f>
        <v/>
      </c>
      <c r="G5134" s="11">
        <f>INT(C5134)</f>
        <v/>
      </c>
    </row>
    <row r="5135">
      <c r="A5135" s="2" t="inlineStr">
        <is>
          <t>EXD101</t>
        </is>
      </c>
      <c r="B5135" s="3" t="n">
        <v>46108.25</v>
      </c>
      <c r="C5135" s="3" t="n">
        <v>46108.75</v>
      </c>
      <c r="D5135" s="4">
        <f>(C5135-B5135)*24</f>
        <v/>
      </c>
      <c r="E5135" s="5">
        <f>IF(AND(HOUR(B5135)&gt;=6,HOUR(B5135)&lt;18),"Day Shift","Night Shift")</f>
        <v/>
      </c>
      <c r="F5135" s="6">
        <f>INT(B5135)</f>
        <v/>
      </c>
      <c r="G5135" s="6">
        <f>INT(C5135)</f>
        <v/>
      </c>
    </row>
    <row r="5136">
      <c r="A5136" s="7" t="inlineStr">
        <is>
          <t>EXD101</t>
        </is>
      </c>
      <c r="B5136" s="8" t="n">
        <v>46108.75</v>
      </c>
      <c r="C5136" s="8" t="n">
        <v>46108.9503587963</v>
      </c>
      <c r="D5136" s="9">
        <f>(C5136-B5136)*24</f>
        <v/>
      </c>
      <c r="E5136" s="10">
        <f>IF(AND(HOUR(B5136)&gt;=6,HOUR(B5136)&lt;18),"Day Shift","Night Shift")</f>
        <v/>
      </c>
      <c r="F5136" s="11">
        <f>INT(B5136)</f>
        <v/>
      </c>
      <c r="G5136" s="11">
        <f>INT(C5136)</f>
        <v/>
      </c>
    </row>
    <row r="5137">
      <c r="A5137" s="7" t="inlineStr">
        <is>
          <t>SHE36</t>
        </is>
      </c>
      <c r="B5137" s="8" t="n">
        <v>46108.03024305555</v>
      </c>
      <c r="C5137" s="8" t="n">
        <v>46108.25</v>
      </c>
      <c r="D5137" s="9">
        <f>(C5137-B5137)*24</f>
        <v/>
      </c>
      <c r="E5137" s="10">
        <f>IF(AND(HOUR(B5137)&gt;=6,HOUR(B5137)&lt;18),"Day Shift","Night Shift")</f>
        <v/>
      </c>
      <c r="F5137" s="11">
        <f>INT(B5137)</f>
        <v/>
      </c>
      <c r="G5137" s="11">
        <f>INT(C5137)</f>
        <v/>
      </c>
    </row>
    <row r="5138">
      <c r="A5138" s="2" t="inlineStr">
        <is>
          <t>SHE36</t>
        </is>
      </c>
      <c r="B5138" s="3" t="n">
        <v>46108.25</v>
      </c>
      <c r="C5138" s="3" t="n">
        <v>46108.71203703704</v>
      </c>
      <c r="D5138" s="4">
        <f>(C5138-B5138)*24</f>
        <v/>
      </c>
      <c r="E5138" s="5">
        <f>IF(AND(HOUR(B5138)&gt;=6,HOUR(B5138)&lt;18),"Day Shift","Night Shift")</f>
        <v/>
      </c>
      <c r="F5138" s="6">
        <f>INT(B5138)</f>
        <v/>
      </c>
      <c r="G5138" s="6">
        <f>INT(C5138)</f>
        <v/>
      </c>
    </row>
    <row r="5139">
      <c r="A5139" s="7" t="inlineStr">
        <is>
          <t>EXD52;LDW262</t>
        </is>
      </c>
      <c r="B5139" s="8" t="n">
        <v>46108.22857638889</v>
      </c>
      <c r="C5139" s="8" t="n">
        <v>46108.25</v>
      </c>
      <c r="D5139" s="9">
        <f>(C5139-B5139)*24</f>
        <v/>
      </c>
      <c r="E5139" s="10">
        <f>IF(AND(HOUR(B5139)&gt;=6,HOUR(B5139)&lt;18),"Day Shift","Night Shift")</f>
        <v/>
      </c>
      <c r="F5139" s="11">
        <f>INT(B5139)</f>
        <v/>
      </c>
      <c r="G5139" s="11">
        <f>INT(C5139)</f>
        <v/>
      </c>
    </row>
    <row r="5140">
      <c r="A5140" s="2" t="inlineStr">
        <is>
          <t>EXD52;LDW262</t>
        </is>
      </c>
      <c r="B5140" s="3" t="n">
        <v>46108.25</v>
      </c>
      <c r="C5140" s="3" t="n">
        <v>46108.75</v>
      </c>
      <c r="D5140" s="4">
        <f>(C5140-B5140)*24</f>
        <v/>
      </c>
      <c r="E5140" s="5">
        <f>IF(AND(HOUR(B5140)&gt;=6,HOUR(B5140)&lt;18),"Day Shift","Night Shift")</f>
        <v/>
      </c>
      <c r="F5140" s="6">
        <f>INT(B5140)</f>
        <v/>
      </c>
      <c r="G5140" s="6">
        <f>INT(C5140)</f>
        <v/>
      </c>
    </row>
    <row r="5141">
      <c r="A5141" s="7" t="inlineStr">
        <is>
          <t>EXD52;LDW262</t>
        </is>
      </c>
      <c r="B5141" s="8" t="n">
        <v>46108.75</v>
      </c>
      <c r="C5141" s="8" t="n">
        <v>46108.80679398148</v>
      </c>
      <c r="D5141" s="9">
        <f>(C5141-B5141)*24</f>
        <v/>
      </c>
      <c r="E5141" s="10">
        <f>IF(AND(HOUR(B5141)&gt;=6,HOUR(B5141)&lt;18),"Day Shift","Night Shift")</f>
        <v/>
      </c>
      <c r="F5141" s="11">
        <f>INT(B5141)</f>
        <v/>
      </c>
      <c r="G5141" s="11">
        <f>INT(C5141)</f>
        <v/>
      </c>
    </row>
    <row r="5142">
      <c r="A5142" s="7" t="inlineStr">
        <is>
          <t>DRE12</t>
        </is>
      </c>
      <c r="B5142" s="8" t="n">
        <v>46108.23535879629</v>
      </c>
      <c r="C5142" s="8" t="n">
        <v>46108.25</v>
      </c>
      <c r="D5142" s="9">
        <f>(C5142-B5142)*24</f>
        <v/>
      </c>
      <c r="E5142" s="10">
        <f>IF(AND(HOUR(B5142)&gt;=6,HOUR(B5142)&lt;18),"Day Shift","Night Shift")</f>
        <v/>
      </c>
      <c r="F5142" s="11">
        <f>INT(B5142)</f>
        <v/>
      </c>
      <c r="G5142" s="11">
        <f>INT(C5142)</f>
        <v/>
      </c>
    </row>
    <row r="5143">
      <c r="A5143" s="2" t="inlineStr">
        <is>
          <t>DRE12</t>
        </is>
      </c>
      <c r="B5143" s="3" t="n">
        <v>46108.25</v>
      </c>
      <c r="C5143" s="3" t="n">
        <v>46108.75</v>
      </c>
      <c r="D5143" s="4">
        <f>(C5143-B5143)*24</f>
        <v/>
      </c>
      <c r="E5143" s="5">
        <f>IF(AND(HOUR(B5143)&gt;=6,HOUR(B5143)&lt;18),"Day Shift","Night Shift")</f>
        <v/>
      </c>
      <c r="F5143" s="6">
        <f>INT(B5143)</f>
        <v/>
      </c>
      <c r="G5143" s="6">
        <f>INT(C5143)</f>
        <v/>
      </c>
    </row>
    <row r="5144">
      <c r="A5144" s="7" t="inlineStr">
        <is>
          <t>DRE12</t>
        </is>
      </c>
      <c r="B5144" s="8" t="n">
        <v>46108.75</v>
      </c>
      <c r="C5144" s="8" t="n">
        <v>46109.25</v>
      </c>
      <c r="D5144" s="9">
        <f>(C5144-B5144)*24</f>
        <v/>
      </c>
      <c r="E5144" s="10">
        <f>IF(AND(HOUR(B5144)&gt;=6,HOUR(B5144)&lt;18),"Day Shift","Night Shift")</f>
        <v/>
      </c>
      <c r="F5144" s="11">
        <f>INT(B5144)</f>
        <v/>
      </c>
      <c r="G5144" s="11">
        <f>INT(C5144)</f>
        <v/>
      </c>
    </row>
    <row r="5145">
      <c r="A5145" s="2" t="inlineStr">
        <is>
          <t>DRE12</t>
        </is>
      </c>
      <c r="B5145" s="3" t="n">
        <v>46109.25</v>
      </c>
      <c r="C5145" s="3" t="n">
        <v>46109.75</v>
      </c>
      <c r="D5145" s="4">
        <f>(C5145-B5145)*24</f>
        <v/>
      </c>
      <c r="E5145" s="5">
        <f>IF(AND(HOUR(B5145)&gt;=6,HOUR(B5145)&lt;18),"Day Shift","Night Shift")</f>
        <v/>
      </c>
      <c r="F5145" s="6">
        <f>INT(B5145)</f>
        <v/>
      </c>
      <c r="G5145" s="6">
        <f>INT(C5145)</f>
        <v/>
      </c>
    </row>
    <row r="5146">
      <c r="A5146" s="7" t="inlineStr">
        <is>
          <t>DRE12</t>
        </is>
      </c>
      <c r="B5146" s="8" t="n">
        <v>46109.75</v>
      </c>
      <c r="C5146" s="8" t="n">
        <v>46110.22248842593</v>
      </c>
      <c r="D5146" s="9">
        <f>(C5146-B5146)*24</f>
        <v/>
      </c>
      <c r="E5146" s="10">
        <f>IF(AND(HOUR(B5146)&gt;=6,HOUR(B5146)&lt;18),"Day Shift","Night Shift")</f>
        <v/>
      </c>
      <c r="F5146" s="11">
        <f>INT(B5146)</f>
        <v/>
      </c>
      <c r="G5146" s="11">
        <f>INT(C5146)</f>
        <v/>
      </c>
    </row>
    <row r="5147">
      <c r="A5147" s="2" t="inlineStr">
        <is>
          <t>LDW265</t>
        </is>
      </c>
      <c r="B5147" s="3" t="n">
        <v>46108.25</v>
      </c>
      <c r="C5147" s="3" t="n">
        <v>46108.75</v>
      </c>
      <c r="D5147" s="4">
        <f>(C5147-B5147)*24</f>
        <v/>
      </c>
      <c r="E5147" s="5">
        <f>IF(AND(HOUR(B5147)&gt;=6,HOUR(B5147)&lt;18),"Day Shift","Night Shift")</f>
        <v/>
      </c>
      <c r="F5147" s="6">
        <f>INT(B5147)</f>
        <v/>
      </c>
      <c r="G5147" s="6">
        <f>INT(C5147)</f>
        <v/>
      </c>
    </row>
    <row r="5148">
      <c r="A5148" s="7" t="inlineStr">
        <is>
          <t>LDW265</t>
        </is>
      </c>
      <c r="B5148" s="8" t="n">
        <v>46108.75</v>
      </c>
      <c r="C5148" s="8" t="n">
        <v>46109.02841435185</v>
      </c>
      <c r="D5148" s="9">
        <f>(C5148-B5148)*24</f>
        <v/>
      </c>
      <c r="E5148" s="10">
        <f>IF(AND(HOUR(B5148)&gt;=6,HOUR(B5148)&lt;18),"Day Shift","Night Shift")</f>
        <v/>
      </c>
      <c r="F5148" s="11">
        <f>INT(B5148)</f>
        <v/>
      </c>
      <c r="G5148" s="11">
        <f>INT(C5148)</f>
        <v/>
      </c>
    </row>
    <row r="5149">
      <c r="A5149" s="2" t="inlineStr">
        <is>
          <t>EXD73</t>
        </is>
      </c>
      <c r="B5149" s="3" t="n">
        <v>46108.28424768519</v>
      </c>
      <c r="C5149" s="3" t="n">
        <v>46108.75</v>
      </c>
      <c r="D5149" s="4">
        <f>(C5149-B5149)*24</f>
        <v/>
      </c>
      <c r="E5149" s="5">
        <f>IF(AND(HOUR(B5149)&gt;=6,HOUR(B5149)&lt;18),"Day Shift","Night Shift")</f>
        <v/>
      </c>
      <c r="F5149" s="6">
        <f>INT(B5149)</f>
        <v/>
      </c>
      <c r="G5149" s="6">
        <f>INT(C5149)</f>
        <v/>
      </c>
    </row>
    <row r="5150">
      <c r="A5150" s="7" t="inlineStr">
        <is>
          <t>EXD73</t>
        </is>
      </c>
      <c r="B5150" s="8" t="n">
        <v>46108.75</v>
      </c>
      <c r="C5150" s="8" t="n">
        <v>46108.90481481481</v>
      </c>
      <c r="D5150" s="9">
        <f>(C5150-B5150)*24</f>
        <v/>
      </c>
      <c r="E5150" s="10">
        <f>IF(AND(HOUR(B5150)&gt;=6,HOUR(B5150)&lt;18),"Day Shift","Night Shift")</f>
        <v/>
      </c>
      <c r="F5150" s="11">
        <f>INT(B5150)</f>
        <v/>
      </c>
      <c r="G5150" s="11">
        <f>INT(C5150)</f>
        <v/>
      </c>
    </row>
    <row r="5151">
      <c r="A5151" s="2" t="inlineStr">
        <is>
          <t>EXD408</t>
        </is>
      </c>
      <c r="B5151" s="3" t="n">
        <v>46108.33063657407</v>
      </c>
      <c r="C5151" s="3" t="n">
        <v>46108.75</v>
      </c>
      <c r="D5151" s="4">
        <f>(C5151-B5151)*24</f>
        <v/>
      </c>
      <c r="E5151" s="5">
        <f>IF(AND(HOUR(B5151)&gt;=6,HOUR(B5151)&lt;18),"Day Shift","Night Shift")</f>
        <v/>
      </c>
      <c r="F5151" s="6">
        <f>INT(B5151)</f>
        <v/>
      </c>
      <c r="G5151" s="6">
        <f>INT(C5151)</f>
        <v/>
      </c>
    </row>
    <row r="5152">
      <c r="A5152" s="7" t="inlineStr">
        <is>
          <t>EXD408</t>
        </is>
      </c>
      <c r="B5152" s="8" t="n">
        <v>46108.75</v>
      </c>
      <c r="C5152" s="8" t="n">
        <v>46109.25</v>
      </c>
      <c r="D5152" s="9">
        <f>(C5152-B5152)*24</f>
        <v/>
      </c>
      <c r="E5152" s="10">
        <f>IF(AND(HOUR(B5152)&gt;=6,HOUR(B5152)&lt;18),"Day Shift","Night Shift")</f>
        <v/>
      </c>
      <c r="F5152" s="11">
        <f>INT(B5152)</f>
        <v/>
      </c>
      <c r="G5152" s="11">
        <f>INT(C5152)</f>
        <v/>
      </c>
    </row>
    <row r="5153">
      <c r="A5153" s="2" t="inlineStr">
        <is>
          <t>EXD408</t>
        </is>
      </c>
      <c r="B5153" s="3" t="n">
        <v>46109.25</v>
      </c>
      <c r="C5153" s="3" t="n">
        <v>46109.32709490741</v>
      </c>
      <c r="D5153" s="4">
        <f>(C5153-B5153)*24</f>
        <v/>
      </c>
      <c r="E5153" s="5">
        <f>IF(AND(HOUR(B5153)&gt;=6,HOUR(B5153)&lt;18),"Day Shift","Night Shift")</f>
        <v/>
      </c>
      <c r="F5153" s="6">
        <f>INT(B5153)</f>
        <v/>
      </c>
      <c r="G5153" s="6">
        <f>INT(C5153)</f>
        <v/>
      </c>
    </row>
    <row r="5154">
      <c r="A5154" s="2" t="inlineStr">
        <is>
          <t>Sprint 1</t>
        </is>
      </c>
      <c r="B5154" s="3" t="n">
        <v>46108.33361111111</v>
      </c>
      <c r="C5154" s="3" t="n">
        <v>46108.75</v>
      </c>
      <c r="D5154" s="4">
        <f>(C5154-B5154)*24</f>
        <v/>
      </c>
      <c r="E5154" s="5">
        <f>IF(AND(HOUR(B5154)&gt;=6,HOUR(B5154)&lt;18),"Day Shift","Night Shift")</f>
        <v/>
      </c>
      <c r="F5154" s="6">
        <f>INT(B5154)</f>
        <v/>
      </c>
      <c r="G5154" s="6">
        <f>INT(C5154)</f>
        <v/>
      </c>
    </row>
    <row r="5155">
      <c r="A5155" s="7" t="inlineStr">
        <is>
          <t>Sprint 1</t>
        </is>
      </c>
      <c r="B5155" s="8" t="n">
        <v>46108.75</v>
      </c>
      <c r="C5155" s="8" t="n">
        <v>46109.09609953704</v>
      </c>
      <c r="D5155" s="9">
        <f>(C5155-B5155)*24</f>
        <v/>
      </c>
      <c r="E5155" s="10">
        <f>IF(AND(HOUR(B5155)&gt;=6,HOUR(B5155)&lt;18),"Day Shift","Night Shift")</f>
        <v/>
      </c>
      <c r="F5155" s="11">
        <f>INT(B5155)</f>
        <v/>
      </c>
      <c r="G5155" s="11">
        <f>INT(C5155)</f>
        <v/>
      </c>
    </row>
    <row r="5156">
      <c r="A5156" s="2" t="inlineStr">
        <is>
          <t>EXD100</t>
        </is>
      </c>
      <c r="B5156" s="3" t="n">
        <v>46108.49950231481</v>
      </c>
      <c r="C5156" s="3" t="n">
        <v>46108.75</v>
      </c>
      <c r="D5156" s="4">
        <f>(C5156-B5156)*24</f>
        <v/>
      </c>
      <c r="E5156" s="5">
        <f>IF(AND(HOUR(B5156)&gt;=6,HOUR(B5156)&lt;18),"Day Shift","Night Shift")</f>
        <v/>
      </c>
      <c r="F5156" s="6">
        <f>INT(B5156)</f>
        <v/>
      </c>
      <c r="G5156" s="6">
        <f>INT(C5156)</f>
        <v/>
      </c>
    </row>
    <row r="5157">
      <c r="A5157" s="7" t="inlineStr">
        <is>
          <t>EXD100</t>
        </is>
      </c>
      <c r="B5157" s="8" t="n">
        <v>46108.75</v>
      </c>
      <c r="C5157" s="8" t="n">
        <v>46109.09262731481</v>
      </c>
      <c r="D5157" s="9">
        <f>(C5157-B5157)*24</f>
        <v/>
      </c>
      <c r="E5157" s="10">
        <f>IF(AND(HOUR(B5157)&gt;=6,HOUR(B5157)&lt;18),"Day Shift","Night Shift")</f>
        <v/>
      </c>
      <c r="F5157" s="11">
        <f>INT(B5157)</f>
        <v/>
      </c>
      <c r="G5157" s="11">
        <f>INT(C5157)</f>
        <v/>
      </c>
    </row>
    <row r="5158">
      <c r="A5158" s="2" t="inlineStr">
        <is>
          <t>SHE36</t>
        </is>
      </c>
      <c r="B5158" s="3" t="n">
        <v>46108.71203703704</v>
      </c>
      <c r="C5158" s="3" t="n">
        <v>46108.75</v>
      </c>
      <c r="D5158" s="4">
        <f>(C5158-B5158)*24</f>
        <v/>
      </c>
      <c r="E5158" s="5">
        <f>IF(AND(HOUR(B5158)&gt;=6,HOUR(B5158)&lt;18),"Day Shift","Night Shift")</f>
        <v/>
      </c>
      <c r="F5158" s="6">
        <f>INT(B5158)</f>
        <v/>
      </c>
      <c r="G5158" s="6">
        <f>INT(C5158)</f>
        <v/>
      </c>
    </row>
    <row r="5159">
      <c r="A5159" s="7" t="inlineStr">
        <is>
          <t>SHE36</t>
        </is>
      </c>
      <c r="B5159" s="8" t="n">
        <v>46108.75</v>
      </c>
      <c r="C5159" s="8" t="n">
        <v>46109.25</v>
      </c>
      <c r="D5159" s="9">
        <f>(C5159-B5159)*24</f>
        <v/>
      </c>
      <c r="E5159" s="10">
        <f>IF(AND(HOUR(B5159)&gt;=6,HOUR(B5159)&lt;18),"Day Shift","Night Shift")</f>
        <v/>
      </c>
      <c r="F5159" s="11">
        <f>INT(B5159)</f>
        <v/>
      </c>
      <c r="G5159" s="11">
        <f>INT(C5159)</f>
        <v/>
      </c>
    </row>
    <row r="5160">
      <c r="A5160" s="2" t="inlineStr">
        <is>
          <t>SHE36</t>
        </is>
      </c>
      <c r="B5160" s="3" t="n">
        <v>46109.25</v>
      </c>
      <c r="C5160" s="3" t="n">
        <v>46109.70133101852</v>
      </c>
      <c r="D5160" s="4">
        <f>(C5160-B5160)*24</f>
        <v/>
      </c>
      <c r="E5160" s="5">
        <f>IF(AND(HOUR(B5160)&gt;=6,HOUR(B5160)&lt;18),"Day Shift","Night Shift")</f>
        <v/>
      </c>
      <c r="F5160" s="6">
        <f>INT(B5160)</f>
        <v/>
      </c>
      <c r="G5160" s="6">
        <f>INT(C5160)</f>
        <v/>
      </c>
    </row>
    <row r="5161">
      <c r="A5161" s="7" t="inlineStr">
        <is>
          <t>EXD98</t>
        </is>
      </c>
      <c r="B5161" s="8" t="n">
        <v>46108.80237268518</v>
      </c>
      <c r="C5161" s="8" t="n">
        <v>46109.25</v>
      </c>
      <c r="D5161" s="9">
        <f>(C5161-B5161)*24</f>
        <v/>
      </c>
      <c r="E5161" s="10">
        <f>IF(AND(HOUR(B5161)&gt;=6,HOUR(B5161)&lt;18),"Day Shift","Night Shift")</f>
        <v/>
      </c>
      <c r="F5161" s="11">
        <f>INT(B5161)</f>
        <v/>
      </c>
      <c r="G5161" s="11">
        <f>INT(C5161)</f>
        <v/>
      </c>
    </row>
    <row r="5162">
      <c r="A5162" s="2" t="inlineStr">
        <is>
          <t>EXD98</t>
        </is>
      </c>
      <c r="B5162" s="3" t="n">
        <v>46109.25</v>
      </c>
      <c r="C5162" s="3" t="n">
        <v>46109.74094907408</v>
      </c>
      <c r="D5162" s="4">
        <f>(C5162-B5162)*24</f>
        <v/>
      </c>
      <c r="E5162" s="5">
        <f>IF(AND(HOUR(B5162)&gt;=6,HOUR(B5162)&lt;18),"Day Shift","Night Shift")</f>
        <v/>
      </c>
      <c r="F5162" s="6">
        <f>INT(B5162)</f>
        <v/>
      </c>
      <c r="G5162" s="6">
        <f>INT(C5162)</f>
        <v/>
      </c>
    </row>
    <row r="5163">
      <c r="A5163" s="7" t="inlineStr">
        <is>
          <t>EXD52;LDW262</t>
        </is>
      </c>
      <c r="B5163" s="8" t="n">
        <v>46108.80679398148</v>
      </c>
      <c r="C5163" s="8" t="n">
        <v>46109.25</v>
      </c>
      <c r="D5163" s="9">
        <f>(C5163-B5163)*24</f>
        <v/>
      </c>
      <c r="E5163" s="10">
        <f>IF(AND(HOUR(B5163)&gt;=6,HOUR(B5163)&lt;18),"Day Shift","Night Shift")</f>
        <v/>
      </c>
      <c r="F5163" s="11">
        <f>INT(B5163)</f>
        <v/>
      </c>
      <c r="G5163" s="11">
        <f>INT(C5163)</f>
        <v/>
      </c>
    </row>
    <row r="5164">
      <c r="A5164" s="2" t="inlineStr">
        <is>
          <t>EXD52;LDW262</t>
        </is>
      </c>
      <c r="B5164" s="3" t="n">
        <v>46109.25</v>
      </c>
      <c r="C5164" s="3" t="n">
        <v>46109.29988425926</v>
      </c>
      <c r="D5164" s="4">
        <f>(C5164-B5164)*24</f>
        <v/>
      </c>
      <c r="E5164" s="5">
        <f>IF(AND(HOUR(B5164)&gt;=6,HOUR(B5164)&lt;18),"Day Shift","Night Shift")</f>
        <v/>
      </c>
      <c r="F5164" s="6">
        <f>INT(B5164)</f>
        <v/>
      </c>
      <c r="G5164" s="6">
        <f>INT(C5164)</f>
        <v/>
      </c>
    </row>
    <row r="5165">
      <c r="A5165" s="7" t="inlineStr">
        <is>
          <t>EXD73</t>
        </is>
      </c>
      <c r="B5165" s="8" t="n">
        <v>46108.90481481481</v>
      </c>
      <c r="C5165" s="8" t="n">
        <v>46109.25</v>
      </c>
      <c r="D5165" s="9">
        <f>(C5165-B5165)*24</f>
        <v/>
      </c>
      <c r="E5165" s="10">
        <f>IF(AND(HOUR(B5165)&gt;=6,HOUR(B5165)&lt;18),"Day Shift","Night Shift")</f>
        <v/>
      </c>
      <c r="F5165" s="11">
        <f>INT(B5165)</f>
        <v/>
      </c>
      <c r="G5165" s="11">
        <f>INT(C5165)</f>
        <v/>
      </c>
    </row>
    <row r="5166">
      <c r="A5166" s="2" t="inlineStr">
        <is>
          <t>EXD73</t>
        </is>
      </c>
      <c r="B5166" s="3" t="n">
        <v>46109.25</v>
      </c>
      <c r="C5166" s="3" t="n">
        <v>46109.36524305555</v>
      </c>
      <c r="D5166" s="4">
        <f>(C5166-B5166)*24</f>
        <v/>
      </c>
      <c r="E5166" s="5">
        <f>IF(AND(HOUR(B5166)&gt;=6,HOUR(B5166)&lt;18),"Day Shift","Night Shift")</f>
        <v/>
      </c>
      <c r="F5166" s="6">
        <f>INT(B5166)</f>
        <v/>
      </c>
      <c r="G5166" s="6">
        <f>INT(C5166)</f>
        <v/>
      </c>
    </row>
    <row r="5167">
      <c r="A5167" s="7" t="inlineStr">
        <is>
          <t>EXD101</t>
        </is>
      </c>
      <c r="B5167" s="8" t="n">
        <v>46108.9503587963</v>
      </c>
      <c r="C5167" s="8" t="n">
        <v>46109.21768518518</v>
      </c>
      <c r="D5167" s="9">
        <f>(C5167-B5167)*24</f>
        <v/>
      </c>
      <c r="E5167" s="10">
        <f>IF(AND(HOUR(B5167)&gt;=6,HOUR(B5167)&lt;18),"Day Shift","Night Shift")</f>
        <v/>
      </c>
      <c r="F5167" s="11">
        <f>INT(B5167)</f>
        <v/>
      </c>
      <c r="G5167" s="11">
        <f>INT(C5167)</f>
        <v/>
      </c>
    </row>
    <row r="5168">
      <c r="A5168" s="7" t="inlineStr">
        <is>
          <t>EXD60</t>
        </is>
      </c>
      <c r="B5168" s="8" t="n">
        <v>46109.00247685185</v>
      </c>
      <c r="C5168" s="8" t="n">
        <v>46109.25</v>
      </c>
      <c r="D5168" s="9">
        <f>(C5168-B5168)*24</f>
        <v/>
      </c>
      <c r="E5168" s="10">
        <f>IF(AND(HOUR(B5168)&gt;=6,HOUR(B5168)&lt;18),"Day Shift","Night Shift")</f>
        <v/>
      </c>
      <c r="F5168" s="11">
        <f>INT(B5168)</f>
        <v/>
      </c>
      <c r="G5168" s="11">
        <f>INT(C5168)</f>
        <v/>
      </c>
    </row>
    <row r="5169">
      <c r="A5169" s="2" t="inlineStr">
        <is>
          <t>EXD60</t>
        </is>
      </c>
      <c r="B5169" s="3" t="n">
        <v>46109.25</v>
      </c>
      <c r="C5169" s="3" t="n">
        <v>46109.75</v>
      </c>
      <c r="D5169" s="4">
        <f>(C5169-B5169)*24</f>
        <v/>
      </c>
      <c r="E5169" s="5">
        <f>IF(AND(HOUR(B5169)&gt;=6,HOUR(B5169)&lt;18),"Day Shift","Night Shift")</f>
        <v/>
      </c>
      <c r="F5169" s="6">
        <f>INT(B5169)</f>
        <v/>
      </c>
      <c r="G5169" s="6">
        <f>INT(C5169)</f>
        <v/>
      </c>
    </row>
    <row r="5170">
      <c r="A5170" s="7" t="inlineStr">
        <is>
          <t>EXD60</t>
        </is>
      </c>
      <c r="B5170" s="8" t="n">
        <v>46109.75</v>
      </c>
      <c r="C5170" s="8" t="n">
        <v>46110.25</v>
      </c>
      <c r="D5170" s="9">
        <f>(C5170-B5170)*24</f>
        <v/>
      </c>
      <c r="E5170" s="10">
        <f>IF(AND(HOUR(B5170)&gt;=6,HOUR(B5170)&lt;18),"Day Shift","Night Shift")</f>
        <v/>
      </c>
      <c r="F5170" s="11">
        <f>INT(B5170)</f>
        <v/>
      </c>
      <c r="G5170" s="11">
        <f>INT(C5170)</f>
        <v/>
      </c>
    </row>
    <row r="5171">
      <c r="A5171" s="2" t="inlineStr">
        <is>
          <t>EXD60</t>
        </is>
      </c>
      <c r="B5171" s="3" t="n">
        <v>46110.25</v>
      </c>
      <c r="C5171" s="3" t="n">
        <v>46110.68569444444</v>
      </c>
      <c r="D5171" s="4">
        <f>(C5171-B5171)*24</f>
        <v/>
      </c>
      <c r="E5171" s="5">
        <f>IF(AND(HOUR(B5171)&gt;=6,HOUR(B5171)&lt;18),"Day Shift","Night Shift")</f>
        <v/>
      </c>
      <c r="F5171" s="6">
        <f>INT(B5171)</f>
        <v/>
      </c>
      <c r="G5171" s="6">
        <f>INT(C5171)</f>
        <v/>
      </c>
    </row>
    <row r="5172">
      <c r="A5172" s="7" t="inlineStr">
        <is>
          <t>EXD55</t>
        </is>
      </c>
      <c r="B5172" s="8" t="n">
        <v>46109.01601851852</v>
      </c>
      <c r="C5172" s="8" t="n">
        <v>46109.25</v>
      </c>
      <c r="D5172" s="9">
        <f>(C5172-B5172)*24</f>
        <v/>
      </c>
      <c r="E5172" s="10">
        <f>IF(AND(HOUR(B5172)&gt;=6,HOUR(B5172)&lt;18),"Day Shift","Night Shift")</f>
        <v/>
      </c>
      <c r="F5172" s="11">
        <f>INT(B5172)</f>
        <v/>
      </c>
      <c r="G5172" s="11">
        <f>INT(C5172)</f>
        <v/>
      </c>
    </row>
    <row r="5173">
      <c r="A5173" s="2" t="inlineStr">
        <is>
          <t>EXD55</t>
        </is>
      </c>
      <c r="B5173" s="3" t="n">
        <v>46109.25</v>
      </c>
      <c r="C5173" s="3" t="n">
        <v>46109.75</v>
      </c>
      <c r="D5173" s="4">
        <f>(C5173-B5173)*24</f>
        <v/>
      </c>
      <c r="E5173" s="5">
        <f>IF(AND(HOUR(B5173)&gt;=6,HOUR(B5173)&lt;18),"Day Shift","Night Shift")</f>
        <v/>
      </c>
      <c r="F5173" s="6">
        <f>INT(B5173)</f>
        <v/>
      </c>
      <c r="G5173" s="6">
        <f>INT(C5173)</f>
        <v/>
      </c>
    </row>
    <row r="5174">
      <c r="A5174" s="7" t="inlineStr">
        <is>
          <t>EXD55</t>
        </is>
      </c>
      <c r="B5174" s="8" t="n">
        <v>46109.75</v>
      </c>
      <c r="C5174" s="8" t="n">
        <v>46110.25</v>
      </c>
      <c r="D5174" s="9">
        <f>(C5174-B5174)*24</f>
        <v/>
      </c>
      <c r="E5174" s="10">
        <f>IF(AND(HOUR(B5174)&gt;=6,HOUR(B5174)&lt;18),"Day Shift","Night Shift")</f>
        <v/>
      </c>
      <c r="F5174" s="11">
        <f>INT(B5174)</f>
        <v/>
      </c>
      <c r="G5174" s="11">
        <f>INT(C5174)</f>
        <v/>
      </c>
    </row>
    <row r="5175">
      <c r="A5175" s="2" t="inlineStr">
        <is>
          <t>EXD55</t>
        </is>
      </c>
      <c r="B5175" s="3" t="n">
        <v>46110.25</v>
      </c>
      <c r="C5175" s="3" t="n">
        <v>46110.75</v>
      </c>
      <c r="D5175" s="4">
        <f>(C5175-B5175)*24</f>
        <v/>
      </c>
      <c r="E5175" s="5">
        <f>IF(AND(HOUR(B5175)&gt;=6,HOUR(B5175)&lt;18),"Day Shift","Night Shift")</f>
        <v/>
      </c>
      <c r="F5175" s="6">
        <f>INT(B5175)</f>
        <v/>
      </c>
      <c r="G5175" s="6">
        <f>INT(C5175)</f>
        <v/>
      </c>
    </row>
    <row r="5176">
      <c r="A5176" s="7" t="inlineStr">
        <is>
          <t>EXD55</t>
        </is>
      </c>
      <c r="B5176" s="8" t="n">
        <v>46110.75</v>
      </c>
      <c r="C5176" s="8" t="n">
        <v>46111.25</v>
      </c>
      <c r="D5176" s="9">
        <f>(C5176-B5176)*24</f>
        <v/>
      </c>
      <c r="E5176" s="10">
        <f>IF(AND(HOUR(B5176)&gt;=6,HOUR(B5176)&lt;18),"Day Shift","Night Shift")</f>
        <v/>
      </c>
      <c r="F5176" s="11">
        <f>INT(B5176)</f>
        <v/>
      </c>
      <c r="G5176" s="11">
        <f>INT(C5176)</f>
        <v/>
      </c>
    </row>
    <row r="5177">
      <c r="A5177" s="2" t="inlineStr">
        <is>
          <t>EXD55</t>
        </is>
      </c>
      <c r="B5177" s="3" t="n">
        <v>46111.25</v>
      </c>
      <c r="C5177" s="3" t="n">
        <v>46111.75</v>
      </c>
      <c r="D5177" s="4">
        <f>(C5177-B5177)*24</f>
        <v/>
      </c>
      <c r="E5177" s="5">
        <f>IF(AND(HOUR(B5177)&gt;=6,HOUR(B5177)&lt;18),"Day Shift","Night Shift")</f>
        <v/>
      </c>
      <c r="F5177" s="6">
        <f>INT(B5177)</f>
        <v/>
      </c>
      <c r="G5177" s="6">
        <f>INT(C5177)</f>
        <v/>
      </c>
    </row>
    <row r="5178">
      <c r="A5178" s="7" t="inlineStr">
        <is>
          <t>EXD55</t>
        </is>
      </c>
      <c r="B5178" s="8" t="n">
        <v>46111.75</v>
      </c>
      <c r="C5178" s="8" t="n">
        <v>46111.93402777778</v>
      </c>
      <c r="D5178" s="9">
        <f>(C5178-B5178)*24</f>
        <v/>
      </c>
      <c r="E5178" s="10">
        <f>IF(AND(HOUR(B5178)&gt;=6,HOUR(B5178)&lt;18),"Day Shift","Night Shift")</f>
        <v/>
      </c>
      <c r="F5178" s="11">
        <f>INT(B5178)</f>
        <v/>
      </c>
      <c r="G5178" s="11">
        <f>INT(C5178)</f>
        <v/>
      </c>
    </row>
    <row r="5179">
      <c r="A5179" s="7" t="inlineStr">
        <is>
          <t>LDW265</t>
        </is>
      </c>
      <c r="B5179" s="8" t="n">
        <v>46109.02841435185</v>
      </c>
      <c r="C5179" s="8" t="n">
        <v>46109.25</v>
      </c>
      <c r="D5179" s="9">
        <f>(C5179-B5179)*24</f>
        <v/>
      </c>
      <c r="E5179" s="10">
        <f>IF(AND(HOUR(B5179)&gt;=6,HOUR(B5179)&lt;18),"Day Shift","Night Shift")</f>
        <v/>
      </c>
      <c r="F5179" s="11">
        <f>INT(B5179)</f>
        <v/>
      </c>
      <c r="G5179" s="11">
        <f>INT(C5179)</f>
        <v/>
      </c>
    </row>
    <row r="5180">
      <c r="A5180" s="2" t="inlineStr">
        <is>
          <t>LDW265</t>
        </is>
      </c>
      <c r="B5180" s="3" t="n">
        <v>46109.25</v>
      </c>
      <c r="C5180" s="3" t="n">
        <v>46109.75</v>
      </c>
      <c r="D5180" s="4">
        <f>(C5180-B5180)*24</f>
        <v/>
      </c>
      <c r="E5180" s="5">
        <f>IF(AND(HOUR(B5180)&gt;=6,HOUR(B5180)&lt;18),"Day Shift","Night Shift")</f>
        <v/>
      </c>
      <c r="F5180" s="6">
        <f>INT(B5180)</f>
        <v/>
      </c>
      <c r="G5180" s="6">
        <f>INT(C5180)</f>
        <v/>
      </c>
    </row>
    <row r="5181">
      <c r="A5181" s="7" t="inlineStr">
        <is>
          <t>LDW265</t>
        </is>
      </c>
      <c r="B5181" s="8" t="n">
        <v>46109.75</v>
      </c>
      <c r="C5181" s="8" t="n">
        <v>46110.12361111111</v>
      </c>
      <c r="D5181" s="9">
        <f>(C5181-B5181)*24</f>
        <v/>
      </c>
      <c r="E5181" s="10">
        <f>IF(AND(HOUR(B5181)&gt;=6,HOUR(B5181)&lt;18),"Day Shift","Night Shift")</f>
        <v/>
      </c>
      <c r="F5181" s="11">
        <f>INT(B5181)</f>
        <v/>
      </c>
      <c r="G5181" s="11">
        <f>INT(C5181)</f>
        <v/>
      </c>
    </row>
    <row r="5182">
      <c r="A5182" s="7" t="inlineStr">
        <is>
          <t>EDD175;EDD1932;EDD2134;EDD2541;EDD812</t>
        </is>
      </c>
      <c r="B5182" s="8" t="n">
        <v>46109.13498842593</v>
      </c>
      <c r="C5182" s="8" t="n">
        <v>46109.25</v>
      </c>
      <c r="D5182" s="9">
        <f>(C5182-B5182)*24</f>
        <v/>
      </c>
      <c r="E5182" s="10">
        <f>IF(AND(HOUR(B5182)&gt;=6,HOUR(B5182)&lt;18),"Day Shift","Night Shift")</f>
        <v/>
      </c>
      <c r="F5182" s="11">
        <f>INT(B5182)</f>
        <v/>
      </c>
      <c r="G5182" s="11">
        <f>INT(C5182)</f>
        <v/>
      </c>
    </row>
    <row r="5183">
      <c r="A5183" s="2" t="inlineStr">
        <is>
          <t>EDD175;EDD1932;EDD2134;EDD2541;EDD812</t>
        </is>
      </c>
      <c r="B5183" s="3" t="n">
        <v>46109.25</v>
      </c>
      <c r="C5183" s="3" t="n">
        <v>46109.75</v>
      </c>
      <c r="D5183" s="4">
        <f>(C5183-B5183)*24</f>
        <v/>
      </c>
      <c r="E5183" s="5">
        <f>IF(AND(HOUR(B5183)&gt;=6,HOUR(B5183)&lt;18),"Day Shift","Night Shift")</f>
        <v/>
      </c>
      <c r="F5183" s="6">
        <f>INT(B5183)</f>
        <v/>
      </c>
      <c r="G5183" s="6">
        <f>INT(C5183)</f>
        <v/>
      </c>
    </row>
    <row r="5184">
      <c r="A5184" s="7" t="inlineStr">
        <is>
          <t>EDD175;EDD1932;EDD2134;EDD2541;EDD812</t>
        </is>
      </c>
      <c r="B5184" s="8" t="n">
        <v>46109.75</v>
      </c>
      <c r="C5184" s="8" t="n">
        <v>46110.25</v>
      </c>
      <c r="D5184" s="9">
        <f>(C5184-B5184)*24</f>
        <v/>
      </c>
      <c r="E5184" s="10">
        <f>IF(AND(HOUR(B5184)&gt;=6,HOUR(B5184)&lt;18),"Day Shift","Night Shift")</f>
        <v/>
      </c>
      <c r="F5184" s="11">
        <f>INT(B5184)</f>
        <v/>
      </c>
      <c r="G5184" s="11">
        <f>INT(C5184)</f>
        <v/>
      </c>
    </row>
    <row r="5185">
      <c r="A5185" s="2" t="inlineStr">
        <is>
          <t>EDD175;EDD1932;EDD2134;EDD2541;EDD812</t>
        </is>
      </c>
      <c r="B5185" s="3" t="n">
        <v>46110.25</v>
      </c>
      <c r="C5185" s="3" t="n">
        <v>46110.64248842592</v>
      </c>
      <c r="D5185" s="4">
        <f>(C5185-B5185)*24</f>
        <v/>
      </c>
      <c r="E5185" s="5">
        <f>IF(AND(HOUR(B5185)&gt;=6,HOUR(B5185)&lt;18),"Day Shift","Night Shift")</f>
        <v/>
      </c>
      <c r="F5185" s="6">
        <f>INT(B5185)</f>
        <v/>
      </c>
      <c r="G5185" s="6">
        <f>INT(C5185)</f>
        <v/>
      </c>
    </row>
    <row r="5186">
      <c r="A5186" s="7" t="inlineStr">
        <is>
          <t>EXD51</t>
        </is>
      </c>
      <c r="B5186" s="8" t="n">
        <v>46109.16034722222</v>
      </c>
      <c r="C5186" s="8" t="n">
        <v>46109.25</v>
      </c>
      <c r="D5186" s="9">
        <f>(C5186-B5186)*24</f>
        <v/>
      </c>
      <c r="E5186" s="10">
        <f>IF(AND(HOUR(B5186)&gt;=6,HOUR(B5186)&lt;18),"Day Shift","Night Shift")</f>
        <v/>
      </c>
      <c r="F5186" s="11">
        <f>INT(B5186)</f>
        <v/>
      </c>
      <c r="G5186" s="11">
        <f>INT(C5186)</f>
        <v/>
      </c>
    </row>
    <row r="5187">
      <c r="A5187" s="2" t="inlineStr">
        <is>
          <t>EXD51</t>
        </is>
      </c>
      <c r="B5187" s="3" t="n">
        <v>46109.25</v>
      </c>
      <c r="C5187" s="3" t="n">
        <v>46109.75</v>
      </c>
      <c r="D5187" s="4">
        <f>(C5187-B5187)*24</f>
        <v/>
      </c>
      <c r="E5187" s="5">
        <f>IF(AND(HOUR(B5187)&gt;=6,HOUR(B5187)&lt;18),"Day Shift","Night Shift")</f>
        <v/>
      </c>
      <c r="F5187" s="6">
        <f>INT(B5187)</f>
        <v/>
      </c>
      <c r="G5187" s="6">
        <f>INT(C5187)</f>
        <v/>
      </c>
    </row>
    <row r="5188">
      <c r="A5188" s="7" t="inlineStr">
        <is>
          <t>EXD51</t>
        </is>
      </c>
      <c r="B5188" s="8" t="n">
        <v>46109.75</v>
      </c>
      <c r="C5188" s="8" t="n">
        <v>46110.25</v>
      </c>
      <c r="D5188" s="9">
        <f>(C5188-B5188)*24</f>
        <v/>
      </c>
      <c r="E5188" s="10">
        <f>IF(AND(HOUR(B5188)&gt;=6,HOUR(B5188)&lt;18),"Day Shift","Night Shift")</f>
        <v/>
      </c>
      <c r="F5188" s="11">
        <f>INT(B5188)</f>
        <v/>
      </c>
      <c r="G5188" s="11">
        <f>INT(C5188)</f>
        <v/>
      </c>
    </row>
    <row r="5189">
      <c r="A5189" s="2" t="inlineStr">
        <is>
          <t>EXD51</t>
        </is>
      </c>
      <c r="B5189" s="3" t="n">
        <v>46110.25</v>
      </c>
      <c r="C5189" s="3" t="n">
        <v>46110.75</v>
      </c>
      <c r="D5189" s="4">
        <f>(C5189-B5189)*24</f>
        <v/>
      </c>
      <c r="E5189" s="5">
        <f>IF(AND(HOUR(B5189)&gt;=6,HOUR(B5189)&lt;18),"Day Shift","Night Shift")</f>
        <v/>
      </c>
      <c r="F5189" s="6">
        <f>INT(B5189)</f>
        <v/>
      </c>
      <c r="G5189" s="6">
        <f>INT(C5189)</f>
        <v/>
      </c>
    </row>
    <row r="5190">
      <c r="A5190" s="7" t="inlineStr">
        <is>
          <t>EXD51</t>
        </is>
      </c>
      <c r="B5190" s="8" t="n">
        <v>46110.75</v>
      </c>
      <c r="C5190" s="8" t="n">
        <v>46110.77790509259</v>
      </c>
      <c r="D5190" s="9">
        <f>(C5190-B5190)*24</f>
        <v/>
      </c>
      <c r="E5190" s="10">
        <f>IF(AND(HOUR(B5190)&gt;=6,HOUR(B5190)&lt;18),"Day Shift","Night Shift")</f>
        <v/>
      </c>
      <c r="F5190" s="11">
        <f>INT(B5190)</f>
        <v/>
      </c>
      <c r="G5190" s="11">
        <f>INT(C5190)</f>
        <v/>
      </c>
    </row>
    <row r="5191">
      <c r="A5191" s="7" t="inlineStr">
        <is>
          <t>EXD100</t>
        </is>
      </c>
      <c r="B5191" s="8" t="n">
        <v>46109.1990625</v>
      </c>
      <c r="C5191" s="8" t="n">
        <v>46109.25</v>
      </c>
      <c r="D5191" s="9">
        <f>(C5191-B5191)*24</f>
        <v/>
      </c>
      <c r="E5191" s="10">
        <f>IF(AND(HOUR(B5191)&gt;=6,HOUR(B5191)&lt;18),"Day Shift","Night Shift")</f>
        <v/>
      </c>
      <c r="F5191" s="11">
        <f>INT(B5191)</f>
        <v/>
      </c>
      <c r="G5191" s="11">
        <f>INT(C5191)</f>
        <v/>
      </c>
    </row>
    <row r="5192">
      <c r="A5192" s="2" t="inlineStr">
        <is>
          <t>EXD100</t>
        </is>
      </c>
      <c r="B5192" s="3" t="n">
        <v>46109.25</v>
      </c>
      <c r="C5192" s="3" t="n">
        <v>46109.75</v>
      </c>
      <c r="D5192" s="4">
        <f>(C5192-B5192)*24</f>
        <v/>
      </c>
      <c r="E5192" s="5">
        <f>IF(AND(HOUR(B5192)&gt;=6,HOUR(B5192)&lt;18),"Day Shift","Night Shift")</f>
        <v/>
      </c>
      <c r="F5192" s="6">
        <f>INT(B5192)</f>
        <v/>
      </c>
      <c r="G5192" s="6">
        <f>INT(C5192)</f>
        <v/>
      </c>
    </row>
    <row r="5193">
      <c r="A5193" s="7" t="inlineStr">
        <is>
          <t>EXD100</t>
        </is>
      </c>
      <c r="B5193" s="8" t="n">
        <v>46109.75</v>
      </c>
      <c r="C5193" s="8" t="n">
        <v>46110.25</v>
      </c>
      <c r="D5193" s="9">
        <f>(C5193-B5193)*24</f>
        <v/>
      </c>
      <c r="E5193" s="10">
        <f>IF(AND(HOUR(B5193)&gt;=6,HOUR(B5193)&lt;18),"Day Shift","Night Shift")</f>
        <v/>
      </c>
      <c r="F5193" s="11">
        <f>INT(B5193)</f>
        <v/>
      </c>
      <c r="G5193" s="11">
        <f>INT(C5193)</f>
        <v/>
      </c>
    </row>
    <row r="5194">
      <c r="A5194" s="2" t="inlineStr">
        <is>
          <t>EXD100</t>
        </is>
      </c>
      <c r="B5194" s="3" t="n">
        <v>46110.25</v>
      </c>
      <c r="C5194" s="3" t="n">
        <v>46110.31839120371</v>
      </c>
      <c r="D5194" s="4">
        <f>(C5194-B5194)*24</f>
        <v/>
      </c>
      <c r="E5194" s="5">
        <f>IF(AND(HOUR(B5194)&gt;=6,HOUR(B5194)&lt;18),"Day Shift","Night Shift")</f>
        <v/>
      </c>
      <c r="F5194" s="6">
        <f>INT(B5194)</f>
        <v/>
      </c>
      <c r="G5194" s="6">
        <f>INT(C5194)</f>
        <v/>
      </c>
    </row>
    <row r="5195">
      <c r="A5195" s="7" t="inlineStr">
        <is>
          <t>EXD101</t>
        </is>
      </c>
      <c r="B5195" s="8" t="n">
        <v>46109.21768518518</v>
      </c>
      <c r="C5195" s="8" t="n">
        <v>46109.25</v>
      </c>
      <c r="D5195" s="9">
        <f>(C5195-B5195)*24</f>
        <v/>
      </c>
      <c r="E5195" s="10">
        <f>IF(AND(HOUR(B5195)&gt;=6,HOUR(B5195)&lt;18),"Day Shift","Night Shift")</f>
        <v/>
      </c>
      <c r="F5195" s="11">
        <f>INT(B5195)</f>
        <v/>
      </c>
      <c r="G5195" s="11">
        <f>INT(C5195)</f>
        <v/>
      </c>
    </row>
    <row r="5196">
      <c r="A5196" s="2" t="inlineStr">
        <is>
          <t>EXD101</t>
        </is>
      </c>
      <c r="B5196" s="3" t="n">
        <v>46109.25</v>
      </c>
      <c r="C5196" s="3" t="n">
        <v>46109.52615740741</v>
      </c>
      <c r="D5196" s="4">
        <f>(C5196-B5196)*24</f>
        <v/>
      </c>
      <c r="E5196" s="5">
        <f>IF(AND(HOUR(B5196)&gt;=6,HOUR(B5196)&lt;18),"Day Shift","Night Shift")</f>
        <v/>
      </c>
      <c r="F5196" s="6">
        <f>INT(B5196)</f>
        <v/>
      </c>
      <c r="G5196" s="6">
        <f>INT(C5196)</f>
        <v/>
      </c>
    </row>
    <row r="5197">
      <c r="A5197" s="2" t="inlineStr">
        <is>
          <t>Sprint 1</t>
        </is>
      </c>
      <c r="B5197" s="3" t="n">
        <v>46109.25678240741</v>
      </c>
      <c r="C5197" s="3" t="n">
        <v>46109.60872685185</v>
      </c>
      <c r="D5197" s="4">
        <f>(C5197-B5197)*24</f>
        <v/>
      </c>
      <c r="E5197" s="5">
        <f>IF(AND(HOUR(B5197)&gt;=6,HOUR(B5197)&lt;18),"Day Shift","Night Shift")</f>
        <v/>
      </c>
      <c r="F5197" s="6">
        <f>INT(B5197)</f>
        <v/>
      </c>
      <c r="G5197" s="6">
        <f>INT(C5197)</f>
        <v/>
      </c>
    </row>
    <row r="5198">
      <c r="A5198" s="2" t="inlineStr">
        <is>
          <t>EXD52</t>
        </is>
      </c>
      <c r="B5198" s="3" t="n">
        <v>46109.29988425926</v>
      </c>
      <c r="C5198" s="3" t="n">
        <v>46109.49878472222</v>
      </c>
      <c r="D5198" s="4">
        <f>(C5198-B5198)*24</f>
        <v/>
      </c>
      <c r="E5198" s="5">
        <f>IF(AND(HOUR(B5198)&gt;=6,HOUR(B5198)&lt;18),"Day Shift","Night Shift")</f>
        <v/>
      </c>
      <c r="F5198" s="6">
        <f>INT(B5198)</f>
        <v/>
      </c>
      <c r="G5198" s="6">
        <f>INT(C5198)</f>
        <v/>
      </c>
    </row>
    <row r="5199">
      <c r="A5199" s="2" t="inlineStr">
        <is>
          <t>EXD408</t>
        </is>
      </c>
      <c r="B5199" s="3" t="n">
        <v>46109.32709490741</v>
      </c>
      <c r="C5199" s="3" t="n">
        <v>46109.75</v>
      </c>
      <c r="D5199" s="4">
        <f>(C5199-B5199)*24</f>
        <v/>
      </c>
      <c r="E5199" s="5">
        <f>IF(AND(HOUR(B5199)&gt;=6,HOUR(B5199)&lt;18),"Day Shift","Night Shift")</f>
        <v/>
      </c>
      <c r="F5199" s="6">
        <f>INT(B5199)</f>
        <v/>
      </c>
      <c r="G5199" s="6">
        <f>INT(C5199)</f>
        <v/>
      </c>
    </row>
    <row r="5200">
      <c r="A5200" s="7" t="inlineStr">
        <is>
          <t>EXD408</t>
        </is>
      </c>
      <c r="B5200" s="8" t="n">
        <v>46109.75</v>
      </c>
      <c r="C5200" s="8" t="n">
        <v>46110.25</v>
      </c>
      <c r="D5200" s="9">
        <f>(C5200-B5200)*24</f>
        <v/>
      </c>
      <c r="E5200" s="10">
        <f>IF(AND(HOUR(B5200)&gt;=6,HOUR(B5200)&lt;18),"Day Shift","Night Shift")</f>
        <v/>
      </c>
      <c r="F5200" s="11">
        <f>INT(B5200)</f>
        <v/>
      </c>
      <c r="G5200" s="11">
        <f>INT(C5200)</f>
        <v/>
      </c>
    </row>
    <row r="5201">
      <c r="A5201" s="2" t="inlineStr">
        <is>
          <t>EXD408</t>
        </is>
      </c>
      <c r="B5201" s="3" t="n">
        <v>46110.25</v>
      </c>
      <c r="C5201" s="3" t="n">
        <v>46110.44503472222</v>
      </c>
      <c r="D5201" s="4">
        <f>(C5201-B5201)*24</f>
        <v/>
      </c>
      <c r="E5201" s="5">
        <f>IF(AND(HOUR(B5201)&gt;=6,HOUR(B5201)&lt;18),"Day Shift","Night Shift")</f>
        <v/>
      </c>
      <c r="F5201" s="6">
        <f>INT(B5201)</f>
        <v/>
      </c>
      <c r="G5201" s="6">
        <f>INT(C5201)</f>
        <v/>
      </c>
    </row>
    <row r="5202">
      <c r="A5202" s="2" t="inlineStr">
        <is>
          <t>EXD407</t>
        </is>
      </c>
      <c r="B5202" s="3" t="n">
        <v>46109.36171296296</v>
      </c>
      <c r="C5202" s="3" t="n">
        <v>46109.75</v>
      </c>
      <c r="D5202" s="4">
        <f>(C5202-B5202)*24</f>
        <v/>
      </c>
      <c r="E5202" s="5">
        <f>IF(AND(HOUR(B5202)&gt;=6,HOUR(B5202)&lt;18),"Day Shift","Night Shift")</f>
        <v/>
      </c>
      <c r="F5202" s="6">
        <f>INT(B5202)</f>
        <v/>
      </c>
      <c r="G5202" s="6">
        <f>INT(C5202)</f>
        <v/>
      </c>
    </row>
    <row r="5203">
      <c r="A5203" s="7" t="inlineStr">
        <is>
          <t>EXD407</t>
        </is>
      </c>
      <c r="B5203" s="8" t="n">
        <v>46109.75</v>
      </c>
      <c r="C5203" s="8" t="n">
        <v>46110.25</v>
      </c>
      <c r="D5203" s="9">
        <f>(C5203-B5203)*24</f>
        <v/>
      </c>
      <c r="E5203" s="10">
        <f>IF(AND(HOUR(B5203)&gt;=6,HOUR(B5203)&lt;18),"Day Shift","Night Shift")</f>
        <v/>
      </c>
      <c r="F5203" s="11">
        <f>INT(B5203)</f>
        <v/>
      </c>
      <c r="G5203" s="11">
        <f>INT(C5203)</f>
        <v/>
      </c>
    </row>
    <row r="5204">
      <c r="A5204" s="2" t="inlineStr">
        <is>
          <t>EXD407</t>
        </is>
      </c>
      <c r="B5204" s="3" t="n">
        <v>46110.25</v>
      </c>
      <c r="C5204" s="3" t="n">
        <v>46110.75</v>
      </c>
      <c r="D5204" s="4">
        <f>(C5204-B5204)*24</f>
        <v/>
      </c>
      <c r="E5204" s="5">
        <f>IF(AND(HOUR(B5204)&gt;=6,HOUR(B5204)&lt;18),"Day Shift","Night Shift")</f>
        <v/>
      </c>
      <c r="F5204" s="6">
        <f>INT(B5204)</f>
        <v/>
      </c>
      <c r="G5204" s="6">
        <f>INT(C5204)</f>
        <v/>
      </c>
    </row>
    <row r="5205">
      <c r="A5205" s="7" t="inlineStr">
        <is>
          <t>EXD407</t>
        </is>
      </c>
      <c r="B5205" s="8" t="n">
        <v>46110.75</v>
      </c>
      <c r="C5205" s="8" t="n">
        <v>46110.91854166667</v>
      </c>
      <c r="D5205" s="9">
        <f>(C5205-B5205)*24</f>
        <v/>
      </c>
      <c r="E5205" s="10">
        <f>IF(AND(HOUR(B5205)&gt;=6,HOUR(B5205)&lt;18),"Day Shift","Night Shift")</f>
        <v/>
      </c>
      <c r="F5205" s="11">
        <f>INT(B5205)</f>
        <v/>
      </c>
      <c r="G5205" s="11">
        <f>INT(C5205)</f>
        <v/>
      </c>
    </row>
    <row r="5206">
      <c r="A5206" s="2" t="inlineStr">
        <is>
          <t>EXD73</t>
        </is>
      </c>
      <c r="B5206" s="3" t="n">
        <v>46109.36524305555</v>
      </c>
      <c r="C5206" s="3" t="n">
        <v>46109.75</v>
      </c>
      <c r="D5206" s="4">
        <f>(C5206-B5206)*24</f>
        <v/>
      </c>
      <c r="E5206" s="5">
        <f>IF(AND(HOUR(B5206)&gt;=6,HOUR(B5206)&lt;18),"Day Shift","Night Shift")</f>
        <v/>
      </c>
      <c r="F5206" s="6">
        <f>INT(B5206)</f>
        <v/>
      </c>
      <c r="G5206" s="6">
        <f>INT(C5206)</f>
        <v/>
      </c>
    </row>
    <row r="5207">
      <c r="A5207" s="7" t="inlineStr">
        <is>
          <t>EXD73</t>
        </is>
      </c>
      <c r="B5207" s="8" t="n">
        <v>46109.75</v>
      </c>
      <c r="C5207" s="8" t="n">
        <v>46109.78659722222</v>
      </c>
      <c r="D5207" s="9">
        <f>(C5207-B5207)*24</f>
        <v/>
      </c>
      <c r="E5207" s="10">
        <f>IF(AND(HOUR(B5207)&gt;=6,HOUR(B5207)&lt;18),"Day Shift","Night Shift")</f>
        <v/>
      </c>
      <c r="F5207" s="11">
        <f>INT(B5207)</f>
        <v/>
      </c>
      <c r="G5207" s="11">
        <f>INT(C5207)</f>
        <v/>
      </c>
    </row>
    <row r="5208">
      <c r="A5208" s="2" t="inlineStr">
        <is>
          <t>EXD52</t>
        </is>
      </c>
      <c r="B5208" s="3" t="n">
        <v>46109.49878472222</v>
      </c>
      <c r="C5208" s="3" t="n">
        <v>46109.75</v>
      </c>
      <c r="D5208" s="4">
        <f>(C5208-B5208)*24</f>
        <v/>
      </c>
      <c r="E5208" s="5">
        <f>IF(AND(HOUR(B5208)&gt;=6,HOUR(B5208)&lt;18),"Day Shift","Night Shift")</f>
        <v/>
      </c>
      <c r="F5208" s="6">
        <f>INT(B5208)</f>
        <v/>
      </c>
      <c r="G5208" s="6">
        <f>INT(C5208)</f>
        <v/>
      </c>
    </row>
    <row r="5209">
      <c r="A5209" s="7" t="inlineStr">
        <is>
          <t>EXD52</t>
        </is>
      </c>
      <c r="B5209" s="8" t="n">
        <v>46109.75</v>
      </c>
      <c r="C5209" s="8" t="n">
        <v>46109.96309027778</v>
      </c>
      <c r="D5209" s="9">
        <f>(C5209-B5209)*24</f>
        <v/>
      </c>
      <c r="E5209" s="10">
        <f>IF(AND(HOUR(B5209)&gt;=6,HOUR(B5209)&lt;18),"Day Shift","Night Shift")</f>
        <v/>
      </c>
      <c r="F5209" s="11">
        <f>INT(B5209)</f>
        <v/>
      </c>
      <c r="G5209" s="11">
        <f>INT(C5209)</f>
        <v/>
      </c>
    </row>
    <row r="5210">
      <c r="A5210" s="2" t="inlineStr">
        <is>
          <t>EXD101</t>
        </is>
      </c>
      <c r="B5210" s="3" t="n">
        <v>46109.52615740741</v>
      </c>
      <c r="C5210" s="3" t="n">
        <v>46109.75</v>
      </c>
      <c r="D5210" s="4">
        <f>(C5210-B5210)*24</f>
        <v/>
      </c>
      <c r="E5210" s="5">
        <f>IF(AND(HOUR(B5210)&gt;=6,HOUR(B5210)&lt;18),"Day Shift","Night Shift")</f>
        <v/>
      </c>
      <c r="F5210" s="6">
        <f>INT(B5210)</f>
        <v/>
      </c>
      <c r="G5210" s="6">
        <f>INT(C5210)</f>
        <v/>
      </c>
    </row>
    <row r="5211">
      <c r="A5211" s="7" t="inlineStr">
        <is>
          <t>EXD101</t>
        </is>
      </c>
      <c r="B5211" s="8" t="n">
        <v>46109.75</v>
      </c>
      <c r="C5211" s="8" t="n">
        <v>46109.82975694445</v>
      </c>
      <c r="D5211" s="9">
        <f>(C5211-B5211)*24</f>
        <v/>
      </c>
      <c r="E5211" s="10">
        <f>IF(AND(HOUR(B5211)&gt;=6,HOUR(B5211)&lt;18),"Day Shift","Night Shift")</f>
        <v/>
      </c>
      <c r="F5211" s="11">
        <f>INT(B5211)</f>
        <v/>
      </c>
      <c r="G5211" s="11">
        <f>INT(C5211)</f>
        <v/>
      </c>
    </row>
    <row r="5212">
      <c r="A5212" s="2" t="inlineStr">
        <is>
          <t>EXD61</t>
        </is>
      </c>
      <c r="B5212" s="3" t="n">
        <v>46109.57020833333</v>
      </c>
      <c r="C5212" s="3" t="n">
        <v>46109.75</v>
      </c>
      <c r="D5212" s="4">
        <f>(C5212-B5212)*24</f>
        <v/>
      </c>
      <c r="E5212" s="5">
        <f>IF(AND(HOUR(B5212)&gt;=6,HOUR(B5212)&lt;18),"Day Shift","Night Shift")</f>
        <v/>
      </c>
      <c r="F5212" s="6">
        <f>INT(B5212)</f>
        <v/>
      </c>
      <c r="G5212" s="6">
        <f>INT(C5212)</f>
        <v/>
      </c>
    </row>
    <row r="5213">
      <c r="A5213" s="7" t="inlineStr">
        <is>
          <t>EXD61</t>
        </is>
      </c>
      <c r="B5213" s="8" t="n">
        <v>46109.75</v>
      </c>
      <c r="C5213" s="8" t="n">
        <v>46110.25</v>
      </c>
      <c r="D5213" s="9">
        <f>(C5213-B5213)*24</f>
        <v/>
      </c>
      <c r="E5213" s="10">
        <f>IF(AND(HOUR(B5213)&gt;=6,HOUR(B5213)&lt;18),"Day Shift","Night Shift")</f>
        <v/>
      </c>
      <c r="F5213" s="11">
        <f>INT(B5213)</f>
        <v/>
      </c>
      <c r="G5213" s="11">
        <f>INT(C5213)</f>
        <v/>
      </c>
    </row>
    <row r="5214">
      <c r="A5214" s="2" t="inlineStr">
        <is>
          <t>EXD61</t>
        </is>
      </c>
      <c r="B5214" s="3" t="n">
        <v>46110.25</v>
      </c>
      <c r="C5214" s="3" t="n">
        <v>46110.75</v>
      </c>
      <c r="D5214" s="4">
        <f>(C5214-B5214)*24</f>
        <v/>
      </c>
      <c r="E5214" s="5">
        <f>IF(AND(HOUR(B5214)&gt;=6,HOUR(B5214)&lt;18),"Day Shift","Night Shift")</f>
        <v/>
      </c>
      <c r="F5214" s="6">
        <f>INT(B5214)</f>
        <v/>
      </c>
      <c r="G5214" s="6">
        <f>INT(C5214)</f>
        <v/>
      </c>
    </row>
    <row r="5215">
      <c r="A5215" s="7" t="inlineStr">
        <is>
          <t>EXD61</t>
        </is>
      </c>
      <c r="B5215" s="8" t="n">
        <v>46110.75</v>
      </c>
      <c r="C5215" s="8" t="n">
        <v>46111.25</v>
      </c>
      <c r="D5215" s="9">
        <f>(C5215-B5215)*24</f>
        <v/>
      </c>
      <c r="E5215" s="10">
        <f>IF(AND(HOUR(B5215)&gt;=6,HOUR(B5215)&lt;18),"Day Shift","Night Shift")</f>
        <v/>
      </c>
      <c r="F5215" s="11">
        <f>INT(B5215)</f>
        <v/>
      </c>
      <c r="G5215" s="11">
        <f>INT(C5215)</f>
        <v/>
      </c>
    </row>
    <row r="5216">
      <c r="A5216" s="2" t="inlineStr">
        <is>
          <t>EXD61</t>
        </is>
      </c>
      <c r="B5216" s="3" t="n">
        <v>46111.25</v>
      </c>
      <c r="C5216" s="3" t="n">
        <v>46111.75</v>
      </c>
      <c r="D5216" s="4">
        <f>(C5216-B5216)*24</f>
        <v/>
      </c>
      <c r="E5216" s="5">
        <f>IF(AND(HOUR(B5216)&gt;=6,HOUR(B5216)&lt;18),"Day Shift","Night Shift")</f>
        <v/>
      </c>
      <c r="F5216" s="6">
        <f>INT(B5216)</f>
        <v/>
      </c>
      <c r="G5216" s="6">
        <f>INT(C5216)</f>
        <v/>
      </c>
    </row>
    <row r="5217">
      <c r="A5217" s="7" t="inlineStr">
        <is>
          <t>EXD61</t>
        </is>
      </c>
      <c r="B5217" s="8" t="n">
        <v>46111.75</v>
      </c>
      <c r="C5217" s="8" t="n">
        <v>46112.25</v>
      </c>
      <c r="D5217" s="9">
        <f>(C5217-B5217)*24</f>
        <v/>
      </c>
      <c r="E5217" s="10">
        <f>IF(AND(HOUR(B5217)&gt;=6,HOUR(B5217)&lt;18),"Day Shift","Night Shift")</f>
        <v/>
      </c>
      <c r="F5217" s="11">
        <f>INT(B5217)</f>
        <v/>
      </c>
      <c r="G5217" s="11">
        <f>INT(C5217)</f>
        <v/>
      </c>
    </row>
    <row r="5218">
      <c r="A5218" s="2" t="inlineStr">
        <is>
          <t>EXD61</t>
        </is>
      </c>
      <c r="B5218" s="3" t="n">
        <v>46112.25</v>
      </c>
      <c r="C5218" s="3" t="n">
        <v>46112.74226851852</v>
      </c>
      <c r="D5218" s="4">
        <f>(C5218-B5218)*24</f>
        <v/>
      </c>
      <c r="E5218" s="5">
        <f>IF(AND(HOUR(B5218)&gt;=6,HOUR(B5218)&lt;18),"Day Shift","Night Shift")</f>
        <v/>
      </c>
      <c r="F5218" s="6">
        <f>INT(B5218)</f>
        <v/>
      </c>
      <c r="G5218" s="6">
        <f>INT(C5218)</f>
        <v/>
      </c>
    </row>
    <row r="5219">
      <c r="A5219" s="2" t="inlineStr">
        <is>
          <t>Sprint 1</t>
        </is>
      </c>
      <c r="B5219" s="3" t="n">
        <v>46109.60872685185</v>
      </c>
      <c r="C5219" s="3" t="n">
        <v>46109.75</v>
      </c>
      <c r="D5219" s="4">
        <f>(C5219-B5219)*24</f>
        <v/>
      </c>
      <c r="E5219" s="5">
        <f>IF(AND(HOUR(B5219)&gt;=6,HOUR(B5219)&lt;18),"Day Shift","Night Shift")</f>
        <v/>
      </c>
      <c r="F5219" s="6">
        <f>INT(B5219)</f>
        <v/>
      </c>
      <c r="G5219" s="6">
        <f>INT(C5219)</f>
        <v/>
      </c>
    </row>
    <row r="5220">
      <c r="A5220" s="7" t="inlineStr">
        <is>
          <t>Sprint 1</t>
        </is>
      </c>
      <c r="B5220" s="8" t="n">
        <v>46109.75</v>
      </c>
      <c r="C5220" s="8" t="n">
        <v>46110.25</v>
      </c>
      <c r="D5220" s="9">
        <f>(C5220-B5220)*24</f>
        <v/>
      </c>
      <c r="E5220" s="10">
        <f>IF(AND(HOUR(B5220)&gt;=6,HOUR(B5220)&lt;18),"Day Shift","Night Shift")</f>
        <v/>
      </c>
      <c r="F5220" s="11">
        <f>INT(B5220)</f>
        <v/>
      </c>
      <c r="G5220" s="11">
        <f>INT(C5220)</f>
        <v/>
      </c>
    </row>
    <row r="5221">
      <c r="A5221" s="2" t="inlineStr">
        <is>
          <t>Sprint 1</t>
        </is>
      </c>
      <c r="B5221" s="3" t="n">
        <v>46110.25</v>
      </c>
      <c r="C5221" s="3" t="n">
        <v>46110.3720949074</v>
      </c>
      <c r="D5221" s="4">
        <f>(C5221-B5221)*24</f>
        <v/>
      </c>
      <c r="E5221" s="5">
        <f>IF(AND(HOUR(B5221)&gt;=6,HOUR(B5221)&lt;18),"Day Shift","Night Shift")</f>
        <v/>
      </c>
      <c r="F5221" s="6">
        <f>INT(B5221)</f>
        <v/>
      </c>
      <c r="G5221" s="6">
        <f>INT(C5221)</f>
        <v/>
      </c>
    </row>
    <row r="5222">
      <c r="A5222" s="2" t="inlineStr">
        <is>
          <t>SHE36</t>
        </is>
      </c>
      <c r="B5222" s="3" t="n">
        <v>46109.70133101852</v>
      </c>
      <c r="C5222" s="3" t="n">
        <v>46109.75</v>
      </c>
      <c r="D5222" s="4">
        <f>(C5222-B5222)*24</f>
        <v/>
      </c>
      <c r="E5222" s="5">
        <f>IF(AND(HOUR(B5222)&gt;=6,HOUR(B5222)&lt;18),"Day Shift","Night Shift")</f>
        <v/>
      </c>
      <c r="F5222" s="6">
        <f>INT(B5222)</f>
        <v/>
      </c>
      <c r="G5222" s="6">
        <f>INT(C5222)</f>
        <v/>
      </c>
    </row>
    <row r="5223">
      <c r="A5223" s="7" t="inlineStr">
        <is>
          <t>SHE36</t>
        </is>
      </c>
      <c r="B5223" s="8" t="n">
        <v>46109.75</v>
      </c>
      <c r="C5223" s="8" t="n">
        <v>46110.06071759259</v>
      </c>
      <c r="D5223" s="9">
        <f>(C5223-B5223)*24</f>
        <v/>
      </c>
      <c r="E5223" s="10">
        <f>IF(AND(HOUR(B5223)&gt;=6,HOUR(B5223)&lt;18),"Day Shift","Night Shift")</f>
        <v/>
      </c>
      <c r="F5223" s="11">
        <f>INT(B5223)</f>
        <v/>
      </c>
      <c r="G5223" s="11">
        <f>INT(C5223)</f>
        <v/>
      </c>
    </row>
    <row r="5224">
      <c r="A5224" s="2" t="inlineStr">
        <is>
          <t>DRE08</t>
        </is>
      </c>
      <c r="B5224" s="3" t="n">
        <v>46109.71484953703</v>
      </c>
      <c r="C5224" s="3" t="n">
        <v>46109.75</v>
      </c>
      <c r="D5224" s="4">
        <f>(C5224-B5224)*24</f>
        <v/>
      </c>
      <c r="E5224" s="5">
        <f>IF(AND(HOUR(B5224)&gt;=6,HOUR(B5224)&lt;18),"Day Shift","Night Shift")</f>
        <v/>
      </c>
      <c r="F5224" s="6">
        <f>INT(B5224)</f>
        <v/>
      </c>
      <c r="G5224" s="6">
        <f>INT(C5224)</f>
        <v/>
      </c>
    </row>
    <row r="5225">
      <c r="A5225" s="7" t="inlineStr">
        <is>
          <t>DRE08</t>
        </is>
      </c>
      <c r="B5225" s="8" t="n">
        <v>46109.75</v>
      </c>
      <c r="C5225" s="8" t="n">
        <v>46110.25</v>
      </c>
      <c r="D5225" s="9">
        <f>(C5225-B5225)*24</f>
        <v/>
      </c>
      <c r="E5225" s="10">
        <f>IF(AND(HOUR(B5225)&gt;=6,HOUR(B5225)&lt;18),"Day Shift","Night Shift")</f>
        <v/>
      </c>
      <c r="F5225" s="11">
        <f>INT(B5225)</f>
        <v/>
      </c>
      <c r="G5225" s="11">
        <f>INT(C5225)</f>
        <v/>
      </c>
    </row>
    <row r="5226">
      <c r="A5226" s="2" t="inlineStr">
        <is>
          <t>DRE08</t>
        </is>
      </c>
      <c r="B5226" s="3" t="n">
        <v>46110.25</v>
      </c>
      <c r="C5226" s="3" t="n">
        <v>46110.75</v>
      </c>
      <c r="D5226" s="4">
        <f>(C5226-B5226)*24</f>
        <v/>
      </c>
      <c r="E5226" s="5">
        <f>IF(AND(HOUR(B5226)&gt;=6,HOUR(B5226)&lt;18),"Day Shift","Night Shift")</f>
        <v/>
      </c>
      <c r="F5226" s="6">
        <f>INT(B5226)</f>
        <v/>
      </c>
      <c r="G5226" s="6">
        <f>INT(C5226)</f>
        <v/>
      </c>
    </row>
    <row r="5227">
      <c r="A5227" s="7" t="inlineStr">
        <is>
          <t>DRE08</t>
        </is>
      </c>
      <c r="B5227" s="8" t="n">
        <v>46110.75</v>
      </c>
      <c r="C5227" s="8" t="n">
        <v>46111.25</v>
      </c>
      <c r="D5227" s="9">
        <f>(C5227-B5227)*24</f>
        <v/>
      </c>
      <c r="E5227" s="10">
        <f>IF(AND(HOUR(B5227)&gt;=6,HOUR(B5227)&lt;18),"Day Shift","Night Shift")</f>
        <v/>
      </c>
      <c r="F5227" s="11">
        <f>INT(B5227)</f>
        <v/>
      </c>
      <c r="G5227" s="11">
        <f>INT(C5227)</f>
        <v/>
      </c>
    </row>
    <row r="5228">
      <c r="A5228" s="2" t="inlineStr">
        <is>
          <t>DRE08</t>
        </is>
      </c>
      <c r="B5228" s="3" t="n">
        <v>46111.25</v>
      </c>
      <c r="C5228" s="3" t="n">
        <v>46111.75</v>
      </c>
      <c r="D5228" s="4">
        <f>(C5228-B5228)*24</f>
        <v/>
      </c>
      <c r="E5228" s="5">
        <f>IF(AND(HOUR(B5228)&gt;=6,HOUR(B5228)&lt;18),"Day Shift","Night Shift")</f>
        <v/>
      </c>
      <c r="F5228" s="6">
        <f>INT(B5228)</f>
        <v/>
      </c>
      <c r="G5228" s="6">
        <f>INT(C5228)</f>
        <v/>
      </c>
    </row>
    <row r="5229">
      <c r="A5229" s="7" t="inlineStr">
        <is>
          <t>DRE08</t>
        </is>
      </c>
      <c r="B5229" s="8" t="n">
        <v>46111.75</v>
      </c>
      <c r="C5229" s="8" t="n">
        <v>46112.00012731482</v>
      </c>
      <c r="D5229" s="9">
        <f>(C5229-B5229)*24</f>
        <v/>
      </c>
      <c r="E5229" s="10">
        <f>IF(AND(HOUR(B5229)&gt;=6,HOUR(B5229)&lt;18),"Day Shift","Night Shift")</f>
        <v/>
      </c>
      <c r="F5229" s="11">
        <f>INT(B5229)</f>
        <v/>
      </c>
      <c r="G5229" s="11">
        <f>INT(C5229)</f>
        <v/>
      </c>
    </row>
    <row r="5230">
      <c r="A5230" s="2" t="inlineStr">
        <is>
          <t>EXD98</t>
        </is>
      </c>
      <c r="B5230" s="3" t="n">
        <v>46109.74094907408</v>
      </c>
      <c r="C5230" s="3" t="n">
        <v>46109.75</v>
      </c>
      <c r="D5230" s="4">
        <f>(C5230-B5230)*24</f>
        <v/>
      </c>
      <c r="E5230" s="5">
        <f>IF(AND(HOUR(B5230)&gt;=6,HOUR(B5230)&lt;18),"Day Shift","Night Shift")</f>
        <v/>
      </c>
      <c r="F5230" s="6">
        <f>INT(B5230)</f>
        <v/>
      </c>
      <c r="G5230" s="6">
        <f>INT(C5230)</f>
        <v/>
      </c>
    </row>
    <row r="5231">
      <c r="A5231" s="7" t="inlineStr">
        <is>
          <t>EXD98</t>
        </is>
      </c>
      <c r="B5231" s="8" t="n">
        <v>46109.75</v>
      </c>
      <c r="C5231" s="8" t="n">
        <v>46110.25</v>
      </c>
      <c r="D5231" s="9">
        <f>(C5231-B5231)*24</f>
        <v/>
      </c>
      <c r="E5231" s="10">
        <f>IF(AND(HOUR(B5231)&gt;=6,HOUR(B5231)&lt;18),"Day Shift","Night Shift")</f>
        <v/>
      </c>
      <c r="F5231" s="11">
        <f>INT(B5231)</f>
        <v/>
      </c>
      <c r="G5231" s="11">
        <f>INT(C5231)</f>
        <v/>
      </c>
    </row>
    <row r="5232">
      <c r="A5232" s="2" t="inlineStr">
        <is>
          <t>EXD98</t>
        </is>
      </c>
      <c r="B5232" s="3" t="n">
        <v>46110.25</v>
      </c>
      <c r="C5232" s="3" t="n">
        <v>46110.63268518518</v>
      </c>
      <c r="D5232" s="4">
        <f>(C5232-B5232)*24</f>
        <v/>
      </c>
      <c r="E5232" s="5">
        <f>IF(AND(HOUR(B5232)&gt;=6,HOUR(B5232)&lt;18),"Day Shift","Night Shift")</f>
        <v/>
      </c>
      <c r="F5232" s="6">
        <f>INT(B5232)</f>
        <v/>
      </c>
      <c r="G5232" s="6">
        <f>INT(C5232)</f>
        <v/>
      </c>
    </row>
    <row r="5233">
      <c r="A5233" s="7" t="inlineStr">
        <is>
          <t>EXD101</t>
        </is>
      </c>
      <c r="B5233" s="8" t="n">
        <v>46109.82975694445</v>
      </c>
      <c r="C5233" s="8" t="n">
        <v>46110.13724537037</v>
      </c>
      <c r="D5233" s="9">
        <f>(C5233-B5233)*24</f>
        <v/>
      </c>
      <c r="E5233" s="10">
        <f>IF(AND(HOUR(B5233)&gt;=6,HOUR(B5233)&lt;18),"Day Shift","Night Shift")</f>
        <v/>
      </c>
      <c r="F5233" s="11">
        <f>INT(B5233)</f>
        <v/>
      </c>
      <c r="G5233" s="11">
        <f>INT(C5233)</f>
        <v/>
      </c>
    </row>
    <row r="5234">
      <c r="A5234" s="7" t="inlineStr">
        <is>
          <t>EXD73</t>
        </is>
      </c>
      <c r="B5234" s="8" t="n">
        <v>46109.83571759259</v>
      </c>
      <c r="C5234" s="8" t="n">
        <v>46110.25</v>
      </c>
      <c r="D5234" s="9">
        <f>(C5234-B5234)*24</f>
        <v/>
      </c>
      <c r="E5234" s="10">
        <f>IF(AND(HOUR(B5234)&gt;=6,HOUR(B5234)&lt;18),"Day Shift","Night Shift")</f>
        <v/>
      </c>
      <c r="F5234" s="11">
        <f>INT(B5234)</f>
        <v/>
      </c>
      <c r="G5234" s="11">
        <f>INT(C5234)</f>
        <v/>
      </c>
    </row>
    <row r="5235">
      <c r="A5235" s="2" t="inlineStr">
        <is>
          <t>EXD73</t>
        </is>
      </c>
      <c r="B5235" s="3" t="n">
        <v>46110.25</v>
      </c>
      <c r="C5235" s="3" t="n">
        <v>46110.39148148148</v>
      </c>
      <c r="D5235" s="4">
        <f>(C5235-B5235)*24</f>
        <v/>
      </c>
      <c r="E5235" s="5">
        <f>IF(AND(HOUR(B5235)&gt;=6,HOUR(B5235)&lt;18),"Day Shift","Night Shift")</f>
        <v/>
      </c>
      <c r="F5235" s="6">
        <f>INT(B5235)</f>
        <v/>
      </c>
      <c r="G5235" s="6">
        <f>INT(C5235)</f>
        <v/>
      </c>
    </row>
    <row r="5236">
      <c r="A5236" s="7" t="inlineStr">
        <is>
          <t>EXD409</t>
        </is>
      </c>
      <c r="B5236" s="8" t="n">
        <v>46109.83957175926</v>
      </c>
      <c r="C5236" s="8" t="n">
        <v>46110.25</v>
      </c>
      <c r="D5236" s="9">
        <f>(C5236-B5236)*24</f>
        <v/>
      </c>
      <c r="E5236" s="10">
        <f>IF(AND(HOUR(B5236)&gt;=6,HOUR(B5236)&lt;18),"Day Shift","Night Shift")</f>
        <v/>
      </c>
      <c r="F5236" s="11">
        <f>INT(B5236)</f>
        <v/>
      </c>
      <c r="G5236" s="11">
        <f>INT(C5236)</f>
        <v/>
      </c>
    </row>
    <row r="5237">
      <c r="A5237" s="2" t="inlineStr">
        <is>
          <t>EXD409</t>
        </is>
      </c>
      <c r="B5237" s="3" t="n">
        <v>46110.25</v>
      </c>
      <c r="C5237" s="3" t="n">
        <v>46110.75</v>
      </c>
      <c r="D5237" s="4">
        <f>(C5237-B5237)*24</f>
        <v/>
      </c>
      <c r="E5237" s="5">
        <f>IF(AND(HOUR(B5237)&gt;=6,HOUR(B5237)&lt;18),"Day Shift","Night Shift")</f>
        <v/>
      </c>
      <c r="F5237" s="6">
        <f>INT(B5237)</f>
        <v/>
      </c>
      <c r="G5237" s="6">
        <f>INT(C5237)</f>
        <v/>
      </c>
    </row>
    <row r="5238">
      <c r="A5238" s="7" t="inlineStr">
        <is>
          <t>EXD409</t>
        </is>
      </c>
      <c r="B5238" s="8" t="n">
        <v>46110.75</v>
      </c>
      <c r="C5238" s="8" t="n">
        <v>46111.25</v>
      </c>
      <c r="D5238" s="9">
        <f>(C5238-B5238)*24</f>
        <v/>
      </c>
      <c r="E5238" s="10">
        <f>IF(AND(HOUR(B5238)&gt;=6,HOUR(B5238)&lt;18),"Day Shift","Night Shift")</f>
        <v/>
      </c>
      <c r="F5238" s="11">
        <f>INT(B5238)</f>
        <v/>
      </c>
      <c r="G5238" s="11">
        <f>INT(C5238)</f>
        <v/>
      </c>
    </row>
    <row r="5239">
      <c r="A5239" s="2" t="inlineStr">
        <is>
          <t>EXD409</t>
        </is>
      </c>
      <c r="B5239" s="3" t="n">
        <v>46111.25</v>
      </c>
      <c r="C5239" s="3" t="n">
        <v>46111.75</v>
      </c>
      <c r="D5239" s="4">
        <f>(C5239-B5239)*24</f>
        <v/>
      </c>
      <c r="E5239" s="5">
        <f>IF(AND(HOUR(B5239)&gt;=6,HOUR(B5239)&lt;18),"Day Shift","Night Shift")</f>
        <v/>
      </c>
      <c r="F5239" s="6">
        <f>INT(B5239)</f>
        <v/>
      </c>
      <c r="G5239" s="6">
        <f>INT(C5239)</f>
        <v/>
      </c>
    </row>
    <row r="5240">
      <c r="A5240" s="7" t="inlineStr">
        <is>
          <t>EXD409</t>
        </is>
      </c>
      <c r="B5240" s="8" t="n">
        <v>46111.75</v>
      </c>
      <c r="C5240" s="8" t="n">
        <v>46112.25</v>
      </c>
      <c r="D5240" s="9">
        <f>(C5240-B5240)*24</f>
        <v/>
      </c>
      <c r="E5240" s="10">
        <f>IF(AND(HOUR(B5240)&gt;=6,HOUR(B5240)&lt;18),"Day Shift","Night Shift")</f>
        <v/>
      </c>
      <c r="F5240" s="11">
        <f>INT(B5240)</f>
        <v/>
      </c>
      <c r="G5240" s="11">
        <f>INT(C5240)</f>
        <v/>
      </c>
    </row>
    <row r="5241">
      <c r="A5241" s="2" t="inlineStr">
        <is>
          <t>EXD409</t>
        </is>
      </c>
      <c r="B5241" s="3" t="n">
        <v>46112.25</v>
      </c>
      <c r="C5241" s="3" t="n">
        <v>46112.75</v>
      </c>
      <c r="D5241" s="4">
        <f>(C5241-B5241)*24</f>
        <v/>
      </c>
      <c r="E5241" s="5">
        <f>IF(AND(HOUR(B5241)&gt;=6,HOUR(B5241)&lt;18),"Day Shift","Night Shift")</f>
        <v/>
      </c>
      <c r="F5241" s="6">
        <f>INT(B5241)</f>
        <v/>
      </c>
      <c r="G5241" s="6">
        <f>INT(C5241)</f>
        <v/>
      </c>
    </row>
    <row r="5242">
      <c r="A5242" s="7" t="inlineStr">
        <is>
          <t>EXD409</t>
        </is>
      </c>
      <c r="B5242" s="8" t="n">
        <v>46112.75</v>
      </c>
      <c r="C5242" s="8" t="n">
        <v>46113.25</v>
      </c>
      <c r="D5242" s="9">
        <f>(C5242-B5242)*24</f>
        <v/>
      </c>
      <c r="E5242" s="10">
        <f>IF(AND(HOUR(B5242)&gt;=6,HOUR(B5242)&lt;18),"Day Shift","Night Shift")</f>
        <v/>
      </c>
      <c r="F5242" s="11">
        <f>INT(B5242)</f>
        <v/>
      </c>
      <c r="G5242" s="11">
        <f>INT(C5242)</f>
        <v/>
      </c>
    </row>
    <row r="5243">
      <c r="A5243" s="2" t="inlineStr">
        <is>
          <t>EXD409</t>
        </is>
      </c>
      <c r="B5243" s="3" t="n">
        <v>46113.25</v>
      </c>
      <c r="C5243" s="3" t="n">
        <v>46113.75</v>
      </c>
      <c r="D5243" s="4">
        <f>(C5243-B5243)*24</f>
        <v/>
      </c>
      <c r="E5243" s="5">
        <f>IF(AND(HOUR(B5243)&gt;=6,HOUR(B5243)&lt;18),"Day Shift","Night Shift")</f>
        <v/>
      </c>
      <c r="F5243" s="6">
        <f>INT(B5243)</f>
        <v/>
      </c>
      <c r="G5243" s="6">
        <f>INT(C5243)</f>
        <v/>
      </c>
    </row>
    <row r="5244">
      <c r="A5244" s="7" t="inlineStr">
        <is>
          <t>EXD409</t>
        </is>
      </c>
      <c r="B5244" s="8" t="n">
        <v>46113.75</v>
      </c>
      <c r="C5244" s="8" t="n">
        <v>46114.25</v>
      </c>
      <c r="D5244" s="9">
        <f>(C5244-B5244)*24</f>
        <v/>
      </c>
      <c r="E5244" s="10">
        <f>IF(AND(HOUR(B5244)&gt;=6,HOUR(B5244)&lt;18),"Day Shift","Night Shift")</f>
        <v/>
      </c>
      <c r="F5244" s="11">
        <f>INT(B5244)</f>
        <v/>
      </c>
      <c r="G5244" s="11">
        <f>INT(C5244)</f>
        <v/>
      </c>
    </row>
    <row r="5245">
      <c r="A5245" s="2" t="inlineStr">
        <is>
          <t>EXD409</t>
        </is>
      </c>
      <c r="B5245" s="3" t="n">
        <v>46114.25</v>
      </c>
      <c r="C5245" s="3" t="n">
        <v>46114.75</v>
      </c>
      <c r="D5245" s="4">
        <f>(C5245-B5245)*24</f>
        <v/>
      </c>
      <c r="E5245" s="5">
        <f>IF(AND(HOUR(B5245)&gt;=6,HOUR(B5245)&lt;18),"Day Shift","Night Shift")</f>
        <v/>
      </c>
      <c r="F5245" s="6">
        <f>INT(B5245)</f>
        <v/>
      </c>
      <c r="G5245" s="6">
        <f>INT(C5245)</f>
        <v/>
      </c>
    </row>
    <row r="5246">
      <c r="A5246" s="7" t="inlineStr">
        <is>
          <t>EXD409</t>
        </is>
      </c>
      <c r="B5246" s="8" t="n">
        <v>46114.75</v>
      </c>
      <c r="C5246" s="8" t="n">
        <v>46115.25</v>
      </c>
      <c r="D5246" s="9">
        <f>(C5246-B5246)*24</f>
        <v/>
      </c>
      <c r="E5246" s="10">
        <f>IF(AND(HOUR(B5246)&gt;=6,HOUR(B5246)&lt;18),"Day Shift","Night Shift")</f>
        <v/>
      </c>
      <c r="F5246" s="11">
        <f>INT(B5246)</f>
        <v/>
      </c>
      <c r="G5246" s="11">
        <f>INT(C5246)</f>
        <v/>
      </c>
    </row>
    <row r="5247">
      <c r="A5247" s="2" t="inlineStr">
        <is>
          <t>EXD409</t>
        </is>
      </c>
      <c r="B5247" s="3" t="n">
        <v>46115.25</v>
      </c>
      <c r="C5247" s="3" t="n">
        <v>46115.75</v>
      </c>
      <c r="D5247" s="4">
        <f>(C5247-B5247)*24</f>
        <v/>
      </c>
      <c r="E5247" s="5">
        <f>IF(AND(HOUR(B5247)&gt;=6,HOUR(B5247)&lt;18),"Day Shift","Night Shift")</f>
        <v/>
      </c>
      <c r="F5247" s="6">
        <f>INT(B5247)</f>
        <v/>
      </c>
      <c r="G5247" s="6">
        <f>INT(C5247)</f>
        <v/>
      </c>
    </row>
    <row r="5248">
      <c r="A5248" s="7" t="inlineStr">
        <is>
          <t>EXD409</t>
        </is>
      </c>
      <c r="B5248" s="8" t="n">
        <v>46115.75</v>
      </c>
      <c r="C5248" s="8" t="n">
        <v>46116.25</v>
      </c>
      <c r="D5248" s="9">
        <f>(C5248-B5248)*24</f>
        <v/>
      </c>
      <c r="E5248" s="10">
        <f>IF(AND(HOUR(B5248)&gt;=6,HOUR(B5248)&lt;18),"Day Shift","Night Shift")</f>
        <v/>
      </c>
      <c r="F5248" s="11">
        <f>INT(B5248)</f>
        <v/>
      </c>
      <c r="G5248" s="11">
        <f>INT(C5248)</f>
        <v/>
      </c>
    </row>
    <row r="5249">
      <c r="A5249" s="2" t="inlineStr">
        <is>
          <t>EXD409</t>
        </is>
      </c>
      <c r="B5249" s="3" t="n">
        <v>46116.25</v>
      </c>
      <c r="C5249" s="3" t="n">
        <v>46116.75</v>
      </c>
      <c r="D5249" s="4">
        <f>(C5249-B5249)*24</f>
        <v/>
      </c>
      <c r="E5249" s="5">
        <f>IF(AND(HOUR(B5249)&gt;=6,HOUR(B5249)&lt;18),"Day Shift","Night Shift")</f>
        <v/>
      </c>
      <c r="F5249" s="6">
        <f>INT(B5249)</f>
        <v/>
      </c>
      <c r="G5249" s="6">
        <f>INT(C5249)</f>
        <v/>
      </c>
    </row>
    <row r="5250">
      <c r="A5250" s="7" t="inlineStr">
        <is>
          <t>EXD409</t>
        </is>
      </c>
      <c r="B5250" s="8" t="n">
        <v>46116.75</v>
      </c>
      <c r="C5250" s="8" t="n">
        <v>46117.25</v>
      </c>
      <c r="D5250" s="9">
        <f>(C5250-B5250)*24</f>
        <v/>
      </c>
      <c r="E5250" s="10">
        <f>IF(AND(HOUR(B5250)&gt;=6,HOUR(B5250)&lt;18),"Day Shift","Night Shift")</f>
        <v/>
      </c>
      <c r="F5250" s="11">
        <f>INT(B5250)</f>
        <v/>
      </c>
      <c r="G5250" s="11">
        <f>INT(C5250)</f>
        <v/>
      </c>
    </row>
    <row r="5251">
      <c r="A5251" s="2" t="inlineStr">
        <is>
          <t>EXD409</t>
        </is>
      </c>
      <c r="B5251" s="3" t="n">
        <v>46117.25</v>
      </c>
      <c r="C5251" s="3" t="n">
        <v>46117.75</v>
      </c>
      <c r="D5251" s="4">
        <f>(C5251-B5251)*24</f>
        <v/>
      </c>
      <c r="E5251" s="5">
        <f>IF(AND(HOUR(B5251)&gt;=6,HOUR(B5251)&lt;18),"Day Shift","Night Shift")</f>
        <v/>
      </c>
      <c r="F5251" s="6">
        <f>INT(B5251)</f>
        <v/>
      </c>
      <c r="G5251" s="6">
        <f>INT(C5251)</f>
        <v/>
      </c>
    </row>
    <row r="5252">
      <c r="A5252" s="7" t="inlineStr">
        <is>
          <t>EXD409</t>
        </is>
      </c>
      <c r="B5252" s="8" t="n">
        <v>46117.75</v>
      </c>
      <c r="C5252" s="8" t="n">
        <v>46118.25</v>
      </c>
      <c r="D5252" s="9">
        <f>(C5252-B5252)*24</f>
        <v/>
      </c>
      <c r="E5252" s="10">
        <f>IF(AND(HOUR(B5252)&gt;=6,HOUR(B5252)&lt;18),"Day Shift","Night Shift")</f>
        <v/>
      </c>
      <c r="F5252" s="11">
        <f>INT(B5252)</f>
        <v/>
      </c>
      <c r="G5252" s="11">
        <f>INT(C5252)</f>
        <v/>
      </c>
    </row>
    <row r="5253">
      <c r="A5253" s="2" t="inlineStr">
        <is>
          <t>EXD409</t>
        </is>
      </c>
      <c r="B5253" s="3" t="n">
        <v>46118.25</v>
      </c>
      <c r="C5253" s="3" t="n">
        <v>46118.75</v>
      </c>
      <c r="D5253" s="4">
        <f>(C5253-B5253)*24</f>
        <v/>
      </c>
      <c r="E5253" s="5">
        <f>IF(AND(HOUR(B5253)&gt;=6,HOUR(B5253)&lt;18),"Day Shift","Night Shift")</f>
        <v/>
      </c>
      <c r="F5253" s="6">
        <f>INT(B5253)</f>
        <v/>
      </c>
      <c r="G5253" s="6">
        <f>INT(C5253)</f>
        <v/>
      </c>
    </row>
    <row r="5254">
      <c r="A5254" s="7" t="inlineStr">
        <is>
          <t>EXD409</t>
        </is>
      </c>
      <c r="B5254" s="8" t="n">
        <v>46118.75</v>
      </c>
      <c r="C5254" s="8" t="n">
        <v>46119.25</v>
      </c>
      <c r="D5254" s="9">
        <f>(C5254-B5254)*24</f>
        <v/>
      </c>
      <c r="E5254" s="10">
        <f>IF(AND(HOUR(B5254)&gt;=6,HOUR(B5254)&lt;18),"Day Shift","Night Shift")</f>
        <v/>
      </c>
      <c r="F5254" s="11">
        <f>INT(B5254)</f>
        <v/>
      </c>
      <c r="G5254" s="11">
        <f>INT(C5254)</f>
        <v/>
      </c>
    </row>
    <row r="5255">
      <c r="A5255" s="2" t="inlineStr">
        <is>
          <t>EXD409</t>
        </is>
      </c>
      <c r="B5255" s="3" t="n">
        <v>46119.25</v>
      </c>
      <c r="C5255" s="3" t="n">
        <v>46119.75</v>
      </c>
      <c r="D5255" s="4">
        <f>(C5255-B5255)*24</f>
        <v/>
      </c>
      <c r="E5255" s="5">
        <f>IF(AND(HOUR(B5255)&gt;=6,HOUR(B5255)&lt;18),"Day Shift","Night Shift")</f>
        <v/>
      </c>
      <c r="F5255" s="6">
        <f>INT(B5255)</f>
        <v/>
      </c>
      <c r="G5255" s="6">
        <f>INT(C5255)</f>
        <v/>
      </c>
    </row>
    <row r="5256">
      <c r="A5256" s="7" t="inlineStr">
        <is>
          <t>EXD409</t>
        </is>
      </c>
      <c r="B5256" s="8" t="n">
        <v>46119.75</v>
      </c>
      <c r="C5256" s="8" t="n">
        <v>46120.25</v>
      </c>
      <c r="D5256" s="9">
        <f>(C5256-B5256)*24</f>
        <v/>
      </c>
      <c r="E5256" s="10">
        <f>IF(AND(HOUR(B5256)&gt;=6,HOUR(B5256)&lt;18),"Day Shift","Night Shift")</f>
        <v/>
      </c>
      <c r="F5256" s="11">
        <f>INT(B5256)</f>
        <v/>
      </c>
      <c r="G5256" s="11">
        <f>INT(C5256)</f>
        <v/>
      </c>
    </row>
    <row r="5257">
      <c r="A5257" s="2" t="inlineStr">
        <is>
          <t>EXD409</t>
        </is>
      </c>
      <c r="B5257" s="3" t="n">
        <v>46120.25</v>
      </c>
      <c r="C5257" s="3" t="n">
        <v>46120.25202546296</v>
      </c>
      <c r="D5257" s="4">
        <f>(C5257-B5257)*24</f>
        <v/>
      </c>
      <c r="E5257" s="5">
        <f>IF(AND(HOUR(B5257)&gt;=6,HOUR(B5257)&lt;18),"Day Shift","Night Shift")</f>
        <v/>
      </c>
      <c r="F5257" s="6">
        <f>INT(B5257)</f>
        <v/>
      </c>
      <c r="G5257" s="6">
        <f>INT(C5257)</f>
        <v/>
      </c>
    </row>
    <row r="5258">
      <c r="A5258" s="7" t="inlineStr">
        <is>
          <t>EXD52;LDW262</t>
        </is>
      </c>
      <c r="B5258" s="8" t="n">
        <v>46109.96309027778</v>
      </c>
      <c r="C5258" s="8" t="n">
        <v>46110.25</v>
      </c>
      <c r="D5258" s="9">
        <f>(C5258-B5258)*24</f>
        <v/>
      </c>
      <c r="E5258" s="10">
        <f>IF(AND(HOUR(B5258)&gt;=6,HOUR(B5258)&lt;18),"Day Shift","Night Shift")</f>
        <v/>
      </c>
      <c r="F5258" s="11">
        <f>INT(B5258)</f>
        <v/>
      </c>
      <c r="G5258" s="11">
        <f>INT(C5258)</f>
        <v/>
      </c>
    </row>
    <row r="5259">
      <c r="A5259" s="2" t="inlineStr">
        <is>
          <t>EXD52;LDW262</t>
        </is>
      </c>
      <c r="B5259" s="3" t="n">
        <v>46110.25</v>
      </c>
      <c r="C5259" s="3" t="n">
        <v>46110.75</v>
      </c>
      <c r="D5259" s="4">
        <f>(C5259-B5259)*24</f>
        <v/>
      </c>
      <c r="E5259" s="5">
        <f>IF(AND(HOUR(B5259)&gt;=6,HOUR(B5259)&lt;18),"Day Shift","Night Shift")</f>
        <v/>
      </c>
      <c r="F5259" s="6">
        <f>INT(B5259)</f>
        <v/>
      </c>
      <c r="G5259" s="6">
        <f>INT(C5259)</f>
        <v/>
      </c>
    </row>
    <row r="5260">
      <c r="A5260" s="7" t="inlineStr">
        <is>
          <t>EXD52;LDW262</t>
        </is>
      </c>
      <c r="B5260" s="8" t="n">
        <v>46110.75</v>
      </c>
      <c r="C5260" s="8" t="n">
        <v>46111.11520833334</v>
      </c>
      <c r="D5260" s="9">
        <f>(C5260-B5260)*24</f>
        <v/>
      </c>
      <c r="E5260" s="10">
        <f>IF(AND(HOUR(B5260)&gt;=6,HOUR(B5260)&lt;18),"Day Shift","Night Shift")</f>
        <v/>
      </c>
      <c r="F5260" s="11">
        <f>INT(B5260)</f>
        <v/>
      </c>
      <c r="G5260" s="11">
        <f>INT(C5260)</f>
        <v/>
      </c>
    </row>
    <row r="5261">
      <c r="A5261" s="7" t="inlineStr">
        <is>
          <t>SHE36</t>
        </is>
      </c>
      <c r="B5261" s="8" t="n">
        <v>46110.06071759259</v>
      </c>
      <c r="C5261" s="8" t="n">
        <v>46110.25</v>
      </c>
      <c r="D5261" s="9">
        <f>(C5261-B5261)*24</f>
        <v/>
      </c>
      <c r="E5261" s="10">
        <f>IF(AND(HOUR(B5261)&gt;=6,HOUR(B5261)&lt;18),"Day Shift","Night Shift")</f>
        <v/>
      </c>
      <c r="F5261" s="11">
        <f>INT(B5261)</f>
        <v/>
      </c>
      <c r="G5261" s="11">
        <f>INT(C5261)</f>
        <v/>
      </c>
    </row>
    <row r="5262">
      <c r="A5262" s="2" t="inlineStr">
        <is>
          <t>SHE36</t>
        </is>
      </c>
      <c r="B5262" s="3" t="n">
        <v>46110.25</v>
      </c>
      <c r="C5262" s="3" t="n">
        <v>46110.75</v>
      </c>
      <c r="D5262" s="4">
        <f>(C5262-B5262)*24</f>
        <v/>
      </c>
      <c r="E5262" s="5">
        <f>IF(AND(HOUR(B5262)&gt;=6,HOUR(B5262)&lt;18),"Day Shift","Night Shift")</f>
        <v/>
      </c>
      <c r="F5262" s="6">
        <f>INT(B5262)</f>
        <v/>
      </c>
      <c r="G5262" s="6">
        <f>INT(C5262)</f>
        <v/>
      </c>
    </row>
    <row r="5263">
      <c r="A5263" s="7" t="inlineStr">
        <is>
          <t>SHE36</t>
        </is>
      </c>
      <c r="B5263" s="8" t="n">
        <v>46110.75</v>
      </c>
      <c r="C5263" s="8" t="n">
        <v>46111.25</v>
      </c>
      <c r="D5263" s="9">
        <f>(C5263-B5263)*24</f>
        <v/>
      </c>
      <c r="E5263" s="10">
        <f>IF(AND(HOUR(B5263)&gt;=6,HOUR(B5263)&lt;18),"Day Shift","Night Shift")</f>
        <v/>
      </c>
      <c r="F5263" s="11">
        <f>INT(B5263)</f>
        <v/>
      </c>
      <c r="G5263" s="11">
        <f>INT(C5263)</f>
        <v/>
      </c>
    </row>
    <row r="5264">
      <c r="A5264" s="2" t="inlineStr">
        <is>
          <t>SHE36</t>
        </is>
      </c>
      <c r="B5264" s="3" t="n">
        <v>46111.25</v>
      </c>
      <c r="C5264" s="3" t="n">
        <v>46111.49630787037</v>
      </c>
      <c r="D5264" s="4">
        <f>(C5264-B5264)*24</f>
        <v/>
      </c>
      <c r="E5264" s="5">
        <f>IF(AND(HOUR(B5264)&gt;=6,HOUR(B5264)&lt;18),"Day Shift","Night Shift")</f>
        <v/>
      </c>
      <c r="F5264" s="6">
        <f>INT(B5264)</f>
        <v/>
      </c>
      <c r="G5264" s="6">
        <f>INT(C5264)</f>
        <v/>
      </c>
    </row>
    <row r="5265">
      <c r="A5265" s="7" t="inlineStr">
        <is>
          <t>LDW265</t>
        </is>
      </c>
      <c r="B5265" s="8" t="n">
        <v>46110.12361111111</v>
      </c>
      <c r="C5265" s="8" t="n">
        <v>46110.25</v>
      </c>
      <c r="D5265" s="9">
        <f>(C5265-B5265)*24</f>
        <v/>
      </c>
      <c r="E5265" s="10">
        <f>IF(AND(HOUR(B5265)&gt;=6,HOUR(B5265)&lt;18),"Day Shift","Night Shift")</f>
        <v/>
      </c>
      <c r="F5265" s="11">
        <f>INT(B5265)</f>
        <v/>
      </c>
      <c r="G5265" s="11">
        <f>INT(C5265)</f>
        <v/>
      </c>
    </row>
    <row r="5266">
      <c r="A5266" s="2" t="inlineStr">
        <is>
          <t>LDW265</t>
        </is>
      </c>
      <c r="B5266" s="3" t="n">
        <v>46110.25</v>
      </c>
      <c r="C5266" s="3" t="n">
        <v>46110.75</v>
      </c>
      <c r="D5266" s="4">
        <f>(C5266-B5266)*24</f>
        <v/>
      </c>
      <c r="E5266" s="5">
        <f>IF(AND(HOUR(B5266)&gt;=6,HOUR(B5266)&lt;18),"Day Shift","Night Shift")</f>
        <v/>
      </c>
      <c r="F5266" s="6">
        <f>INT(B5266)</f>
        <v/>
      </c>
      <c r="G5266" s="6">
        <f>INT(C5266)</f>
        <v/>
      </c>
    </row>
    <row r="5267">
      <c r="A5267" s="7" t="inlineStr">
        <is>
          <t>LDW265</t>
        </is>
      </c>
      <c r="B5267" s="8" t="n">
        <v>46110.75</v>
      </c>
      <c r="C5267" s="8" t="n">
        <v>46111.25</v>
      </c>
      <c r="D5267" s="9">
        <f>(C5267-B5267)*24</f>
        <v/>
      </c>
      <c r="E5267" s="10">
        <f>IF(AND(HOUR(B5267)&gt;=6,HOUR(B5267)&lt;18),"Day Shift","Night Shift")</f>
        <v/>
      </c>
      <c r="F5267" s="11">
        <f>INT(B5267)</f>
        <v/>
      </c>
      <c r="G5267" s="11">
        <f>INT(C5267)</f>
        <v/>
      </c>
    </row>
    <row r="5268">
      <c r="A5268" s="2" t="inlineStr">
        <is>
          <t>LDW265</t>
        </is>
      </c>
      <c r="B5268" s="3" t="n">
        <v>46111.25</v>
      </c>
      <c r="C5268" s="3" t="n">
        <v>46111.75</v>
      </c>
      <c r="D5268" s="4">
        <f>(C5268-B5268)*24</f>
        <v/>
      </c>
      <c r="E5268" s="5">
        <f>IF(AND(HOUR(B5268)&gt;=6,HOUR(B5268)&lt;18),"Day Shift","Night Shift")</f>
        <v/>
      </c>
      <c r="F5268" s="6">
        <f>INT(B5268)</f>
        <v/>
      </c>
      <c r="G5268" s="6">
        <f>INT(C5268)</f>
        <v/>
      </c>
    </row>
    <row r="5269">
      <c r="A5269" s="7" t="inlineStr">
        <is>
          <t>LDW265</t>
        </is>
      </c>
      <c r="B5269" s="8" t="n">
        <v>46111.75</v>
      </c>
      <c r="C5269" s="8" t="n">
        <v>46112.25</v>
      </c>
      <c r="D5269" s="9">
        <f>(C5269-B5269)*24</f>
        <v/>
      </c>
      <c r="E5269" s="10">
        <f>IF(AND(HOUR(B5269)&gt;=6,HOUR(B5269)&lt;18),"Day Shift","Night Shift")</f>
        <v/>
      </c>
      <c r="F5269" s="11">
        <f>INT(B5269)</f>
        <v/>
      </c>
      <c r="G5269" s="11">
        <f>INT(C5269)</f>
        <v/>
      </c>
    </row>
    <row r="5270">
      <c r="A5270" s="2" t="inlineStr">
        <is>
          <t>LDW265</t>
        </is>
      </c>
      <c r="B5270" s="3" t="n">
        <v>46112.25</v>
      </c>
      <c r="C5270" s="3" t="n">
        <v>46112.75</v>
      </c>
      <c r="D5270" s="4">
        <f>(C5270-B5270)*24</f>
        <v/>
      </c>
      <c r="E5270" s="5">
        <f>IF(AND(HOUR(B5270)&gt;=6,HOUR(B5270)&lt;18),"Day Shift","Night Shift")</f>
        <v/>
      </c>
      <c r="F5270" s="6">
        <f>INT(B5270)</f>
        <v/>
      </c>
      <c r="G5270" s="6">
        <f>INT(C5270)</f>
        <v/>
      </c>
    </row>
    <row r="5271">
      <c r="A5271" s="7" t="inlineStr">
        <is>
          <t>LDW265</t>
        </is>
      </c>
      <c r="B5271" s="8" t="n">
        <v>46112.75</v>
      </c>
      <c r="C5271" s="8" t="n">
        <v>46113.25</v>
      </c>
      <c r="D5271" s="9">
        <f>(C5271-B5271)*24</f>
        <v/>
      </c>
      <c r="E5271" s="10">
        <f>IF(AND(HOUR(B5271)&gt;=6,HOUR(B5271)&lt;18),"Day Shift","Night Shift")</f>
        <v/>
      </c>
      <c r="F5271" s="11">
        <f>INT(B5271)</f>
        <v/>
      </c>
      <c r="G5271" s="11">
        <f>INT(C5271)</f>
        <v/>
      </c>
    </row>
    <row r="5272">
      <c r="A5272" s="2" t="inlineStr">
        <is>
          <t>LDW265</t>
        </is>
      </c>
      <c r="B5272" s="3" t="n">
        <v>46113.25</v>
      </c>
      <c r="C5272" s="3" t="n">
        <v>46113.75</v>
      </c>
      <c r="D5272" s="4">
        <f>(C5272-B5272)*24</f>
        <v/>
      </c>
      <c r="E5272" s="5">
        <f>IF(AND(HOUR(B5272)&gt;=6,HOUR(B5272)&lt;18),"Day Shift","Night Shift")</f>
        <v/>
      </c>
      <c r="F5272" s="6">
        <f>INT(B5272)</f>
        <v/>
      </c>
      <c r="G5272" s="6">
        <f>INT(C5272)</f>
        <v/>
      </c>
    </row>
    <row r="5273">
      <c r="A5273" s="7" t="inlineStr">
        <is>
          <t>LDW265</t>
        </is>
      </c>
      <c r="B5273" s="8" t="n">
        <v>46113.75</v>
      </c>
      <c r="C5273" s="8" t="n">
        <v>46114.25</v>
      </c>
      <c r="D5273" s="9">
        <f>(C5273-B5273)*24</f>
        <v/>
      </c>
      <c r="E5273" s="10">
        <f>IF(AND(HOUR(B5273)&gt;=6,HOUR(B5273)&lt;18),"Day Shift","Night Shift")</f>
        <v/>
      </c>
      <c r="F5273" s="11">
        <f>INT(B5273)</f>
        <v/>
      </c>
      <c r="G5273" s="11">
        <f>INT(C5273)</f>
        <v/>
      </c>
    </row>
    <row r="5274">
      <c r="A5274" s="2" t="inlineStr">
        <is>
          <t>LDW265</t>
        </is>
      </c>
      <c r="B5274" s="3" t="n">
        <v>46114.25</v>
      </c>
      <c r="C5274" s="3" t="n">
        <v>46114.75</v>
      </c>
      <c r="D5274" s="4">
        <f>(C5274-B5274)*24</f>
        <v/>
      </c>
      <c r="E5274" s="5">
        <f>IF(AND(HOUR(B5274)&gt;=6,HOUR(B5274)&lt;18),"Day Shift","Night Shift")</f>
        <v/>
      </c>
      <c r="F5274" s="6">
        <f>INT(B5274)</f>
        <v/>
      </c>
      <c r="G5274" s="6">
        <f>INT(C5274)</f>
        <v/>
      </c>
    </row>
    <row r="5275">
      <c r="A5275" s="7" t="inlineStr">
        <is>
          <t>LDW265</t>
        </is>
      </c>
      <c r="B5275" s="8" t="n">
        <v>46114.75</v>
      </c>
      <c r="C5275" s="8" t="n">
        <v>46115.25</v>
      </c>
      <c r="D5275" s="9">
        <f>(C5275-B5275)*24</f>
        <v/>
      </c>
      <c r="E5275" s="10">
        <f>IF(AND(HOUR(B5275)&gt;=6,HOUR(B5275)&lt;18),"Day Shift","Night Shift")</f>
        <v/>
      </c>
      <c r="F5275" s="11">
        <f>INT(B5275)</f>
        <v/>
      </c>
      <c r="G5275" s="11">
        <f>INT(C5275)</f>
        <v/>
      </c>
    </row>
    <row r="5276">
      <c r="A5276" s="2" t="inlineStr">
        <is>
          <t>LDW265</t>
        </is>
      </c>
      <c r="B5276" s="3" t="n">
        <v>46115.25</v>
      </c>
      <c r="C5276" s="3" t="n">
        <v>46115.75</v>
      </c>
      <c r="D5276" s="4">
        <f>(C5276-B5276)*24</f>
        <v/>
      </c>
      <c r="E5276" s="5">
        <f>IF(AND(HOUR(B5276)&gt;=6,HOUR(B5276)&lt;18),"Day Shift","Night Shift")</f>
        <v/>
      </c>
      <c r="F5276" s="6">
        <f>INT(B5276)</f>
        <v/>
      </c>
      <c r="G5276" s="6">
        <f>INT(C5276)</f>
        <v/>
      </c>
    </row>
    <row r="5277">
      <c r="A5277" s="7" t="inlineStr">
        <is>
          <t>LDW265</t>
        </is>
      </c>
      <c r="B5277" s="8" t="n">
        <v>46115.75</v>
      </c>
      <c r="C5277" s="8" t="n">
        <v>46116.25</v>
      </c>
      <c r="D5277" s="9">
        <f>(C5277-B5277)*24</f>
        <v/>
      </c>
      <c r="E5277" s="10">
        <f>IF(AND(HOUR(B5277)&gt;=6,HOUR(B5277)&lt;18),"Day Shift","Night Shift")</f>
        <v/>
      </c>
      <c r="F5277" s="11">
        <f>INT(B5277)</f>
        <v/>
      </c>
      <c r="G5277" s="11">
        <f>INT(C5277)</f>
        <v/>
      </c>
    </row>
    <row r="5278">
      <c r="A5278" s="2" t="inlineStr">
        <is>
          <t>LDW265</t>
        </is>
      </c>
      <c r="B5278" s="3" t="n">
        <v>46116.25</v>
      </c>
      <c r="C5278" s="3" t="n">
        <v>46116.75</v>
      </c>
      <c r="D5278" s="4">
        <f>(C5278-B5278)*24</f>
        <v/>
      </c>
      <c r="E5278" s="5">
        <f>IF(AND(HOUR(B5278)&gt;=6,HOUR(B5278)&lt;18),"Day Shift","Night Shift")</f>
        <v/>
      </c>
      <c r="F5278" s="6">
        <f>INT(B5278)</f>
        <v/>
      </c>
      <c r="G5278" s="6">
        <f>INT(C5278)</f>
        <v/>
      </c>
    </row>
    <row r="5279">
      <c r="A5279" s="7" t="inlineStr">
        <is>
          <t>LDW265</t>
        </is>
      </c>
      <c r="B5279" s="8" t="n">
        <v>46116.75</v>
      </c>
      <c r="C5279" s="8" t="n">
        <v>46116.88288194445</v>
      </c>
      <c r="D5279" s="9">
        <f>(C5279-B5279)*24</f>
        <v/>
      </c>
      <c r="E5279" s="10">
        <f>IF(AND(HOUR(B5279)&gt;=6,HOUR(B5279)&lt;18),"Day Shift","Night Shift")</f>
        <v/>
      </c>
      <c r="F5279" s="11">
        <f>INT(B5279)</f>
        <v/>
      </c>
      <c r="G5279" s="11">
        <f>INT(C5279)</f>
        <v/>
      </c>
    </row>
    <row r="5280">
      <c r="A5280" s="7" t="inlineStr">
        <is>
          <t>EXD101</t>
        </is>
      </c>
      <c r="B5280" s="8" t="n">
        <v>46110.13724537037</v>
      </c>
      <c r="C5280" s="8" t="n">
        <v>46110.25</v>
      </c>
      <c r="D5280" s="9">
        <f>(C5280-B5280)*24</f>
        <v/>
      </c>
      <c r="E5280" s="10">
        <f>IF(AND(HOUR(B5280)&gt;=6,HOUR(B5280)&lt;18),"Day Shift","Night Shift")</f>
        <v/>
      </c>
      <c r="F5280" s="11">
        <f>INT(B5280)</f>
        <v/>
      </c>
      <c r="G5280" s="11">
        <f>INT(C5280)</f>
        <v/>
      </c>
    </row>
    <row r="5281">
      <c r="A5281" s="2" t="inlineStr">
        <is>
          <t>EXD101</t>
        </is>
      </c>
      <c r="B5281" s="3" t="n">
        <v>46110.25</v>
      </c>
      <c r="C5281" s="3" t="n">
        <v>46110.73298611111</v>
      </c>
      <c r="D5281" s="4">
        <f>(C5281-B5281)*24</f>
        <v/>
      </c>
      <c r="E5281" s="5">
        <f>IF(AND(HOUR(B5281)&gt;=6,HOUR(B5281)&lt;18),"Day Shift","Night Shift")</f>
        <v/>
      </c>
      <c r="F5281" s="6">
        <f>INT(B5281)</f>
        <v/>
      </c>
      <c r="G5281" s="6">
        <f>INT(C5281)</f>
        <v/>
      </c>
    </row>
    <row r="5282">
      <c r="A5282" s="7" t="inlineStr">
        <is>
          <t>EXD56</t>
        </is>
      </c>
      <c r="B5282" s="8" t="n">
        <v>46110.15469907408</v>
      </c>
      <c r="C5282" s="8" t="n">
        <v>46110.25</v>
      </c>
      <c r="D5282" s="9">
        <f>(C5282-B5282)*24</f>
        <v/>
      </c>
      <c r="E5282" s="10">
        <f>IF(AND(HOUR(B5282)&gt;=6,HOUR(B5282)&lt;18),"Day Shift","Night Shift")</f>
        <v/>
      </c>
      <c r="F5282" s="11">
        <f>INT(B5282)</f>
        <v/>
      </c>
      <c r="G5282" s="11">
        <f>INT(C5282)</f>
        <v/>
      </c>
    </row>
    <row r="5283">
      <c r="A5283" s="2" t="inlineStr">
        <is>
          <t>EXD56</t>
        </is>
      </c>
      <c r="B5283" s="3" t="n">
        <v>46110.25</v>
      </c>
      <c r="C5283" s="3" t="n">
        <v>46110.75</v>
      </c>
      <c r="D5283" s="4">
        <f>(C5283-B5283)*24</f>
        <v/>
      </c>
      <c r="E5283" s="5">
        <f>IF(AND(HOUR(B5283)&gt;=6,HOUR(B5283)&lt;18),"Day Shift","Night Shift")</f>
        <v/>
      </c>
      <c r="F5283" s="6">
        <f>INT(B5283)</f>
        <v/>
      </c>
      <c r="G5283" s="6">
        <f>INT(C5283)</f>
        <v/>
      </c>
    </row>
    <row r="5284">
      <c r="A5284" s="7" t="inlineStr">
        <is>
          <t>EXD56</t>
        </is>
      </c>
      <c r="B5284" s="8" t="n">
        <v>46110.75</v>
      </c>
      <c r="C5284" s="8" t="n">
        <v>46111.25</v>
      </c>
      <c r="D5284" s="9">
        <f>(C5284-B5284)*24</f>
        <v/>
      </c>
      <c r="E5284" s="10">
        <f>IF(AND(HOUR(B5284)&gt;=6,HOUR(B5284)&lt;18),"Day Shift","Night Shift")</f>
        <v/>
      </c>
      <c r="F5284" s="11">
        <f>INT(B5284)</f>
        <v/>
      </c>
      <c r="G5284" s="11">
        <f>INT(C5284)</f>
        <v/>
      </c>
    </row>
    <row r="5285">
      <c r="A5285" s="2" t="inlineStr">
        <is>
          <t>EXD56</t>
        </is>
      </c>
      <c r="B5285" s="3" t="n">
        <v>46111.25</v>
      </c>
      <c r="C5285" s="3" t="n">
        <v>46111.75</v>
      </c>
      <c r="D5285" s="4">
        <f>(C5285-B5285)*24</f>
        <v/>
      </c>
      <c r="E5285" s="5">
        <f>IF(AND(HOUR(B5285)&gt;=6,HOUR(B5285)&lt;18),"Day Shift","Night Shift")</f>
        <v/>
      </c>
      <c r="F5285" s="6">
        <f>INT(B5285)</f>
        <v/>
      </c>
      <c r="G5285" s="6">
        <f>INT(C5285)</f>
        <v/>
      </c>
    </row>
    <row r="5286">
      <c r="A5286" s="7" t="inlineStr">
        <is>
          <t>EXD56</t>
        </is>
      </c>
      <c r="B5286" s="8" t="n">
        <v>46111.75</v>
      </c>
      <c r="C5286" s="8" t="n">
        <v>46112.25</v>
      </c>
      <c r="D5286" s="9">
        <f>(C5286-B5286)*24</f>
        <v/>
      </c>
      <c r="E5286" s="10">
        <f>IF(AND(HOUR(B5286)&gt;=6,HOUR(B5286)&lt;18),"Day Shift","Night Shift")</f>
        <v/>
      </c>
      <c r="F5286" s="11">
        <f>INT(B5286)</f>
        <v/>
      </c>
      <c r="G5286" s="11">
        <f>INT(C5286)</f>
        <v/>
      </c>
    </row>
    <row r="5287">
      <c r="A5287" s="2" t="inlineStr">
        <is>
          <t>EXD56</t>
        </is>
      </c>
      <c r="B5287" s="3" t="n">
        <v>46112.25</v>
      </c>
      <c r="C5287" s="3" t="n">
        <v>46112.75</v>
      </c>
      <c r="D5287" s="4">
        <f>(C5287-B5287)*24</f>
        <v/>
      </c>
      <c r="E5287" s="5">
        <f>IF(AND(HOUR(B5287)&gt;=6,HOUR(B5287)&lt;18),"Day Shift","Night Shift")</f>
        <v/>
      </c>
      <c r="F5287" s="6">
        <f>INT(B5287)</f>
        <v/>
      </c>
      <c r="G5287" s="6">
        <f>INT(C5287)</f>
        <v/>
      </c>
    </row>
    <row r="5288">
      <c r="A5288" s="7" t="inlineStr">
        <is>
          <t>EXD56</t>
        </is>
      </c>
      <c r="B5288" s="8" t="n">
        <v>46112.75</v>
      </c>
      <c r="C5288" s="8" t="n">
        <v>46113.15174768519</v>
      </c>
      <c r="D5288" s="9">
        <f>(C5288-B5288)*24</f>
        <v/>
      </c>
      <c r="E5288" s="10">
        <f>IF(AND(HOUR(B5288)&gt;=6,HOUR(B5288)&lt;18),"Day Shift","Night Shift")</f>
        <v/>
      </c>
      <c r="F5288" s="11">
        <f>INT(B5288)</f>
        <v/>
      </c>
      <c r="G5288" s="11">
        <f>INT(C5288)</f>
        <v/>
      </c>
    </row>
    <row r="5289">
      <c r="A5289" s="7" t="inlineStr">
        <is>
          <t>DRE12</t>
        </is>
      </c>
      <c r="B5289" s="8" t="n">
        <v>46110.22248842593</v>
      </c>
      <c r="C5289" s="8" t="n">
        <v>46110.25</v>
      </c>
      <c r="D5289" s="9">
        <f>(C5289-B5289)*24</f>
        <v/>
      </c>
      <c r="E5289" s="10">
        <f>IF(AND(HOUR(B5289)&gt;=6,HOUR(B5289)&lt;18),"Day Shift","Night Shift")</f>
        <v/>
      </c>
      <c r="F5289" s="11">
        <f>INT(B5289)</f>
        <v/>
      </c>
      <c r="G5289" s="11">
        <f>INT(C5289)</f>
        <v/>
      </c>
    </row>
    <row r="5290">
      <c r="A5290" s="2" t="inlineStr">
        <is>
          <t>DRE12</t>
        </is>
      </c>
      <c r="B5290" s="3" t="n">
        <v>46110.25</v>
      </c>
      <c r="C5290" s="3" t="n">
        <v>46110.75</v>
      </c>
      <c r="D5290" s="4">
        <f>(C5290-B5290)*24</f>
        <v/>
      </c>
      <c r="E5290" s="5">
        <f>IF(AND(HOUR(B5290)&gt;=6,HOUR(B5290)&lt;18),"Day Shift","Night Shift")</f>
        <v/>
      </c>
      <c r="F5290" s="6">
        <f>INT(B5290)</f>
        <v/>
      </c>
      <c r="G5290" s="6">
        <f>INT(C5290)</f>
        <v/>
      </c>
    </row>
    <row r="5291">
      <c r="A5291" s="7" t="inlineStr">
        <is>
          <t>DRE12</t>
        </is>
      </c>
      <c r="B5291" s="8" t="n">
        <v>46110.75</v>
      </c>
      <c r="C5291" s="8" t="n">
        <v>46111.25</v>
      </c>
      <c r="D5291" s="9">
        <f>(C5291-B5291)*24</f>
        <v/>
      </c>
      <c r="E5291" s="10">
        <f>IF(AND(HOUR(B5291)&gt;=6,HOUR(B5291)&lt;18),"Day Shift","Night Shift")</f>
        <v/>
      </c>
      <c r="F5291" s="11">
        <f>INT(B5291)</f>
        <v/>
      </c>
      <c r="G5291" s="11">
        <f>INT(C5291)</f>
        <v/>
      </c>
    </row>
    <row r="5292">
      <c r="A5292" s="2" t="inlineStr">
        <is>
          <t>DRE12</t>
        </is>
      </c>
      <c r="B5292" s="3" t="n">
        <v>46111.25</v>
      </c>
      <c r="C5292" s="3" t="n">
        <v>46111.75</v>
      </c>
      <c r="D5292" s="4">
        <f>(C5292-B5292)*24</f>
        <v/>
      </c>
      <c r="E5292" s="5">
        <f>IF(AND(HOUR(B5292)&gt;=6,HOUR(B5292)&lt;18),"Day Shift","Night Shift")</f>
        <v/>
      </c>
      <c r="F5292" s="6">
        <f>INT(B5292)</f>
        <v/>
      </c>
      <c r="G5292" s="6">
        <f>INT(C5292)</f>
        <v/>
      </c>
    </row>
    <row r="5293">
      <c r="A5293" s="7" t="inlineStr">
        <is>
          <t>DRE12</t>
        </is>
      </c>
      <c r="B5293" s="8" t="n">
        <v>46111.75</v>
      </c>
      <c r="C5293" s="8" t="n">
        <v>46112.25</v>
      </c>
      <c r="D5293" s="9">
        <f>(C5293-B5293)*24</f>
        <v/>
      </c>
      <c r="E5293" s="10">
        <f>IF(AND(HOUR(B5293)&gt;=6,HOUR(B5293)&lt;18),"Day Shift","Night Shift")</f>
        <v/>
      </c>
      <c r="F5293" s="11">
        <f>INT(B5293)</f>
        <v/>
      </c>
      <c r="G5293" s="11">
        <f>INT(C5293)</f>
        <v/>
      </c>
    </row>
    <row r="5294">
      <c r="A5294" s="2" t="inlineStr">
        <is>
          <t>DRE12</t>
        </is>
      </c>
      <c r="B5294" s="3" t="n">
        <v>46112.25</v>
      </c>
      <c r="C5294" s="3" t="n">
        <v>46112.74280092592</v>
      </c>
      <c r="D5294" s="4">
        <f>(C5294-B5294)*24</f>
        <v/>
      </c>
      <c r="E5294" s="5">
        <f>IF(AND(HOUR(B5294)&gt;=6,HOUR(B5294)&lt;18),"Day Shift","Night Shift")</f>
        <v/>
      </c>
      <c r="F5294" s="6">
        <f>INT(B5294)</f>
        <v/>
      </c>
      <c r="G5294" s="6">
        <f>INT(C5294)</f>
        <v/>
      </c>
    </row>
    <row r="5295">
      <c r="A5295" s="2" t="inlineStr">
        <is>
          <t>EXD100</t>
        </is>
      </c>
      <c r="B5295" s="3" t="n">
        <v>46110.31839120371</v>
      </c>
      <c r="C5295" s="3" t="n">
        <v>46110.75</v>
      </c>
      <c r="D5295" s="4">
        <f>(C5295-B5295)*24</f>
        <v/>
      </c>
      <c r="E5295" s="5">
        <f>IF(AND(HOUR(B5295)&gt;=6,HOUR(B5295)&lt;18),"Day Shift","Night Shift")</f>
        <v/>
      </c>
      <c r="F5295" s="6">
        <f>INT(B5295)</f>
        <v/>
      </c>
      <c r="G5295" s="6">
        <f>INT(C5295)</f>
        <v/>
      </c>
    </row>
    <row r="5296">
      <c r="A5296" s="7" t="inlineStr">
        <is>
          <t>EXD100</t>
        </is>
      </c>
      <c r="B5296" s="8" t="n">
        <v>46110.75</v>
      </c>
      <c r="C5296" s="8" t="n">
        <v>46111.25</v>
      </c>
      <c r="D5296" s="9">
        <f>(C5296-B5296)*24</f>
        <v/>
      </c>
      <c r="E5296" s="10">
        <f>IF(AND(HOUR(B5296)&gt;=6,HOUR(B5296)&lt;18),"Day Shift","Night Shift")</f>
        <v/>
      </c>
      <c r="F5296" s="11">
        <f>INT(B5296)</f>
        <v/>
      </c>
      <c r="G5296" s="11">
        <f>INT(C5296)</f>
        <v/>
      </c>
    </row>
    <row r="5297">
      <c r="A5297" s="2" t="inlineStr">
        <is>
          <t>EXD100</t>
        </is>
      </c>
      <c r="B5297" s="3" t="n">
        <v>46111.25</v>
      </c>
      <c r="C5297" s="3" t="n">
        <v>46111.48484953704</v>
      </c>
      <c r="D5297" s="4">
        <f>(C5297-B5297)*24</f>
        <v/>
      </c>
      <c r="E5297" s="5">
        <f>IF(AND(HOUR(B5297)&gt;=6,HOUR(B5297)&lt;18),"Day Shift","Night Shift")</f>
        <v/>
      </c>
      <c r="F5297" s="6">
        <f>INT(B5297)</f>
        <v/>
      </c>
      <c r="G5297" s="6">
        <f>INT(C5297)</f>
        <v/>
      </c>
    </row>
    <row r="5298">
      <c r="A5298" s="2" t="inlineStr">
        <is>
          <t>Sprint 1</t>
        </is>
      </c>
      <c r="B5298" s="3" t="n">
        <v>46110.3720949074</v>
      </c>
      <c r="C5298" s="3" t="n">
        <v>46110.75</v>
      </c>
      <c r="D5298" s="4">
        <f>(C5298-B5298)*24</f>
        <v/>
      </c>
      <c r="E5298" s="5">
        <f>IF(AND(HOUR(B5298)&gt;=6,HOUR(B5298)&lt;18),"Day Shift","Night Shift")</f>
        <v/>
      </c>
      <c r="F5298" s="6">
        <f>INT(B5298)</f>
        <v/>
      </c>
      <c r="G5298" s="6">
        <f>INT(C5298)</f>
        <v/>
      </c>
    </row>
    <row r="5299">
      <c r="A5299" s="7" t="inlineStr">
        <is>
          <t>Sprint 1</t>
        </is>
      </c>
      <c r="B5299" s="8" t="n">
        <v>46110.75</v>
      </c>
      <c r="C5299" s="8" t="n">
        <v>46111.19886574074</v>
      </c>
      <c r="D5299" s="9">
        <f>(C5299-B5299)*24</f>
        <v/>
      </c>
      <c r="E5299" s="10">
        <f>IF(AND(HOUR(B5299)&gt;=6,HOUR(B5299)&lt;18),"Day Shift","Night Shift")</f>
        <v/>
      </c>
      <c r="F5299" s="11">
        <f>INT(B5299)</f>
        <v/>
      </c>
      <c r="G5299" s="11">
        <f>INT(C5299)</f>
        <v/>
      </c>
    </row>
    <row r="5300">
      <c r="A5300" s="2" t="inlineStr">
        <is>
          <t>EXD73</t>
        </is>
      </c>
      <c r="B5300" s="3" t="n">
        <v>46110.39148148148</v>
      </c>
      <c r="C5300" s="3" t="n">
        <v>46110.75</v>
      </c>
      <c r="D5300" s="4">
        <f>(C5300-B5300)*24</f>
        <v/>
      </c>
      <c r="E5300" s="5">
        <f>IF(AND(HOUR(B5300)&gt;=6,HOUR(B5300)&lt;18),"Day Shift","Night Shift")</f>
        <v/>
      </c>
      <c r="F5300" s="6">
        <f>INT(B5300)</f>
        <v/>
      </c>
      <c r="G5300" s="6">
        <f>INT(C5300)</f>
        <v/>
      </c>
    </row>
    <row r="5301">
      <c r="A5301" s="7" t="inlineStr">
        <is>
          <t>EXD73</t>
        </is>
      </c>
      <c r="B5301" s="8" t="n">
        <v>46110.75</v>
      </c>
      <c r="C5301" s="8" t="n">
        <v>46111.04052083333</v>
      </c>
      <c r="D5301" s="9">
        <f>(C5301-B5301)*24</f>
        <v/>
      </c>
      <c r="E5301" s="10">
        <f>IF(AND(HOUR(B5301)&gt;=6,HOUR(B5301)&lt;18),"Day Shift","Night Shift")</f>
        <v/>
      </c>
      <c r="F5301" s="11">
        <f>INT(B5301)</f>
        <v/>
      </c>
      <c r="G5301" s="11">
        <f>INT(C5301)</f>
        <v/>
      </c>
    </row>
    <row r="5302">
      <c r="A5302" s="2" t="inlineStr">
        <is>
          <t>EXD408</t>
        </is>
      </c>
      <c r="B5302" s="3" t="n">
        <v>46110.44503472222</v>
      </c>
      <c r="C5302" s="3" t="n">
        <v>46110.75</v>
      </c>
      <c r="D5302" s="4">
        <f>(C5302-B5302)*24</f>
        <v/>
      </c>
      <c r="E5302" s="5">
        <f>IF(AND(HOUR(B5302)&gt;=6,HOUR(B5302)&lt;18),"Day Shift","Night Shift")</f>
        <v/>
      </c>
      <c r="F5302" s="6">
        <f>INT(B5302)</f>
        <v/>
      </c>
      <c r="G5302" s="6">
        <f>INT(C5302)</f>
        <v/>
      </c>
    </row>
    <row r="5303">
      <c r="A5303" s="7" t="inlineStr">
        <is>
          <t>EXD408</t>
        </is>
      </c>
      <c r="B5303" s="8" t="n">
        <v>46110.75</v>
      </c>
      <c r="C5303" s="8" t="n">
        <v>46111.25</v>
      </c>
      <c r="D5303" s="9">
        <f>(C5303-B5303)*24</f>
        <v/>
      </c>
      <c r="E5303" s="10">
        <f>IF(AND(HOUR(B5303)&gt;=6,HOUR(B5303)&lt;18),"Day Shift","Night Shift")</f>
        <v/>
      </c>
      <c r="F5303" s="11">
        <f>INT(B5303)</f>
        <v/>
      </c>
      <c r="G5303" s="11">
        <f>INT(C5303)</f>
        <v/>
      </c>
    </row>
    <row r="5304">
      <c r="A5304" s="2" t="inlineStr">
        <is>
          <t>EXD408</t>
        </is>
      </c>
      <c r="B5304" s="3" t="n">
        <v>46111.25</v>
      </c>
      <c r="C5304" s="3" t="n">
        <v>46111.44334490741</v>
      </c>
      <c r="D5304" s="4">
        <f>(C5304-B5304)*24</f>
        <v/>
      </c>
      <c r="E5304" s="5">
        <f>IF(AND(HOUR(B5304)&gt;=6,HOUR(B5304)&lt;18),"Day Shift","Night Shift")</f>
        <v/>
      </c>
      <c r="F5304" s="6">
        <f>INT(B5304)</f>
        <v/>
      </c>
      <c r="G5304" s="6">
        <f>INT(C5304)</f>
        <v/>
      </c>
    </row>
    <row r="5305">
      <c r="A5305" s="2" t="inlineStr">
        <is>
          <t>EXD98</t>
        </is>
      </c>
      <c r="B5305" s="3" t="n">
        <v>46110.63268518518</v>
      </c>
      <c r="C5305" s="3" t="n">
        <v>46110.75</v>
      </c>
      <c r="D5305" s="4">
        <f>(C5305-B5305)*24</f>
        <v/>
      </c>
      <c r="E5305" s="5">
        <f>IF(AND(HOUR(B5305)&gt;=6,HOUR(B5305)&lt;18),"Day Shift","Night Shift")</f>
        <v/>
      </c>
      <c r="F5305" s="6">
        <f>INT(B5305)</f>
        <v/>
      </c>
      <c r="G5305" s="6">
        <f>INT(C5305)</f>
        <v/>
      </c>
    </row>
    <row r="5306">
      <c r="A5306" s="7" t="inlineStr">
        <is>
          <t>EXD98</t>
        </is>
      </c>
      <c r="B5306" s="8" t="n">
        <v>46110.75</v>
      </c>
      <c r="C5306" s="8" t="n">
        <v>46111.09342592592</v>
      </c>
      <c r="D5306" s="9">
        <f>(C5306-B5306)*24</f>
        <v/>
      </c>
      <c r="E5306" s="10">
        <f>IF(AND(HOUR(B5306)&gt;=6,HOUR(B5306)&lt;18),"Day Shift","Night Shift")</f>
        <v/>
      </c>
      <c r="F5306" s="11">
        <f>INT(B5306)</f>
        <v/>
      </c>
      <c r="G5306" s="11">
        <f>INT(C5306)</f>
        <v/>
      </c>
    </row>
    <row r="5307">
      <c r="A5307" s="2" t="inlineStr">
        <is>
          <t>EDD2134;EDD2541;EDD812;EDD175;EDD1932</t>
        </is>
      </c>
      <c r="B5307" s="3" t="n">
        <v>46110.64248842592</v>
      </c>
      <c r="C5307" s="3" t="n">
        <v>46110.75</v>
      </c>
      <c r="D5307" s="4">
        <f>(C5307-B5307)*24</f>
        <v/>
      </c>
      <c r="E5307" s="5">
        <f>IF(AND(HOUR(B5307)&gt;=6,HOUR(B5307)&lt;18),"Day Shift","Night Shift")</f>
        <v/>
      </c>
      <c r="F5307" s="6">
        <f>INT(B5307)</f>
        <v/>
      </c>
      <c r="G5307" s="6">
        <f>INT(C5307)</f>
        <v/>
      </c>
    </row>
    <row r="5308">
      <c r="A5308" s="7" t="inlineStr">
        <is>
          <t>EDD2134;EDD2541;EDD812;EDD175;EDD1932</t>
        </is>
      </c>
      <c r="B5308" s="8" t="n">
        <v>46110.75</v>
      </c>
      <c r="C5308" s="8" t="n">
        <v>46111.25</v>
      </c>
      <c r="D5308" s="9">
        <f>(C5308-B5308)*24</f>
        <v/>
      </c>
      <c r="E5308" s="10">
        <f>IF(AND(HOUR(B5308)&gt;=6,HOUR(B5308)&lt;18),"Day Shift","Night Shift")</f>
        <v/>
      </c>
      <c r="F5308" s="11">
        <f>INT(B5308)</f>
        <v/>
      </c>
      <c r="G5308" s="11">
        <f>INT(C5308)</f>
        <v/>
      </c>
    </row>
    <row r="5309">
      <c r="A5309" s="2" t="inlineStr">
        <is>
          <t>EDD2134;EDD2541;EDD812;EDD175;EDD1932</t>
        </is>
      </c>
      <c r="B5309" s="3" t="n">
        <v>46111.25</v>
      </c>
      <c r="C5309" s="3" t="n">
        <v>46111.75</v>
      </c>
      <c r="D5309" s="4">
        <f>(C5309-B5309)*24</f>
        <v/>
      </c>
      <c r="E5309" s="5">
        <f>IF(AND(HOUR(B5309)&gt;=6,HOUR(B5309)&lt;18),"Day Shift","Night Shift")</f>
        <v/>
      </c>
      <c r="F5309" s="6">
        <f>INT(B5309)</f>
        <v/>
      </c>
      <c r="G5309" s="6">
        <f>INT(C5309)</f>
        <v/>
      </c>
    </row>
    <row r="5310">
      <c r="A5310" s="7" t="inlineStr">
        <is>
          <t>EDD2134;EDD2541;EDD812;EDD175;EDD1932</t>
        </is>
      </c>
      <c r="B5310" s="8" t="n">
        <v>46111.75</v>
      </c>
      <c r="C5310" s="8" t="n">
        <v>46111.95172453704</v>
      </c>
      <c r="D5310" s="9">
        <f>(C5310-B5310)*24</f>
        <v/>
      </c>
      <c r="E5310" s="10">
        <f>IF(AND(HOUR(B5310)&gt;=6,HOUR(B5310)&lt;18),"Day Shift","Night Shift")</f>
        <v/>
      </c>
      <c r="F5310" s="11">
        <f>INT(B5310)</f>
        <v/>
      </c>
      <c r="G5310" s="11">
        <f>INT(C5310)</f>
        <v/>
      </c>
    </row>
    <row r="5311">
      <c r="A5311" s="2" t="inlineStr">
        <is>
          <t>EXD60</t>
        </is>
      </c>
      <c r="B5311" s="3" t="n">
        <v>46110.68569444444</v>
      </c>
      <c r="C5311" s="3" t="n">
        <v>46110.75</v>
      </c>
      <c r="D5311" s="4">
        <f>(C5311-B5311)*24</f>
        <v/>
      </c>
      <c r="E5311" s="5">
        <f>IF(AND(HOUR(B5311)&gt;=6,HOUR(B5311)&lt;18),"Day Shift","Night Shift")</f>
        <v/>
      </c>
      <c r="F5311" s="6">
        <f>INT(B5311)</f>
        <v/>
      </c>
      <c r="G5311" s="6">
        <f>INT(C5311)</f>
        <v/>
      </c>
    </row>
    <row r="5312">
      <c r="A5312" s="7" t="inlineStr">
        <is>
          <t>EXD60</t>
        </is>
      </c>
      <c r="B5312" s="8" t="n">
        <v>46110.75</v>
      </c>
      <c r="C5312" s="8" t="n">
        <v>46111.25</v>
      </c>
      <c r="D5312" s="9">
        <f>(C5312-B5312)*24</f>
        <v/>
      </c>
      <c r="E5312" s="10">
        <f>IF(AND(HOUR(B5312)&gt;=6,HOUR(B5312)&lt;18),"Day Shift","Night Shift")</f>
        <v/>
      </c>
      <c r="F5312" s="11">
        <f>INT(B5312)</f>
        <v/>
      </c>
      <c r="G5312" s="11">
        <f>INT(C5312)</f>
        <v/>
      </c>
    </row>
    <row r="5313">
      <c r="A5313" s="2" t="inlineStr">
        <is>
          <t>EXD60</t>
        </is>
      </c>
      <c r="B5313" s="3" t="n">
        <v>46111.25</v>
      </c>
      <c r="C5313" s="3" t="n">
        <v>46111.75</v>
      </c>
      <c r="D5313" s="4">
        <f>(C5313-B5313)*24</f>
        <v/>
      </c>
      <c r="E5313" s="5">
        <f>IF(AND(HOUR(B5313)&gt;=6,HOUR(B5313)&lt;18),"Day Shift","Night Shift")</f>
        <v/>
      </c>
      <c r="F5313" s="6">
        <f>INT(B5313)</f>
        <v/>
      </c>
      <c r="G5313" s="6">
        <f>INT(C5313)</f>
        <v/>
      </c>
    </row>
    <row r="5314">
      <c r="A5314" s="7" t="inlineStr">
        <is>
          <t>EXD60</t>
        </is>
      </c>
      <c r="B5314" s="8" t="n">
        <v>46111.75</v>
      </c>
      <c r="C5314" s="8" t="n">
        <v>46112.25</v>
      </c>
      <c r="D5314" s="9">
        <f>(C5314-B5314)*24</f>
        <v/>
      </c>
      <c r="E5314" s="10">
        <f>IF(AND(HOUR(B5314)&gt;=6,HOUR(B5314)&lt;18),"Day Shift","Night Shift")</f>
        <v/>
      </c>
      <c r="F5314" s="11">
        <f>INT(B5314)</f>
        <v/>
      </c>
      <c r="G5314" s="11">
        <f>INT(C5314)</f>
        <v/>
      </c>
    </row>
    <row r="5315">
      <c r="A5315" s="2" t="inlineStr">
        <is>
          <t>EXD60</t>
        </is>
      </c>
      <c r="B5315" s="3" t="n">
        <v>46112.25</v>
      </c>
      <c r="C5315" s="3" t="n">
        <v>46112.75</v>
      </c>
      <c r="D5315" s="4">
        <f>(C5315-B5315)*24</f>
        <v/>
      </c>
      <c r="E5315" s="5">
        <f>IF(AND(HOUR(B5315)&gt;=6,HOUR(B5315)&lt;18),"Day Shift","Night Shift")</f>
        <v/>
      </c>
      <c r="F5315" s="6">
        <f>INT(B5315)</f>
        <v/>
      </c>
      <c r="G5315" s="6">
        <f>INT(C5315)</f>
        <v/>
      </c>
    </row>
    <row r="5316">
      <c r="A5316" s="7" t="inlineStr">
        <is>
          <t>EXD60</t>
        </is>
      </c>
      <c r="B5316" s="8" t="n">
        <v>46112.75</v>
      </c>
      <c r="C5316" s="8" t="n">
        <v>46113.25</v>
      </c>
      <c r="D5316" s="9">
        <f>(C5316-B5316)*24</f>
        <v/>
      </c>
      <c r="E5316" s="10">
        <f>IF(AND(HOUR(B5316)&gt;=6,HOUR(B5316)&lt;18),"Day Shift","Night Shift")</f>
        <v/>
      </c>
      <c r="F5316" s="11">
        <f>INT(B5316)</f>
        <v/>
      </c>
      <c r="G5316" s="11">
        <f>INT(C5316)</f>
        <v/>
      </c>
    </row>
    <row r="5317">
      <c r="A5317" s="2" t="inlineStr">
        <is>
          <t>EXD60</t>
        </is>
      </c>
      <c r="B5317" s="3" t="n">
        <v>46113.25</v>
      </c>
      <c r="C5317" s="3" t="n">
        <v>46113.47459490741</v>
      </c>
      <c r="D5317" s="4">
        <f>(C5317-B5317)*24</f>
        <v/>
      </c>
      <c r="E5317" s="5">
        <f>IF(AND(HOUR(B5317)&gt;=6,HOUR(B5317)&lt;18),"Day Shift","Night Shift")</f>
        <v/>
      </c>
      <c r="F5317" s="6">
        <f>INT(B5317)</f>
        <v/>
      </c>
      <c r="G5317" s="6">
        <f>INT(C5317)</f>
        <v/>
      </c>
    </row>
    <row r="5318">
      <c r="A5318" s="7" t="inlineStr">
        <is>
          <t>EXD51</t>
        </is>
      </c>
      <c r="B5318" s="8" t="n">
        <v>46110.82670138889</v>
      </c>
      <c r="C5318" s="8" t="n">
        <v>46111.12353009259</v>
      </c>
      <c r="D5318" s="9">
        <f>(C5318-B5318)*24</f>
        <v/>
      </c>
      <c r="E5318" s="10">
        <f>IF(AND(HOUR(B5318)&gt;=6,HOUR(B5318)&lt;18),"Day Shift","Night Shift")</f>
        <v/>
      </c>
      <c r="F5318" s="11">
        <f>INT(B5318)</f>
        <v/>
      </c>
      <c r="G5318" s="11">
        <f>INT(C5318)</f>
        <v/>
      </c>
    </row>
    <row r="5319">
      <c r="A5319" s="7" t="inlineStr">
        <is>
          <t>EXD407</t>
        </is>
      </c>
      <c r="B5319" s="8" t="n">
        <v>46110.91854166667</v>
      </c>
      <c r="C5319" s="8" t="n">
        <v>46111.25</v>
      </c>
      <c r="D5319" s="9">
        <f>(C5319-B5319)*24</f>
        <v/>
      </c>
      <c r="E5319" s="10">
        <f>IF(AND(HOUR(B5319)&gt;=6,HOUR(B5319)&lt;18),"Day Shift","Night Shift")</f>
        <v/>
      </c>
      <c r="F5319" s="11">
        <f>INT(B5319)</f>
        <v/>
      </c>
      <c r="G5319" s="11">
        <f>INT(C5319)</f>
        <v/>
      </c>
    </row>
    <row r="5320">
      <c r="A5320" s="2" t="inlineStr">
        <is>
          <t>EXD407</t>
        </is>
      </c>
      <c r="B5320" s="3" t="n">
        <v>46111.25</v>
      </c>
      <c r="C5320" s="3" t="n">
        <v>46111.75</v>
      </c>
      <c r="D5320" s="4">
        <f>(C5320-B5320)*24</f>
        <v/>
      </c>
      <c r="E5320" s="5">
        <f>IF(AND(HOUR(B5320)&gt;=6,HOUR(B5320)&lt;18),"Day Shift","Night Shift")</f>
        <v/>
      </c>
      <c r="F5320" s="6">
        <f>INT(B5320)</f>
        <v/>
      </c>
      <c r="G5320" s="6">
        <f>INT(C5320)</f>
        <v/>
      </c>
    </row>
    <row r="5321">
      <c r="A5321" s="7" t="inlineStr">
        <is>
          <t>EXD407</t>
        </is>
      </c>
      <c r="B5321" s="8" t="n">
        <v>46111.75</v>
      </c>
      <c r="C5321" s="8" t="n">
        <v>46112.25</v>
      </c>
      <c r="D5321" s="9">
        <f>(C5321-B5321)*24</f>
        <v/>
      </c>
      <c r="E5321" s="10">
        <f>IF(AND(HOUR(B5321)&gt;=6,HOUR(B5321)&lt;18),"Day Shift","Night Shift")</f>
        <v/>
      </c>
      <c r="F5321" s="11">
        <f>INT(B5321)</f>
        <v/>
      </c>
      <c r="G5321" s="11">
        <f>INT(C5321)</f>
        <v/>
      </c>
    </row>
    <row r="5322">
      <c r="A5322" s="2" t="inlineStr">
        <is>
          <t>EXD407</t>
        </is>
      </c>
      <c r="B5322" s="3" t="n">
        <v>46112.25</v>
      </c>
      <c r="C5322" s="3" t="n">
        <v>46112.44409722222</v>
      </c>
      <c r="D5322" s="4">
        <f>(C5322-B5322)*24</f>
        <v/>
      </c>
      <c r="E5322" s="5">
        <f>IF(AND(HOUR(B5322)&gt;=6,HOUR(B5322)&lt;18),"Day Shift","Night Shift")</f>
        <v/>
      </c>
      <c r="F5322" s="6">
        <f>INT(B5322)</f>
        <v/>
      </c>
      <c r="G5322" s="6">
        <f>INT(C5322)</f>
        <v/>
      </c>
    </row>
    <row r="5323">
      <c r="A5323" s="7" t="inlineStr">
        <is>
          <t>EXD73</t>
        </is>
      </c>
      <c r="B5323" s="8" t="n">
        <v>46111.04052083333</v>
      </c>
      <c r="C5323" s="8" t="n">
        <v>46111.25</v>
      </c>
      <c r="D5323" s="9">
        <f>(C5323-B5323)*24</f>
        <v/>
      </c>
      <c r="E5323" s="10">
        <f>IF(AND(HOUR(B5323)&gt;=6,HOUR(B5323)&lt;18),"Day Shift","Night Shift")</f>
        <v/>
      </c>
      <c r="F5323" s="11">
        <f>INT(B5323)</f>
        <v/>
      </c>
      <c r="G5323" s="11">
        <f>INT(C5323)</f>
        <v/>
      </c>
    </row>
    <row r="5324">
      <c r="A5324" s="2" t="inlineStr">
        <is>
          <t>EXD73</t>
        </is>
      </c>
      <c r="B5324" s="3" t="n">
        <v>46111.25</v>
      </c>
      <c r="C5324" s="3" t="n">
        <v>46111.46604166667</v>
      </c>
      <c r="D5324" s="4">
        <f>(C5324-B5324)*24</f>
        <v/>
      </c>
      <c r="E5324" s="5">
        <f>IF(AND(HOUR(B5324)&gt;=6,HOUR(B5324)&lt;18),"Day Shift","Night Shift")</f>
        <v/>
      </c>
      <c r="F5324" s="6">
        <f>INT(B5324)</f>
        <v/>
      </c>
      <c r="G5324" s="6">
        <f>INT(C5324)</f>
        <v/>
      </c>
    </row>
    <row r="5325">
      <c r="A5325" s="7" t="inlineStr">
        <is>
          <t>EXD52;LDW262</t>
        </is>
      </c>
      <c r="B5325" s="8" t="n">
        <v>46111.11520833334</v>
      </c>
      <c r="C5325" s="8" t="n">
        <v>46111.25</v>
      </c>
      <c r="D5325" s="9">
        <f>(C5325-B5325)*24</f>
        <v/>
      </c>
      <c r="E5325" s="10">
        <f>IF(AND(HOUR(B5325)&gt;=6,HOUR(B5325)&lt;18),"Day Shift","Night Shift")</f>
        <v/>
      </c>
      <c r="F5325" s="11">
        <f>INT(B5325)</f>
        <v/>
      </c>
      <c r="G5325" s="11">
        <f>INT(C5325)</f>
        <v/>
      </c>
    </row>
    <row r="5326">
      <c r="A5326" s="2" t="inlineStr">
        <is>
          <t>EXD52;LDW262</t>
        </is>
      </c>
      <c r="B5326" s="3" t="n">
        <v>46111.25</v>
      </c>
      <c r="C5326" s="3" t="n">
        <v>46111.53732638889</v>
      </c>
      <c r="D5326" s="4">
        <f>(C5326-B5326)*24</f>
        <v/>
      </c>
      <c r="E5326" s="5">
        <f>IF(AND(HOUR(B5326)&gt;=6,HOUR(B5326)&lt;18),"Day Shift","Night Shift")</f>
        <v/>
      </c>
      <c r="F5326" s="6">
        <f>INT(B5326)</f>
        <v/>
      </c>
      <c r="G5326" s="6">
        <f>INT(C5326)</f>
        <v/>
      </c>
    </row>
    <row r="5327">
      <c r="A5327" s="7" t="inlineStr">
        <is>
          <t>EXD51</t>
        </is>
      </c>
      <c r="B5327" s="8" t="n">
        <v>46111.12353009259</v>
      </c>
      <c r="C5327" s="8" t="n">
        <v>46111.25</v>
      </c>
      <c r="D5327" s="9">
        <f>(C5327-B5327)*24</f>
        <v/>
      </c>
      <c r="E5327" s="10">
        <f>IF(AND(HOUR(B5327)&gt;=6,HOUR(B5327)&lt;18),"Day Shift","Night Shift")</f>
        <v/>
      </c>
      <c r="F5327" s="11">
        <f>INT(B5327)</f>
        <v/>
      </c>
      <c r="G5327" s="11">
        <f>INT(C5327)</f>
        <v/>
      </c>
    </row>
    <row r="5328">
      <c r="A5328" s="2" t="inlineStr">
        <is>
          <t>EXD51</t>
        </is>
      </c>
      <c r="B5328" s="3" t="n">
        <v>46111.25</v>
      </c>
      <c r="C5328" s="3" t="n">
        <v>46111.46158564815</v>
      </c>
      <c r="D5328" s="4">
        <f>(C5328-B5328)*24</f>
        <v/>
      </c>
      <c r="E5328" s="5">
        <f>IF(AND(HOUR(B5328)&gt;=6,HOUR(B5328)&lt;18),"Day Shift","Night Shift")</f>
        <v/>
      </c>
      <c r="F5328" s="6">
        <f>INT(B5328)</f>
        <v/>
      </c>
      <c r="G5328" s="6">
        <f>INT(C5328)</f>
        <v/>
      </c>
    </row>
    <row r="5329">
      <c r="A5329" s="7" t="inlineStr">
        <is>
          <t>EXD98</t>
        </is>
      </c>
      <c r="B5329" s="8" t="n">
        <v>46111.14511574074</v>
      </c>
      <c r="C5329" s="8" t="n">
        <v>46111.25</v>
      </c>
      <c r="D5329" s="9">
        <f>(C5329-B5329)*24</f>
        <v/>
      </c>
      <c r="E5329" s="10">
        <f>IF(AND(HOUR(B5329)&gt;=6,HOUR(B5329)&lt;18),"Day Shift","Night Shift")</f>
        <v/>
      </c>
      <c r="F5329" s="11">
        <f>INT(B5329)</f>
        <v/>
      </c>
      <c r="G5329" s="11">
        <f>INT(C5329)</f>
        <v/>
      </c>
    </row>
    <row r="5330">
      <c r="A5330" s="2" t="inlineStr">
        <is>
          <t>EXD98</t>
        </is>
      </c>
      <c r="B5330" s="3" t="n">
        <v>46111.25</v>
      </c>
      <c r="C5330" s="3" t="n">
        <v>46111.52043981481</v>
      </c>
      <c r="D5330" s="4">
        <f>(C5330-B5330)*24</f>
        <v/>
      </c>
      <c r="E5330" s="5">
        <f>IF(AND(HOUR(B5330)&gt;=6,HOUR(B5330)&lt;18),"Day Shift","Night Shift")</f>
        <v/>
      </c>
      <c r="F5330" s="6">
        <f>INT(B5330)</f>
        <v/>
      </c>
      <c r="G5330" s="6">
        <f>INT(C5330)</f>
        <v/>
      </c>
    </row>
    <row r="5331">
      <c r="A5331" s="7" t="inlineStr">
        <is>
          <t>Sprint 1</t>
        </is>
      </c>
      <c r="B5331" s="8" t="n">
        <v>46111.19886574074</v>
      </c>
      <c r="C5331" s="8" t="n">
        <v>46111.25</v>
      </c>
      <c r="D5331" s="9">
        <f>(C5331-B5331)*24</f>
        <v/>
      </c>
      <c r="E5331" s="10">
        <f>IF(AND(HOUR(B5331)&gt;=6,HOUR(B5331)&lt;18),"Day Shift","Night Shift")</f>
        <v/>
      </c>
      <c r="F5331" s="11">
        <f>INT(B5331)</f>
        <v/>
      </c>
      <c r="G5331" s="11">
        <f>INT(C5331)</f>
        <v/>
      </c>
    </row>
    <row r="5332">
      <c r="A5332" s="2" t="inlineStr">
        <is>
          <t>Sprint 1</t>
        </is>
      </c>
      <c r="B5332" s="3" t="n">
        <v>46111.25</v>
      </c>
      <c r="C5332" s="3" t="n">
        <v>46111.75</v>
      </c>
      <c r="D5332" s="4">
        <f>(C5332-B5332)*24</f>
        <v/>
      </c>
      <c r="E5332" s="5">
        <f>IF(AND(HOUR(B5332)&gt;=6,HOUR(B5332)&lt;18),"Day Shift","Night Shift")</f>
        <v/>
      </c>
      <c r="F5332" s="6">
        <f>INT(B5332)</f>
        <v/>
      </c>
      <c r="G5332" s="6">
        <f>INT(C5332)</f>
        <v/>
      </c>
    </row>
    <row r="5333">
      <c r="A5333" s="7" t="inlineStr">
        <is>
          <t>Sprint 1</t>
        </is>
      </c>
      <c r="B5333" s="8" t="n">
        <v>46111.75</v>
      </c>
      <c r="C5333" s="8" t="n">
        <v>46112.05100694444</v>
      </c>
      <c r="D5333" s="9">
        <f>(C5333-B5333)*24</f>
        <v/>
      </c>
      <c r="E5333" s="10">
        <f>IF(AND(HOUR(B5333)&gt;=6,HOUR(B5333)&lt;18),"Day Shift","Night Shift")</f>
        <v/>
      </c>
      <c r="F5333" s="11">
        <f>INT(B5333)</f>
        <v/>
      </c>
      <c r="G5333" s="11">
        <f>INT(C5333)</f>
        <v/>
      </c>
    </row>
    <row r="5334">
      <c r="A5334" s="2" t="inlineStr">
        <is>
          <t>EXD408</t>
        </is>
      </c>
      <c r="B5334" s="3" t="n">
        <v>46111.44334490741</v>
      </c>
      <c r="C5334" s="3" t="n">
        <v>46111.75</v>
      </c>
      <c r="D5334" s="4">
        <f>(C5334-B5334)*24</f>
        <v/>
      </c>
      <c r="E5334" s="5">
        <f>IF(AND(HOUR(B5334)&gt;=6,HOUR(B5334)&lt;18),"Day Shift","Night Shift")</f>
        <v/>
      </c>
      <c r="F5334" s="6">
        <f>INT(B5334)</f>
        <v/>
      </c>
      <c r="G5334" s="6">
        <f>INT(C5334)</f>
        <v/>
      </c>
    </row>
    <row r="5335">
      <c r="A5335" s="7" t="inlineStr">
        <is>
          <t>EXD408</t>
        </is>
      </c>
      <c r="B5335" s="8" t="n">
        <v>46111.75</v>
      </c>
      <c r="C5335" s="8" t="n">
        <v>46112.20806712963</v>
      </c>
      <c r="D5335" s="9">
        <f>(C5335-B5335)*24</f>
        <v/>
      </c>
      <c r="E5335" s="10">
        <f>IF(AND(HOUR(B5335)&gt;=6,HOUR(B5335)&lt;18),"Day Shift","Night Shift")</f>
        <v/>
      </c>
      <c r="F5335" s="11">
        <f>INT(B5335)</f>
        <v/>
      </c>
      <c r="G5335" s="11">
        <f>INT(C5335)</f>
        <v/>
      </c>
    </row>
    <row r="5336">
      <c r="A5336" s="2" t="inlineStr">
        <is>
          <t>EXD73</t>
        </is>
      </c>
      <c r="B5336" s="3" t="n">
        <v>46111.46681712963</v>
      </c>
      <c r="C5336" s="3" t="n">
        <v>46111.75</v>
      </c>
      <c r="D5336" s="4">
        <f>(C5336-B5336)*24</f>
        <v/>
      </c>
      <c r="E5336" s="5">
        <f>IF(AND(HOUR(B5336)&gt;=6,HOUR(B5336)&lt;18),"Day Shift","Night Shift")</f>
        <v/>
      </c>
      <c r="F5336" s="6">
        <f>INT(B5336)</f>
        <v/>
      </c>
      <c r="G5336" s="6">
        <f>INT(C5336)</f>
        <v/>
      </c>
    </row>
    <row r="5337">
      <c r="A5337" s="7" t="inlineStr">
        <is>
          <t>EXD73</t>
        </is>
      </c>
      <c r="B5337" s="8" t="n">
        <v>46111.75</v>
      </c>
      <c r="C5337" s="8" t="n">
        <v>46112.25</v>
      </c>
      <c r="D5337" s="9">
        <f>(C5337-B5337)*24</f>
        <v/>
      </c>
      <c r="E5337" s="10">
        <f>IF(AND(HOUR(B5337)&gt;=6,HOUR(B5337)&lt;18),"Day Shift","Night Shift")</f>
        <v/>
      </c>
      <c r="F5337" s="11">
        <f>INT(B5337)</f>
        <v/>
      </c>
      <c r="G5337" s="11">
        <f>INT(C5337)</f>
        <v/>
      </c>
    </row>
    <row r="5338">
      <c r="A5338" s="2" t="inlineStr">
        <is>
          <t>EXD73</t>
        </is>
      </c>
      <c r="B5338" s="3" t="n">
        <v>46112.25</v>
      </c>
      <c r="C5338" s="3" t="n">
        <v>46112.62253472222</v>
      </c>
      <c r="D5338" s="4">
        <f>(C5338-B5338)*24</f>
        <v/>
      </c>
      <c r="E5338" s="5">
        <f>IF(AND(HOUR(B5338)&gt;=6,HOUR(B5338)&lt;18),"Day Shift","Night Shift")</f>
        <v/>
      </c>
      <c r="F5338" s="6">
        <f>INT(B5338)</f>
        <v/>
      </c>
      <c r="G5338" s="6">
        <f>INT(C5338)</f>
        <v/>
      </c>
    </row>
    <row r="5339">
      <c r="A5339" s="2" t="inlineStr">
        <is>
          <t>EXD51</t>
        </is>
      </c>
      <c r="B5339" s="3" t="n">
        <v>46111.47565972222</v>
      </c>
      <c r="C5339" s="3" t="n">
        <v>46111.71841435185</v>
      </c>
      <c r="D5339" s="4">
        <f>(C5339-B5339)*24</f>
        <v/>
      </c>
      <c r="E5339" s="5">
        <f>IF(AND(HOUR(B5339)&gt;=6,HOUR(B5339)&lt;18),"Day Shift","Night Shift")</f>
        <v/>
      </c>
      <c r="F5339" s="6">
        <f>INT(B5339)</f>
        <v/>
      </c>
      <c r="G5339" s="6">
        <f>INT(C5339)</f>
        <v/>
      </c>
    </row>
    <row r="5340">
      <c r="A5340" s="2" t="inlineStr">
        <is>
          <t>EXD100</t>
        </is>
      </c>
      <c r="B5340" s="3" t="n">
        <v>46111.48484953704</v>
      </c>
      <c r="C5340" s="3" t="n">
        <v>46111.75</v>
      </c>
      <c r="D5340" s="4">
        <f>(C5340-B5340)*24</f>
        <v/>
      </c>
      <c r="E5340" s="5">
        <f>IF(AND(HOUR(B5340)&gt;=6,HOUR(B5340)&lt;18),"Day Shift","Night Shift")</f>
        <v/>
      </c>
      <c r="F5340" s="6">
        <f>INT(B5340)</f>
        <v/>
      </c>
      <c r="G5340" s="6">
        <f>INT(C5340)</f>
        <v/>
      </c>
    </row>
    <row r="5341">
      <c r="A5341" s="7" t="inlineStr">
        <is>
          <t>EXD100</t>
        </is>
      </c>
      <c r="B5341" s="8" t="n">
        <v>46111.75</v>
      </c>
      <c r="C5341" s="8" t="n">
        <v>46112.25</v>
      </c>
      <c r="D5341" s="9">
        <f>(C5341-B5341)*24</f>
        <v/>
      </c>
      <c r="E5341" s="10">
        <f>IF(AND(HOUR(B5341)&gt;=6,HOUR(B5341)&lt;18),"Day Shift","Night Shift")</f>
        <v/>
      </c>
      <c r="F5341" s="11">
        <f>INT(B5341)</f>
        <v/>
      </c>
      <c r="G5341" s="11">
        <f>INT(C5341)</f>
        <v/>
      </c>
    </row>
    <row r="5342">
      <c r="A5342" s="2" t="inlineStr">
        <is>
          <t>EXD100</t>
        </is>
      </c>
      <c r="B5342" s="3" t="n">
        <v>46112.25</v>
      </c>
      <c r="C5342" s="3" t="n">
        <v>46112.60065972222</v>
      </c>
      <c r="D5342" s="4">
        <f>(C5342-B5342)*24</f>
        <v/>
      </c>
      <c r="E5342" s="5">
        <f>IF(AND(HOUR(B5342)&gt;=6,HOUR(B5342)&lt;18),"Day Shift","Night Shift")</f>
        <v/>
      </c>
      <c r="F5342" s="6">
        <f>INT(B5342)</f>
        <v/>
      </c>
      <c r="G5342" s="6">
        <f>INT(C5342)</f>
        <v/>
      </c>
    </row>
    <row r="5343">
      <c r="A5343" s="2" t="inlineStr">
        <is>
          <t>EXD98</t>
        </is>
      </c>
      <c r="B5343" s="3" t="n">
        <v>46111.52043981481</v>
      </c>
      <c r="C5343" s="3" t="n">
        <v>46111.75</v>
      </c>
      <c r="D5343" s="4">
        <f>(C5343-B5343)*24</f>
        <v/>
      </c>
      <c r="E5343" s="5">
        <f>IF(AND(HOUR(B5343)&gt;=6,HOUR(B5343)&lt;18),"Day Shift","Night Shift")</f>
        <v/>
      </c>
      <c r="F5343" s="6">
        <f>INT(B5343)</f>
        <v/>
      </c>
      <c r="G5343" s="6">
        <f>INT(C5343)</f>
        <v/>
      </c>
    </row>
    <row r="5344">
      <c r="A5344" s="7" t="inlineStr">
        <is>
          <t>EXD98</t>
        </is>
      </c>
      <c r="B5344" s="8" t="n">
        <v>46111.75</v>
      </c>
      <c r="C5344" s="8" t="n">
        <v>46112.25</v>
      </c>
      <c r="D5344" s="9">
        <f>(C5344-B5344)*24</f>
        <v/>
      </c>
      <c r="E5344" s="10">
        <f>IF(AND(HOUR(B5344)&gt;=6,HOUR(B5344)&lt;18),"Day Shift","Night Shift")</f>
        <v/>
      </c>
      <c r="F5344" s="11">
        <f>INT(B5344)</f>
        <v/>
      </c>
      <c r="G5344" s="11">
        <f>INT(C5344)</f>
        <v/>
      </c>
    </row>
    <row r="5345">
      <c r="A5345" s="2" t="inlineStr">
        <is>
          <t>EXD98</t>
        </is>
      </c>
      <c r="B5345" s="3" t="n">
        <v>46112.25</v>
      </c>
      <c r="C5345" s="3" t="n">
        <v>46112.75</v>
      </c>
      <c r="D5345" s="4">
        <f>(C5345-B5345)*24</f>
        <v/>
      </c>
      <c r="E5345" s="5">
        <f>IF(AND(HOUR(B5345)&gt;=6,HOUR(B5345)&lt;18),"Day Shift","Night Shift")</f>
        <v/>
      </c>
      <c r="F5345" s="6">
        <f>INT(B5345)</f>
        <v/>
      </c>
      <c r="G5345" s="6">
        <f>INT(C5345)</f>
        <v/>
      </c>
    </row>
    <row r="5346">
      <c r="A5346" s="7" t="inlineStr">
        <is>
          <t>EXD98</t>
        </is>
      </c>
      <c r="B5346" s="8" t="n">
        <v>46112.75</v>
      </c>
      <c r="C5346" s="8" t="n">
        <v>46113.25</v>
      </c>
      <c r="D5346" s="9">
        <f>(C5346-B5346)*24</f>
        <v/>
      </c>
      <c r="E5346" s="10">
        <f>IF(AND(HOUR(B5346)&gt;=6,HOUR(B5346)&lt;18),"Day Shift","Night Shift")</f>
        <v/>
      </c>
      <c r="F5346" s="11">
        <f>INT(B5346)</f>
        <v/>
      </c>
      <c r="G5346" s="11">
        <f>INT(C5346)</f>
        <v/>
      </c>
    </row>
    <row r="5347">
      <c r="A5347" s="2" t="inlineStr">
        <is>
          <t>EXD98</t>
        </is>
      </c>
      <c r="B5347" s="3" t="n">
        <v>46113.25</v>
      </c>
      <c r="C5347" s="3" t="n">
        <v>46113.59666666666</v>
      </c>
      <c r="D5347" s="4">
        <f>(C5347-B5347)*24</f>
        <v/>
      </c>
      <c r="E5347" s="5">
        <f>IF(AND(HOUR(B5347)&gt;=6,HOUR(B5347)&lt;18),"Day Shift","Night Shift")</f>
        <v/>
      </c>
      <c r="F5347" s="6">
        <f>INT(B5347)</f>
        <v/>
      </c>
      <c r="G5347" s="6">
        <f>INT(C5347)</f>
        <v/>
      </c>
    </row>
    <row r="5348">
      <c r="A5348" s="2" t="inlineStr">
        <is>
          <t>SHE36</t>
        </is>
      </c>
      <c r="B5348" s="3" t="n">
        <v>46111.52494212963</v>
      </c>
      <c r="C5348" s="3" t="n">
        <v>46111.75</v>
      </c>
      <c r="D5348" s="4">
        <f>(C5348-B5348)*24</f>
        <v/>
      </c>
      <c r="E5348" s="5">
        <f>IF(AND(HOUR(B5348)&gt;=6,HOUR(B5348)&lt;18),"Day Shift","Night Shift")</f>
        <v/>
      </c>
      <c r="F5348" s="6">
        <f>INT(B5348)</f>
        <v/>
      </c>
      <c r="G5348" s="6">
        <f>INT(C5348)</f>
        <v/>
      </c>
    </row>
    <row r="5349">
      <c r="A5349" s="7" t="inlineStr">
        <is>
          <t>SHE36</t>
        </is>
      </c>
      <c r="B5349" s="8" t="n">
        <v>46111.75</v>
      </c>
      <c r="C5349" s="8" t="n">
        <v>46112.18736111111</v>
      </c>
      <c r="D5349" s="9">
        <f>(C5349-B5349)*24</f>
        <v/>
      </c>
      <c r="E5349" s="10">
        <f>IF(AND(HOUR(B5349)&gt;=6,HOUR(B5349)&lt;18),"Day Shift","Night Shift")</f>
        <v/>
      </c>
      <c r="F5349" s="11">
        <f>INT(B5349)</f>
        <v/>
      </c>
      <c r="G5349" s="11">
        <f>INT(C5349)</f>
        <v/>
      </c>
    </row>
    <row r="5350">
      <c r="A5350" s="2" t="inlineStr">
        <is>
          <t>EXD52;LDW262</t>
        </is>
      </c>
      <c r="B5350" s="3" t="n">
        <v>46111.56190972222</v>
      </c>
      <c r="C5350" s="3" t="n">
        <v>46111.75</v>
      </c>
      <c r="D5350" s="4">
        <f>(C5350-B5350)*24</f>
        <v/>
      </c>
      <c r="E5350" s="5">
        <f>IF(AND(HOUR(B5350)&gt;=6,HOUR(B5350)&lt;18),"Day Shift","Night Shift")</f>
        <v/>
      </c>
      <c r="F5350" s="6">
        <f>INT(B5350)</f>
        <v/>
      </c>
      <c r="G5350" s="6">
        <f>INT(C5350)</f>
        <v/>
      </c>
    </row>
    <row r="5351">
      <c r="A5351" s="7" t="inlineStr">
        <is>
          <t>EXD52;LDW262</t>
        </is>
      </c>
      <c r="B5351" s="8" t="n">
        <v>46111.75</v>
      </c>
      <c r="C5351" s="8" t="n">
        <v>46111.91137731481</v>
      </c>
      <c r="D5351" s="9">
        <f>(C5351-B5351)*24</f>
        <v/>
      </c>
      <c r="E5351" s="10">
        <f>IF(AND(HOUR(B5351)&gt;=6,HOUR(B5351)&lt;18),"Day Shift","Night Shift")</f>
        <v/>
      </c>
      <c r="F5351" s="11">
        <f>INT(B5351)</f>
        <v/>
      </c>
      <c r="G5351" s="11">
        <f>INT(C5351)</f>
        <v/>
      </c>
    </row>
    <row r="5352">
      <c r="A5352" s="2" t="inlineStr">
        <is>
          <t>Blast</t>
        </is>
      </c>
      <c r="B5352" s="3" t="n">
        <v>46111.59248842593</v>
      </c>
      <c r="C5352" s="3" t="n">
        <v>46111.59260416667</v>
      </c>
      <c r="D5352" s="4">
        <f>(C5352-B5352)*24</f>
        <v/>
      </c>
      <c r="E5352" s="5">
        <f>IF(AND(HOUR(B5352)&gt;=6,HOUR(B5352)&lt;18),"Day Shift","Night Shift")</f>
        <v/>
      </c>
      <c r="F5352" s="6">
        <f>INT(B5352)</f>
        <v/>
      </c>
      <c r="G5352" s="6">
        <f>INT(C5352)</f>
        <v/>
      </c>
    </row>
    <row r="5353">
      <c r="A5353" s="2" t="inlineStr">
        <is>
          <t>Blast</t>
        </is>
      </c>
      <c r="B5353" s="3" t="n">
        <v>46111.59260416667</v>
      </c>
      <c r="C5353" s="3" t="n">
        <v>46111.59271990741</v>
      </c>
      <c r="D5353" s="4">
        <f>(C5353-B5353)*24</f>
        <v/>
      </c>
      <c r="E5353" s="5">
        <f>IF(AND(HOUR(B5353)&gt;=6,HOUR(B5353)&lt;18),"Day Shift","Night Shift")</f>
        <v/>
      </c>
      <c r="F5353" s="6">
        <f>INT(B5353)</f>
        <v/>
      </c>
      <c r="G5353" s="6">
        <f>INT(C5353)</f>
        <v/>
      </c>
    </row>
    <row r="5354">
      <c r="A5354" s="2" t="inlineStr">
        <is>
          <t>Blast</t>
        </is>
      </c>
      <c r="B5354" s="3" t="n">
        <v>46111.59271990741</v>
      </c>
      <c r="C5354" s="3" t="n">
        <v>46111.5928125</v>
      </c>
      <c r="D5354" s="4">
        <f>(C5354-B5354)*24</f>
        <v/>
      </c>
      <c r="E5354" s="5">
        <f>IF(AND(HOUR(B5354)&gt;=6,HOUR(B5354)&lt;18),"Day Shift","Night Shift")</f>
        <v/>
      </c>
      <c r="F5354" s="6">
        <f>INT(B5354)</f>
        <v/>
      </c>
      <c r="G5354" s="6">
        <f>INT(C5354)</f>
        <v/>
      </c>
    </row>
    <row r="5355">
      <c r="A5355" s="2" t="inlineStr">
        <is>
          <t>Blast</t>
        </is>
      </c>
      <c r="B5355" s="3" t="n">
        <v>46111.5928125</v>
      </c>
      <c r="C5355" s="3" t="n">
        <v>46111.59291666667</v>
      </c>
      <c r="D5355" s="4">
        <f>(C5355-B5355)*24</f>
        <v/>
      </c>
      <c r="E5355" s="5">
        <f>IF(AND(HOUR(B5355)&gt;=6,HOUR(B5355)&lt;18),"Day Shift","Night Shift")</f>
        <v/>
      </c>
      <c r="F5355" s="6">
        <f>INT(B5355)</f>
        <v/>
      </c>
      <c r="G5355" s="6">
        <f>INT(C5355)</f>
        <v/>
      </c>
    </row>
    <row r="5356">
      <c r="A5356" s="2" t="inlineStr">
        <is>
          <t>Blast</t>
        </is>
      </c>
      <c r="B5356" s="3" t="n">
        <v>46111.59291666667</v>
      </c>
      <c r="C5356" s="3" t="n">
        <v>46111.59298611111</v>
      </c>
      <c r="D5356" s="4">
        <f>(C5356-B5356)*24</f>
        <v/>
      </c>
      <c r="E5356" s="5">
        <f>IF(AND(HOUR(B5356)&gt;=6,HOUR(B5356)&lt;18),"Day Shift","Night Shift")</f>
        <v/>
      </c>
      <c r="F5356" s="6">
        <f>INT(B5356)</f>
        <v/>
      </c>
      <c r="G5356" s="6">
        <f>INT(C5356)</f>
        <v/>
      </c>
    </row>
    <row r="5357">
      <c r="A5357" s="2" t="inlineStr">
        <is>
          <t>Blast</t>
        </is>
      </c>
      <c r="B5357" s="3" t="n">
        <v>46111.59298611111</v>
      </c>
      <c r="C5357" s="3" t="n">
        <v>46111.59304398148</v>
      </c>
      <c r="D5357" s="4">
        <f>(C5357-B5357)*24</f>
        <v/>
      </c>
      <c r="E5357" s="5">
        <f>IF(AND(HOUR(B5357)&gt;=6,HOUR(B5357)&lt;18),"Day Shift","Night Shift")</f>
        <v/>
      </c>
      <c r="F5357" s="6">
        <f>INT(B5357)</f>
        <v/>
      </c>
      <c r="G5357" s="6">
        <f>INT(C5357)</f>
        <v/>
      </c>
    </row>
    <row r="5358">
      <c r="A5358" s="2" t="inlineStr">
        <is>
          <t>Blast</t>
        </is>
      </c>
      <c r="B5358" s="3" t="n">
        <v>46111.59304398148</v>
      </c>
      <c r="C5358" s="3" t="n">
        <v>46111.59310185185</v>
      </c>
      <c r="D5358" s="4">
        <f>(C5358-B5358)*24</f>
        <v/>
      </c>
      <c r="E5358" s="5">
        <f>IF(AND(HOUR(B5358)&gt;=6,HOUR(B5358)&lt;18),"Day Shift","Night Shift")</f>
        <v/>
      </c>
      <c r="F5358" s="6">
        <f>INT(B5358)</f>
        <v/>
      </c>
      <c r="G5358" s="6">
        <f>INT(C5358)</f>
        <v/>
      </c>
    </row>
    <row r="5359">
      <c r="A5359" s="2" t="inlineStr">
        <is>
          <t>Blast</t>
        </is>
      </c>
      <c r="B5359" s="3" t="n">
        <v>46111.59310185185</v>
      </c>
      <c r="C5359" s="3" t="n">
        <v>46111.59314814815</v>
      </c>
      <c r="D5359" s="4">
        <f>(C5359-B5359)*24</f>
        <v/>
      </c>
      <c r="E5359" s="5">
        <f>IF(AND(HOUR(B5359)&gt;=6,HOUR(B5359)&lt;18),"Day Shift","Night Shift")</f>
        <v/>
      </c>
      <c r="F5359" s="6">
        <f>INT(B5359)</f>
        <v/>
      </c>
      <c r="G5359" s="6">
        <f>INT(C5359)</f>
        <v/>
      </c>
    </row>
    <row r="5360">
      <c r="A5360" s="2" t="inlineStr">
        <is>
          <t>EXD409</t>
        </is>
      </c>
      <c r="B5360" s="3" t="n">
        <v>46111.59314814815</v>
      </c>
      <c r="C5360" s="3" t="n">
        <v>46111.75</v>
      </c>
      <c r="D5360" s="4">
        <f>(C5360-B5360)*24</f>
        <v/>
      </c>
      <c r="E5360" s="5">
        <f>IF(AND(HOUR(B5360)&gt;=6,HOUR(B5360)&lt;18),"Day Shift","Night Shift")</f>
        <v/>
      </c>
      <c r="F5360" s="6">
        <f>INT(B5360)</f>
        <v/>
      </c>
      <c r="G5360" s="6">
        <f>INT(C5360)</f>
        <v/>
      </c>
    </row>
    <row r="5361">
      <c r="A5361" s="7" t="inlineStr">
        <is>
          <t>EXD409</t>
        </is>
      </c>
      <c r="B5361" s="8" t="n">
        <v>46111.75</v>
      </c>
      <c r="C5361" s="8" t="n">
        <v>46112.25</v>
      </c>
      <c r="D5361" s="9">
        <f>(C5361-B5361)*24</f>
        <v/>
      </c>
      <c r="E5361" s="10">
        <f>IF(AND(HOUR(B5361)&gt;=6,HOUR(B5361)&lt;18),"Day Shift","Night Shift")</f>
        <v/>
      </c>
      <c r="F5361" s="11">
        <f>INT(B5361)</f>
        <v/>
      </c>
      <c r="G5361" s="11">
        <f>INT(C5361)</f>
        <v/>
      </c>
    </row>
    <row r="5362">
      <c r="A5362" s="2" t="inlineStr">
        <is>
          <t>EXD409</t>
        </is>
      </c>
      <c r="B5362" s="3" t="n">
        <v>46112.25</v>
      </c>
      <c r="C5362" s="3" t="n">
        <v>46112.75</v>
      </c>
      <c r="D5362" s="4">
        <f>(C5362-B5362)*24</f>
        <v/>
      </c>
      <c r="E5362" s="5">
        <f>IF(AND(HOUR(B5362)&gt;=6,HOUR(B5362)&lt;18),"Day Shift","Night Shift")</f>
        <v/>
      </c>
      <c r="F5362" s="6">
        <f>INT(B5362)</f>
        <v/>
      </c>
      <c r="G5362" s="6">
        <f>INT(C5362)</f>
        <v/>
      </c>
    </row>
    <row r="5363">
      <c r="A5363" s="7" t="inlineStr">
        <is>
          <t>EXD409</t>
        </is>
      </c>
      <c r="B5363" s="8" t="n">
        <v>46112.75</v>
      </c>
      <c r="C5363" s="8" t="n">
        <v>46113.25</v>
      </c>
      <c r="D5363" s="9">
        <f>(C5363-B5363)*24</f>
        <v/>
      </c>
      <c r="E5363" s="10">
        <f>IF(AND(HOUR(B5363)&gt;=6,HOUR(B5363)&lt;18),"Day Shift","Night Shift")</f>
        <v/>
      </c>
      <c r="F5363" s="11">
        <f>INT(B5363)</f>
        <v/>
      </c>
      <c r="G5363" s="11">
        <f>INT(C5363)</f>
        <v/>
      </c>
    </row>
    <row r="5364">
      <c r="A5364" s="2" t="inlineStr">
        <is>
          <t>EXD409</t>
        </is>
      </c>
      <c r="B5364" s="3" t="n">
        <v>46113.25</v>
      </c>
      <c r="C5364" s="3" t="n">
        <v>46113.32148148148</v>
      </c>
      <c r="D5364" s="4">
        <f>(C5364-B5364)*24</f>
        <v/>
      </c>
      <c r="E5364" s="5">
        <f>IF(AND(HOUR(B5364)&gt;=6,HOUR(B5364)&lt;18),"Day Shift","Night Shift")</f>
        <v/>
      </c>
      <c r="F5364" s="6">
        <f>INT(B5364)</f>
        <v/>
      </c>
      <c r="G5364" s="6">
        <f>INT(C5364)</f>
        <v/>
      </c>
    </row>
    <row r="5365">
      <c r="A5365" s="2" t="inlineStr">
        <is>
          <t>Blast</t>
        </is>
      </c>
      <c r="B5365" s="3" t="n">
        <v>46111.59314814815</v>
      </c>
      <c r="C5365" s="3" t="n">
        <v>46111.59333333333</v>
      </c>
      <c r="D5365" s="4">
        <f>(C5365-B5365)*24</f>
        <v/>
      </c>
      <c r="E5365" s="5">
        <f>IF(AND(HOUR(B5365)&gt;=6,HOUR(B5365)&lt;18),"Day Shift","Night Shift")</f>
        <v/>
      </c>
      <c r="F5365" s="6">
        <f>INT(B5365)</f>
        <v/>
      </c>
      <c r="G5365" s="6">
        <f>INT(C5365)</f>
        <v/>
      </c>
    </row>
    <row r="5366">
      <c r="A5366" s="2" t="inlineStr">
        <is>
          <t>Blast</t>
        </is>
      </c>
      <c r="B5366" s="3" t="n">
        <v>46111.59333333333</v>
      </c>
      <c r="C5366" s="3" t="n">
        <v>46111.59351851852</v>
      </c>
      <c r="D5366" s="4">
        <f>(C5366-B5366)*24</f>
        <v/>
      </c>
      <c r="E5366" s="5">
        <f>IF(AND(HOUR(B5366)&gt;=6,HOUR(B5366)&lt;18),"Day Shift","Night Shift")</f>
        <v/>
      </c>
      <c r="F5366" s="6">
        <f>INT(B5366)</f>
        <v/>
      </c>
      <c r="G5366" s="6">
        <f>INT(C5366)</f>
        <v/>
      </c>
    </row>
    <row r="5367">
      <c r="A5367" s="2" t="inlineStr">
        <is>
          <t>Blast</t>
        </is>
      </c>
      <c r="B5367" s="3" t="n">
        <v>46111.59351851852</v>
      </c>
      <c r="C5367" s="3" t="n">
        <v>46111.5937037037</v>
      </c>
      <c r="D5367" s="4">
        <f>(C5367-B5367)*24</f>
        <v/>
      </c>
      <c r="E5367" s="5">
        <f>IF(AND(HOUR(B5367)&gt;=6,HOUR(B5367)&lt;18),"Day Shift","Night Shift")</f>
        <v/>
      </c>
      <c r="F5367" s="6">
        <f>INT(B5367)</f>
        <v/>
      </c>
      <c r="G5367" s="6">
        <f>INT(C5367)</f>
        <v/>
      </c>
    </row>
    <row r="5368">
      <c r="A5368" s="2" t="inlineStr">
        <is>
          <t>Blast</t>
        </is>
      </c>
      <c r="B5368" s="3" t="n">
        <v>46111.5937037037</v>
      </c>
      <c r="C5368" s="3" t="n">
        <v>46111.59388888889</v>
      </c>
      <c r="D5368" s="4">
        <f>(C5368-B5368)*24</f>
        <v/>
      </c>
      <c r="E5368" s="5">
        <f>IF(AND(HOUR(B5368)&gt;=6,HOUR(B5368)&lt;18),"Day Shift","Night Shift")</f>
        <v/>
      </c>
      <c r="F5368" s="6">
        <f>INT(B5368)</f>
        <v/>
      </c>
      <c r="G5368" s="6">
        <f>INT(C5368)</f>
        <v/>
      </c>
    </row>
    <row r="5369">
      <c r="A5369" s="2" t="inlineStr">
        <is>
          <t>Blast</t>
        </is>
      </c>
      <c r="B5369" s="3" t="n">
        <v>46111.59388888889</v>
      </c>
      <c r="C5369" s="3" t="n">
        <v>46111.59407407408</v>
      </c>
      <c r="D5369" s="4">
        <f>(C5369-B5369)*24</f>
        <v/>
      </c>
      <c r="E5369" s="5">
        <f>IF(AND(HOUR(B5369)&gt;=6,HOUR(B5369)&lt;18),"Day Shift","Night Shift")</f>
        <v/>
      </c>
      <c r="F5369" s="6">
        <f>INT(B5369)</f>
        <v/>
      </c>
      <c r="G5369" s="6">
        <f>INT(C5369)</f>
        <v/>
      </c>
    </row>
    <row r="5370">
      <c r="A5370" s="2" t="inlineStr">
        <is>
          <t>Blast</t>
        </is>
      </c>
      <c r="B5370" s="3" t="n">
        <v>46111.59407407408</v>
      </c>
      <c r="C5370" s="3" t="n">
        <v>46111.59427083333</v>
      </c>
      <c r="D5370" s="4">
        <f>(C5370-B5370)*24</f>
        <v/>
      </c>
      <c r="E5370" s="5">
        <f>IF(AND(HOUR(B5370)&gt;=6,HOUR(B5370)&lt;18),"Day Shift","Night Shift")</f>
        <v/>
      </c>
      <c r="F5370" s="6">
        <f>INT(B5370)</f>
        <v/>
      </c>
      <c r="G5370" s="6">
        <f>INT(C5370)</f>
        <v/>
      </c>
    </row>
    <row r="5371">
      <c r="A5371" s="2" t="inlineStr">
        <is>
          <t>Blast</t>
        </is>
      </c>
      <c r="B5371" s="3" t="n">
        <v>46111.59427083333</v>
      </c>
      <c r="C5371" s="3" t="n">
        <v>46111.59445601852</v>
      </c>
      <c r="D5371" s="4">
        <f>(C5371-B5371)*24</f>
        <v/>
      </c>
      <c r="E5371" s="5">
        <f>IF(AND(HOUR(B5371)&gt;=6,HOUR(B5371)&lt;18),"Day Shift","Night Shift")</f>
        <v/>
      </c>
      <c r="F5371" s="6">
        <f>INT(B5371)</f>
        <v/>
      </c>
      <c r="G5371" s="6">
        <f>INT(C5371)</f>
        <v/>
      </c>
    </row>
    <row r="5372">
      <c r="A5372" s="2" t="inlineStr">
        <is>
          <t>Blast</t>
        </is>
      </c>
      <c r="B5372" s="3" t="n">
        <v>46111.59445601852</v>
      </c>
      <c r="C5372" s="3" t="n">
        <v>46111.59462962963</v>
      </c>
      <c r="D5372" s="4">
        <f>(C5372-B5372)*24</f>
        <v/>
      </c>
      <c r="E5372" s="5">
        <f>IF(AND(HOUR(B5372)&gt;=6,HOUR(B5372)&lt;18),"Day Shift","Night Shift")</f>
        <v/>
      </c>
      <c r="F5372" s="6">
        <f>INT(B5372)</f>
        <v/>
      </c>
      <c r="G5372" s="6">
        <f>INT(C5372)</f>
        <v/>
      </c>
    </row>
    <row r="5373">
      <c r="A5373" s="2" t="inlineStr">
        <is>
          <t>Blast</t>
        </is>
      </c>
      <c r="B5373" s="3" t="n">
        <v>46111.59462962963</v>
      </c>
      <c r="C5373" s="3" t="n">
        <v>46111.59480324074</v>
      </c>
      <c r="D5373" s="4">
        <f>(C5373-B5373)*24</f>
        <v/>
      </c>
      <c r="E5373" s="5">
        <f>IF(AND(HOUR(B5373)&gt;=6,HOUR(B5373)&lt;18),"Day Shift","Night Shift")</f>
        <v/>
      </c>
      <c r="F5373" s="6">
        <f>INT(B5373)</f>
        <v/>
      </c>
      <c r="G5373" s="6">
        <f>INT(C5373)</f>
        <v/>
      </c>
    </row>
    <row r="5374">
      <c r="A5374" s="2" t="inlineStr">
        <is>
          <t>Blast</t>
        </is>
      </c>
      <c r="B5374" s="3" t="n">
        <v>46111.59480324074</v>
      </c>
      <c r="C5374" s="3" t="n">
        <v>46111.595</v>
      </c>
      <c r="D5374" s="4">
        <f>(C5374-B5374)*24</f>
        <v/>
      </c>
      <c r="E5374" s="5">
        <f>IF(AND(HOUR(B5374)&gt;=6,HOUR(B5374)&lt;18),"Day Shift","Night Shift")</f>
        <v/>
      </c>
      <c r="F5374" s="6">
        <f>INT(B5374)</f>
        <v/>
      </c>
      <c r="G5374" s="6">
        <f>INT(C5374)</f>
        <v/>
      </c>
    </row>
    <row r="5375">
      <c r="A5375" s="2" t="inlineStr">
        <is>
          <t>Blast</t>
        </is>
      </c>
      <c r="B5375" s="3" t="n">
        <v>46111.595</v>
      </c>
      <c r="C5375" s="3" t="n">
        <v>46111.59518518519</v>
      </c>
      <c r="D5375" s="4">
        <f>(C5375-B5375)*24</f>
        <v/>
      </c>
      <c r="E5375" s="5">
        <f>IF(AND(HOUR(B5375)&gt;=6,HOUR(B5375)&lt;18),"Day Shift","Night Shift")</f>
        <v/>
      </c>
      <c r="F5375" s="6">
        <f>INT(B5375)</f>
        <v/>
      </c>
      <c r="G5375" s="6">
        <f>INT(C5375)</f>
        <v/>
      </c>
    </row>
    <row r="5376">
      <c r="A5376" s="2" t="inlineStr">
        <is>
          <t>Blast</t>
        </is>
      </c>
      <c r="B5376" s="3" t="n">
        <v>46111.59518518519</v>
      </c>
      <c r="C5376" s="3" t="n">
        <v>46111.59537037037</v>
      </c>
      <c r="D5376" s="4">
        <f>(C5376-B5376)*24</f>
        <v/>
      </c>
      <c r="E5376" s="5">
        <f>IF(AND(HOUR(B5376)&gt;=6,HOUR(B5376)&lt;18),"Day Shift","Night Shift")</f>
        <v/>
      </c>
      <c r="F5376" s="6">
        <f>INT(B5376)</f>
        <v/>
      </c>
      <c r="G5376" s="6">
        <f>INT(C5376)</f>
        <v/>
      </c>
    </row>
    <row r="5377">
      <c r="A5377" s="2" t="inlineStr">
        <is>
          <t>Blast</t>
        </is>
      </c>
      <c r="B5377" s="3" t="n">
        <v>46111.59537037037</v>
      </c>
      <c r="C5377" s="3" t="n">
        <v>46111.59555555556</v>
      </c>
      <c r="D5377" s="4">
        <f>(C5377-B5377)*24</f>
        <v/>
      </c>
      <c r="E5377" s="5">
        <f>IF(AND(HOUR(B5377)&gt;=6,HOUR(B5377)&lt;18),"Day Shift","Night Shift")</f>
        <v/>
      </c>
      <c r="F5377" s="6">
        <f>INT(B5377)</f>
        <v/>
      </c>
      <c r="G5377" s="6">
        <f>INT(C5377)</f>
        <v/>
      </c>
    </row>
    <row r="5378">
      <c r="A5378" s="2" t="inlineStr">
        <is>
          <t>Blast</t>
        </is>
      </c>
      <c r="B5378" s="3" t="n">
        <v>46111.59555555556</v>
      </c>
      <c r="C5378" s="3" t="n">
        <v>46111.59574074074</v>
      </c>
      <c r="D5378" s="4">
        <f>(C5378-B5378)*24</f>
        <v/>
      </c>
      <c r="E5378" s="5">
        <f>IF(AND(HOUR(B5378)&gt;=6,HOUR(B5378)&lt;18),"Day Shift","Night Shift")</f>
        <v/>
      </c>
      <c r="F5378" s="6">
        <f>INT(B5378)</f>
        <v/>
      </c>
      <c r="G5378" s="6">
        <f>INT(C5378)</f>
        <v/>
      </c>
    </row>
    <row r="5379">
      <c r="A5379" s="2" t="inlineStr">
        <is>
          <t>Blast</t>
        </is>
      </c>
      <c r="B5379" s="3" t="n">
        <v>46111.59574074074</v>
      </c>
      <c r="C5379" s="3" t="n">
        <v>46111.59592592593</v>
      </c>
      <c r="D5379" s="4">
        <f>(C5379-B5379)*24</f>
        <v/>
      </c>
      <c r="E5379" s="5">
        <f>IF(AND(HOUR(B5379)&gt;=6,HOUR(B5379)&lt;18),"Day Shift","Night Shift")</f>
        <v/>
      </c>
      <c r="F5379" s="6">
        <f>INT(B5379)</f>
        <v/>
      </c>
      <c r="G5379" s="6">
        <f>INT(C5379)</f>
        <v/>
      </c>
    </row>
    <row r="5380">
      <c r="A5380" s="2" t="inlineStr">
        <is>
          <t>Blast</t>
        </is>
      </c>
      <c r="B5380" s="3" t="n">
        <v>46111.59592592593</v>
      </c>
      <c r="C5380" s="3" t="n">
        <v>46111.59611111111</v>
      </c>
      <c r="D5380" s="4">
        <f>(C5380-B5380)*24</f>
        <v/>
      </c>
      <c r="E5380" s="5">
        <f>IF(AND(HOUR(B5380)&gt;=6,HOUR(B5380)&lt;18),"Day Shift","Night Shift")</f>
        <v/>
      </c>
      <c r="F5380" s="6">
        <f>INT(B5380)</f>
        <v/>
      </c>
      <c r="G5380" s="6">
        <f>INT(C5380)</f>
        <v/>
      </c>
    </row>
    <row r="5381">
      <c r="A5381" s="2" t="inlineStr">
        <is>
          <t>Blast</t>
        </is>
      </c>
      <c r="B5381" s="3" t="n">
        <v>46111.59611111111</v>
      </c>
      <c r="C5381" s="3" t="n">
        <v>46111.59629629629</v>
      </c>
      <c r="D5381" s="4">
        <f>(C5381-B5381)*24</f>
        <v/>
      </c>
      <c r="E5381" s="5">
        <f>IF(AND(HOUR(B5381)&gt;=6,HOUR(B5381)&lt;18),"Day Shift","Night Shift")</f>
        <v/>
      </c>
      <c r="F5381" s="6">
        <f>INT(B5381)</f>
        <v/>
      </c>
      <c r="G5381" s="6">
        <f>INT(C5381)</f>
        <v/>
      </c>
    </row>
    <row r="5382">
      <c r="A5382" s="2" t="inlineStr">
        <is>
          <t>Blast</t>
        </is>
      </c>
      <c r="B5382" s="3" t="n">
        <v>46111.59629629629</v>
      </c>
      <c r="C5382" s="3" t="n">
        <v>46111.59646990741</v>
      </c>
      <c r="D5382" s="4">
        <f>(C5382-B5382)*24</f>
        <v/>
      </c>
      <c r="E5382" s="5">
        <f>IF(AND(HOUR(B5382)&gt;=6,HOUR(B5382)&lt;18),"Day Shift","Night Shift")</f>
        <v/>
      </c>
      <c r="F5382" s="6">
        <f>INT(B5382)</f>
        <v/>
      </c>
      <c r="G5382" s="6">
        <f>INT(C5382)</f>
        <v/>
      </c>
    </row>
    <row r="5383">
      <c r="A5383" s="2" t="inlineStr">
        <is>
          <t>Blast</t>
        </is>
      </c>
      <c r="B5383" s="3" t="n">
        <v>46111.59646990741</v>
      </c>
      <c r="C5383" s="3" t="n">
        <v>46111.59663194444</v>
      </c>
      <c r="D5383" s="4">
        <f>(C5383-B5383)*24</f>
        <v/>
      </c>
      <c r="E5383" s="5">
        <f>IF(AND(HOUR(B5383)&gt;=6,HOUR(B5383)&lt;18),"Day Shift","Night Shift")</f>
        <v/>
      </c>
      <c r="F5383" s="6">
        <f>INT(B5383)</f>
        <v/>
      </c>
      <c r="G5383" s="6">
        <f>INT(C5383)</f>
        <v/>
      </c>
    </row>
    <row r="5384">
      <c r="A5384" s="2" t="inlineStr">
        <is>
          <t>Blast</t>
        </is>
      </c>
      <c r="B5384" s="3" t="n">
        <v>46111.59663194444</v>
      </c>
      <c r="C5384" s="3" t="n">
        <v>46111.59680555556</v>
      </c>
      <c r="D5384" s="4">
        <f>(C5384-B5384)*24</f>
        <v/>
      </c>
      <c r="E5384" s="5">
        <f>IF(AND(HOUR(B5384)&gt;=6,HOUR(B5384)&lt;18),"Day Shift","Night Shift")</f>
        <v/>
      </c>
      <c r="F5384" s="6">
        <f>INT(B5384)</f>
        <v/>
      </c>
      <c r="G5384" s="6">
        <f>INT(C5384)</f>
        <v/>
      </c>
    </row>
    <row r="5385">
      <c r="A5385" s="2" t="inlineStr">
        <is>
          <t>Blast</t>
        </is>
      </c>
      <c r="B5385" s="3" t="n">
        <v>46111.59680555556</v>
      </c>
      <c r="C5385" s="3" t="n">
        <v>46111.59699074074</v>
      </c>
      <c r="D5385" s="4">
        <f>(C5385-B5385)*24</f>
        <v/>
      </c>
      <c r="E5385" s="5">
        <f>IF(AND(HOUR(B5385)&gt;=6,HOUR(B5385)&lt;18),"Day Shift","Night Shift")</f>
        <v/>
      </c>
      <c r="F5385" s="6">
        <f>INT(B5385)</f>
        <v/>
      </c>
      <c r="G5385" s="6">
        <f>INT(C5385)</f>
        <v/>
      </c>
    </row>
    <row r="5386">
      <c r="A5386" s="2" t="inlineStr">
        <is>
          <t>Blast</t>
        </is>
      </c>
      <c r="B5386" s="3" t="n">
        <v>46111.59699074074</v>
      </c>
      <c r="C5386" s="3" t="n">
        <v>46111.59717592593</v>
      </c>
      <c r="D5386" s="4">
        <f>(C5386-B5386)*24</f>
        <v/>
      </c>
      <c r="E5386" s="5">
        <f>IF(AND(HOUR(B5386)&gt;=6,HOUR(B5386)&lt;18),"Day Shift","Night Shift")</f>
        <v/>
      </c>
      <c r="F5386" s="6">
        <f>INT(B5386)</f>
        <v/>
      </c>
      <c r="G5386" s="6">
        <f>INT(C5386)</f>
        <v/>
      </c>
    </row>
    <row r="5387">
      <c r="A5387" s="2" t="inlineStr">
        <is>
          <t>Blast</t>
        </is>
      </c>
      <c r="B5387" s="3" t="n">
        <v>46111.59717592593</v>
      </c>
      <c r="C5387" s="3" t="n">
        <v>46111.59734953703</v>
      </c>
      <c r="D5387" s="4">
        <f>(C5387-B5387)*24</f>
        <v/>
      </c>
      <c r="E5387" s="5">
        <f>IF(AND(HOUR(B5387)&gt;=6,HOUR(B5387)&lt;18),"Day Shift","Night Shift")</f>
        <v/>
      </c>
      <c r="F5387" s="6">
        <f>INT(B5387)</f>
        <v/>
      </c>
      <c r="G5387" s="6">
        <f>INT(C5387)</f>
        <v/>
      </c>
    </row>
    <row r="5388">
      <c r="A5388" s="2" t="inlineStr">
        <is>
          <t>Blast</t>
        </is>
      </c>
      <c r="B5388" s="3" t="n">
        <v>46111.59734953703</v>
      </c>
      <c r="C5388" s="3" t="n">
        <v>46111.59752314815</v>
      </c>
      <c r="D5388" s="4">
        <f>(C5388-B5388)*24</f>
        <v/>
      </c>
      <c r="E5388" s="5">
        <f>IF(AND(HOUR(B5388)&gt;=6,HOUR(B5388)&lt;18),"Day Shift","Night Shift")</f>
        <v/>
      </c>
      <c r="F5388" s="6">
        <f>INT(B5388)</f>
        <v/>
      </c>
      <c r="G5388" s="6">
        <f>INT(C5388)</f>
        <v/>
      </c>
    </row>
    <row r="5389">
      <c r="A5389" s="2" t="inlineStr">
        <is>
          <t>Blast</t>
        </is>
      </c>
      <c r="B5389" s="3" t="n">
        <v>46111.59752314815</v>
      </c>
      <c r="C5389" s="3" t="n">
        <v>46111.59770833333</v>
      </c>
      <c r="D5389" s="4">
        <f>(C5389-B5389)*24</f>
        <v/>
      </c>
      <c r="E5389" s="5">
        <f>IF(AND(HOUR(B5389)&gt;=6,HOUR(B5389)&lt;18),"Day Shift","Night Shift")</f>
        <v/>
      </c>
      <c r="F5389" s="6">
        <f>INT(B5389)</f>
        <v/>
      </c>
      <c r="G5389" s="6">
        <f>INT(C5389)</f>
        <v/>
      </c>
    </row>
    <row r="5390">
      <c r="A5390" s="2" t="inlineStr">
        <is>
          <t>Blast</t>
        </is>
      </c>
      <c r="B5390" s="3" t="n">
        <v>46111.59770833333</v>
      </c>
      <c r="C5390" s="3" t="n">
        <v>46111.59789351852</v>
      </c>
      <c r="D5390" s="4">
        <f>(C5390-B5390)*24</f>
        <v/>
      </c>
      <c r="E5390" s="5">
        <f>IF(AND(HOUR(B5390)&gt;=6,HOUR(B5390)&lt;18),"Day Shift","Night Shift")</f>
        <v/>
      </c>
      <c r="F5390" s="6">
        <f>INT(B5390)</f>
        <v/>
      </c>
      <c r="G5390" s="6">
        <f>INT(C5390)</f>
        <v/>
      </c>
    </row>
    <row r="5391">
      <c r="A5391" s="2" t="inlineStr">
        <is>
          <t>Blast</t>
        </is>
      </c>
      <c r="B5391" s="3" t="n">
        <v>46111.59789351852</v>
      </c>
      <c r="C5391" s="3" t="n">
        <v>46111.59806712963</v>
      </c>
      <c r="D5391" s="4">
        <f>(C5391-B5391)*24</f>
        <v/>
      </c>
      <c r="E5391" s="5">
        <f>IF(AND(HOUR(B5391)&gt;=6,HOUR(B5391)&lt;18),"Day Shift","Night Shift")</f>
        <v/>
      </c>
      <c r="F5391" s="6">
        <f>INT(B5391)</f>
        <v/>
      </c>
      <c r="G5391" s="6">
        <f>INT(C5391)</f>
        <v/>
      </c>
    </row>
    <row r="5392">
      <c r="A5392" s="2" t="inlineStr">
        <is>
          <t>Blast</t>
        </is>
      </c>
      <c r="B5392" s="3" t="n">
        <v>46111.59806712963</v>
      </c>
      <c r="C5392" s="3" t="n">
        <v>46111.59824074074</v>
      </c>
      <c r="D5392" s="4">
        <f>(C5392-B5392)*24</f>
        <v/>
      </c>
      <c r="E5392" s="5">
        <f>IF(AND(HOUR(B5392)&gt;=6,HOUR(B5392)&lt;18),"Day Shift","Night Shift")</f>
        <v/>
      </c>
      <c r="F5392" s="6">
        <f>INT(B5392)</f>
        <v/>
      </c>
      <c r="G5392" s="6">
        <f>INT(C5392)</f>
        <v/>
      </c>
    </row>
    <row r="5393">
      <c r="A5393" s="2" t="inlineStr">
        <is>
          <t>Blast</t>
        </is>
      </c>
      <c r="B5393" s="3" t="n">
        <v>46111.59824074074</v>
      </c>
      <c r="C5393" s="3" t="n">
        <v>46111.59840277778</v>
      </c>
      <c r="D5393" s="4">
        <f>(C5393-B5393)*24</f>
        <v/>
      </c>
      <c r="E5393" s="5">
        <f>IF(AND(HOUR(B5393)&gt;=6,HOUR(B5393)&lt;18),"Day Shift","Night Shift")</f>
        <v/>
      </c>
      <c r="F5393" s="6">
        <f>INT(B5393)</f>
        <v/>
      </c>
      <c r="G5393" s="6">
        <f>INT(C5393)</f>
        <v/>
      </c>
    </row>
    <row r="5394">
      <c r="A5394" s="2" t="inlineStr">
        <is>
          <t>Blast</t>
        </is>
      </c>
      <c r="B5394" s="3" t="n">
        <v>46111.59840277778</v>
      </c>
      <c r="C5394" s="3" t="n">
        <v>46111.59857638889</v>
      </c>
      <c r="D5394" s="4">
        <f>(C5394-B5394)*24</f>
        <v/>
      </c>
      <c r="E5394" s="5">
        <f>IF(AND(HOUR(B5394)&gt;=6,HOUR(B5394)&lt;18),"Day Shift","Night Shift")</f>
        <v/>
      </c>
      <c r="F5394" s="6">
        <f>INT(B5394)</f>
        <v/>
      </c>
      <c r="G5394" s="6">
        <f>INT(C5394)</f>
        <v/>
      </c>
    </row>
    <row r="5395">
      <c r="A5395" s="2" t="inlineStr">
        <is>
          <t>Blast</t>
        </is>
      </c>
      <c r="B5395" s="3" t="n">
        <v>46111.59857638889</v>
      </c>
      <c r="C5395" s="3" t="n">
        <v>46111.59875</v>
      </c>
      <c r="D5395" s="4">
        <f>(C5395-B5395)*24</f>
        <v/>
      </c>
      <c r="E5395" s="5">
        <f>IF(AND(HOUR(B5395)&gt;=6,HOUR(B5395)&lt;18),"Day Shift","Night Shift")</f>
        <v/>
      </c>
      <c r="F5395" s="6">
        <f>INT(B5395)</f>
        <v/>
      </c>
      <c r="G5395" s="6">
        <f>INT(C5395)</f>
        <v/>
      </c>
    </row>
    <row r="5396">
      <c r="A5396" s="2" t="inlineStr">
        <is>
          <t>Blast</t>
        </is>
      </c>
      <c r="B5396" s="3" t="n">
        <v>46111.59875</v>
      </c>
      <c r="C5396" s="3" t="n">
        <v>46111.59892361111</v>
      </c>
      <c r="D5396" s="4">
        <f>(C5396-B5396)*24</f>
        <v/>
      </c>
      <c r="E5396" s="5">
        <f>IF(AND(HOUR(B5396)&gt;=6,HOUR(B5396)&lt;18),"Day Shift","Night Shift")</f>
        <v/>
      </c>
      <c r="F5396" s="6">
        <f>INT(B5396)</f>
        <v/>
      </c>
      <c r="G5396" s="6">
        <f>INT(C5396)</f>
        <v/>
      </c>
    </row>
    <row r="5397">
      <c r="A5397" s="2" t="inlineStr">
        <is>
          <t>Blast</t>
        </is>
      </c>
      <c r="B5397" s="3" t="n">
        <v>46111.59892361111</v>
      </c>
      <c r="C5397" s="3" t="n">
        <v>46111.59909722222</v>
      </c>
      <c r="D5397" s="4">
        <f>(C5397-B5397)*24</f>
        <v/>
      </c>
      <c r="E5397" s="5">
        <f>IF(AND(HOUR(B5397)&gt;=6,HOUR(B5397)&lt;18),"Day Shift","Night Shift")</f>
        <v/>
      </c>
      <c r="F5397" s="6">
        <f>INT(B5397)</f>
        <v/>
      </c>
      <c r="G5397" s="6">
        <f>INT(C5397)</f>
        <v/>
      </c>
    </row>
    <row r="5398">
      <c r="A5398" s="2" t="inlineStr">
        <is>
          <t>Blast</t>
        </is>
      </c>
      <c r="B5398" s="3" t="n">
        <v>46111.59909722222</v>
      </c>
      <c r="C5398" s="3" t="n">
        <v>46111.59927083334</v>
      </c>
      <c r="D5398" s="4">
        <f>(C5398-B5398)*24</f>
        <v/>
      </c>
      <c r="E5398" s="5">
        <f>IF(AND(HOUR(B5398)&gt;=6,HOUR(B5398)&lt;18),"Day Shift","Night Shift")</f>
        <v/>
      </c>
      <c r="F5398" s="6">
        <f>INT(B5398)</f>
        <v/>
      </c>
      <c r="G5398" s="6">
        <f>INT(C5398)</f>
        <v/>
      </c>
    </row>
    <row r="5399">
      <c r="A5399" s="2" t="inlineStr">
        <is>
          <t>Blast</t>
        </is>
      </c>
      <c r="B5399" s="3" t="n">
        <v>46111.59927083334</v>
      </c>
      <c r="C5399" s="3" t="n">
        <v>46111.59943287037</v>
      </c>
      <c r="D5399" s="4">
        <f>(C5399-B5399)*24</f>
        <v/>
      </c>
      <c r="E5399" s="5">
        <f>IF(AND(HOUR(B5399)&gt;=6,HOUR(B5399)&lt;18),"Day Shift","Night Shift")</f>
        <v/>
      </c>
      <c r="F5399" s="6">
        <f>INT(B5399)</f>
        <v/>
      </c>
      <c r="G5399" s="6">
        <f>INT(C5399)</f>
        <v/>
      </c>
    </row>
    <row r="5400">
      <c r="A5400" s="2" t="inlineStr">
        <is>
          <t>Blast</t>
        </is>
      </c>
      <c r="B5400" s="3" t="n">
        <v>46111.59943287037</v>
      </c>
      <c r="C5400" s="3" t="n">
        <v>46111.59957175926</v>
      </c>
      <c r="D5400" s="4">
        <f>(C5400-B5400)*24</f>
        <v/>
      </c>
      <c r="E5400" s="5">
        <f>IF(AND(HOUR(B5400)&gt;=6,HOUR(B5400)&lt;18),"Day Shift","Night Shift")</f>
        <v/>
      </c>
      <c r="F5400" s="6">
        <f>INT(B5400)</f>
        <v/>
      </c>
      <c r="G5400" s="6">
        <f>INT(C5400)</f>
        <v/>
      </c>
    </row>
    <row r="5401">
      <c r="A5401" s="2" t="inlineStr">
        <is>
          <t>Blast</t>
        </is>
      </c>
      <c r="B5401" s="3" t="n">
        <v>46111.59957175926</v>
      </c>
      <c r="C5401" s="3" t="n">
        <v>46111.59971064814</v>
      </c>
      <c r="D5401" s="4">
        <f>(C5401-B5401)*24</f>
        <v/>
      </c>
      <c r="E5401" s="5">
        <f>IF(AND(HOUR(B5401)&gt;=6,HOUR(B5401)&lt;18),"Day Shift","Night Shift")</f>
        <v/>
      </c>
      <c r="F5401" s="6">
        <f>INT(B5401)</f>
        <v/>
      </c>
      <c r="G5401" s="6">
        <f>INT(C5401)</f>
        <v/>
      </c>
    </row>
    <row r="5402">
      <c r="A5402" s="2" t="inlineStr">
        <is>
          <t>Blast</t>
        </is>
      </c>
      <c r="B5402" s="3" t="n">
        <v>46111.59971064814</v>
      </c>
      <c r="C5402" s="3" t="n">
        <v>46111.59986111111</v>
      </c>
      <c r="D5402" s="4">
        <f>(C5402-B5402)*24</f>
        <v/>
      </c>
      <c r="E5402" s="5">
        <f>IF(AND(HOUR(B5402)&gt;=6,HOUR(B5402)&lt;18),"Day Shift","Night Shift")</f>
        <v/>
      </c>
      <c r="F5402" s="6">
        <f>INT(B5402)</f>
        <v/>
      </c>
      <c r="G5402" s="6">
        <f>INT(C5402)</f>
        <v/>
      </c>
    </row>
    <row r="5403">
      <c r="A5403" s="2" t="inlineStr">
        <is>
          <t>Blast</t>
        </is>
      </c>
      <c r="B5403" s="3" t="n">
        <v>46111.59986111111</v>
      </c>
      <c r="C5403" s="3" t="n">
        <v>46111.60002314814</v>
      </c>
      <c r="D5403" s="4">
        <f>(C5403-B5403)*24</f>
        <v/>
      </c>
      <c r="E5403" s="5">
        <f>IF(AND(HOUR(B5403)&gt;=6,HOUR(B5403)&lt;18),"Day Shift","Night Shift")</f>
        <v/>
      </c>
      <c r="F5403" s="6">
        <f>INT(B5403)</f>
        <v/>
      </c>
      <c r="G5403" s="6">
        <f>INT(C5403)</f>
        <v/>
      </c>
    </row>
    <row r="5404">
      <c r="A5404" s="2" t="inlineStr">
        <is>
          <t>Blast</t>
        </is>
      </c>
      <c r="B5404" s="3" t="n">
        <v>46111.60002314814</v>
      </c>
      <c r="C5404" s="3" t="n">
        <v>46111.60017361111</v>
      </c>
      <c r="D5404" s="4">
        <f>(C5404-B5404)*24</f>
        <v/>
      </c>
      <c r="E5404" s="5">
        <f>IF(AND(HOUR(B5404)&gt;=6,HOUR(B5404)&lt;18),"Day Shift","Night Shift")</f>
        <v/>
      </c>
      <c r="F5404" s="6">
        <f>INT(B5404)</f>
        <v/>
      </c>
      <c r="G5404" s="6">
        <f>INT(C5404)</f>
        <v/>
      </c>
    </row>
    <row r="5405">
      <c r="A5405" s="2" t="inlineStr">
        <is>
          <t>Blast</t>
        </is>
      </c>
      <c r="B5405" s="3" t="n">
        <v>46111.60017361111</v>
      </c>
      <c r="C5405" s="3" t="n">
        <v>46111.6003125</v>
      </c>
      <c r="D5405" s="4">
        <f>(C5405-B5405)*24</f>
        <v/>
      </c>
      <c r="E5405" s="5">
        <f>IF(AND(HOUR(B5405)&gt;=6,HOUR(B5405)&lt;18),"Day Shift","Night Shift")</f>
        <v/>
      </c>
      <c r="F5405" s="6">
        <f>INT(B5405)</f>
        <v/>
      </c>
      <c r="G5405" s="6">
        <f>INT(C5405)</f>
        <v/>
      </c>
    </row>
    <row r="5406">
      <c r="A5406" s="2" t="inlineStr">
        <is>
          <t>Blast</t>
        </is>
      </c>
      <c r="B5406" s="3" t="n">
        <v>46111.6003125</v>
      </c>
      <c r="C5406" s="3" t="n">
        <v>46111.60041666667</v>
      </c>
      <c r="D5406" s="4">
        <f>(C5406-B5406)*24</f>
        <v/>
      </c>
      <c r="E5406" s="5">
        <f>IF(AND(HOUR(B5406)&gt;=6,HOUR(B5406)&lt;18),"Day Shift","Night Shift")</f>
        <v/>
      </c>
      <c r="F5406" s="6">
        <f>INT(B5406)</f>
        <v/>
      </c>
      <c r="G5406" s="6">
        <f>INT(C5406)</f>
        <v/>
      </c>
    </row>
    <row r="5407">
      <c r="A5407" s="2" t="inlineStr">
        <is>
          <t>Blast</t>
        </is>
      </c>
      <c r="B5407" s="3" t="n">
        <v>46111.60041666667</v>
      </c>
      <c r="C5407" s="3" t="n">
        <v>46111.60060185185</v>
      </c>
      <c r="D5407" s="4">
        <f>(C5407-B5407)*24</f>
        <v/>
      </c>
      <c r="E5407" s="5">
        <f>IF(AND(HOUR(B5407)&gt;=6,HOUR(B5407)&lt;18),"Day Shift","Night Shift")</f>
        <v/>
      </c>
      <c r="F5407" s="6">
        <f>INT(B5407)</f>
        <v/>
      </c>
      <c r="G5407" s="6">
        <f>INT(C5407)</f>
        <v/>
      </c>
    </row>
    <row r="5408">
      <c r="A5408" s="2" t="inlineStr">
        <is>
          <t>Blast</t>
        </is>
      </c>
      <c r="B5408" s="3" t="n">
        <v>46111.60060185185</v>
      </c>
      <c r="C5408" s="3" t="n">
        <v>46111.60074074074</v>
      </c>
      <c r="D5408" s="4">
        <f>(C5408-B5408)*24</f>
        <v/>
      </c>
      <c r="E5408" s="5">
        <f>IF(AND(HOUR(B5408)&gt;=6,HOUR(B5408)&lt;18),"Day Shift","Night Shift")</f>
        <v/>
      </c>
      <c r="F5408" s="6">
        <f>INT(B5408)</f>
        <v/>
      </c>
      <c r="G5408" s="6">
        <f>INT(C5408)</f>
        <v/>
      </c>
    </row>
    <row r="5409">
      <c r="A5409" s="2" t="inlineStr">
        <is>
          <t>Blast</t>
        </is>
      </c>
      <c r="B5409" s="3" t="n">
        <v>46111.60074074074</v>
      </c>
      <c r="C5409" s="3" t="n">
        <v>46111.60086805555</v>
      </c>
      <c r="D5409" s="4">
        <f>(C5409-B5409)*24</f>
        <v/>
      </c>
      <c r="E5409" s="5">
        <f>IF(AND(HOUR(B5409)&gt;=6,HOUR(B5409)&lt;18),"Day Shift","Night Shift")</f>
        <v/>
      </c>
      <c r="F5409" s="6">
        <f>INT(B5409)</f>
        <v/>
      </c>
      <c r="G5409" s="6">
        <f>INT(C5409)</f>
        <v/>
      </c>
    </row>
    <row r="5410">
      <c r="A5410" s="2" t="inlineStr">
        <is>
          <t>Blast</t>
        </is>
      </c>
      <c r="B5410" s="3" t="n">
        <v>46111.60086805555</v>
      </c>
      <c r="C5410" s="3" t="n">
        <v>46111.60100694445</v>
      </c>
      <c r="D5410" s="4">
        <f>(C5410-B5410)*24</f>
        <v/>
      </c>
      <c r="E5410" s="5">
        <f>IF(AND(HOUR(B5410)&gt;=6,HOUR(B5410)&lt;18),"Day Shift","Night Shift")</f>
        <v/>
      </c>
      <c r="F5410" s="6">
        <f>INT(B5410)</f>
        <v/>
      </c>
      <c r="G5410" s="6">
        <f>INT(C5410)</f>
        <v/>
      </c>
    </row>
    <row r="5411">
      <c r="A5411" s="2" t="inlineStr">
        <is>
          <t>Blast</t>
        </is>
      </c>
      <c r="B5411" s="3" t="n">
        <v>46111.60100694445</v>
      </c>
      <c r="C5411" s="3" t="n">
        <v>46111.60113425926</v>
      </c>
      <c r="D5411" s="4">
        <f>(C5411-B5411)*24</f>
        <v/>
      </c>
      <c r="E5411" s="5">
        <f>IF(AND(HOUR(B5411)&gt;=6,HOUR(B5411)&lt;18),"Day Shift","Night Shift")</f>
        <v/>
      </c>
      <c r="F5411" s="6">
        <f>INT(B5411)</f>
        <v/>
      </c>
      <c r="G5411" s="6">
        <f>INT(C5411)</f>
        <v/>
      </c>
    </row>
    <row r="5412">
      <c r="A5412" s="2" t="inlineStr">
        <is>
          <t>Blast</t>
        </is>
      </c>
      <c r="B5412" s="3" t="n">
        <v>46111.60113425926</v>
      </c>
      <c r="C5412" s="3" t="n">
        <v>46111.60127314815</v>
      </c>
      <c r="D5412" s="4">
        <f>(C5412-B5412)*24</f>
        <v/>
      </c>
      <c r="E5412" s="5">
        <f>IF(AND(HOUR(B5412)&gt;=6,HOUR(B5412)&lt;18),"Day Shift","Night Shift")</f>
        <v/>
      </c>
      <c r="F5412" s="6">
        <f>INT(B5412)</f>
        <v/>
      </c>
      <c r="G5412" s="6">
        <f>INT(C5412)</f>
        <v/>
      </c>
    </row>
    <row r="5413">
      <c r="A5413" s="2" t="inlineStr">
        <is>
          <t>Blast</t>
        </is>
      </c>
      <c r="B5413" s="3" t="n">
        <v>46111.60127314815</v>
      </c>
      <c r="C5413" s="3" t="n">
        <v>46111.60134259259</v>
      </c>
      <c r="D5413" s="4">
        <f>(C5413-B5413)*24</f>
        <v/>
      </c>
      <c r="E5413" s="5">
        <f>IF(AND(HOUR(B5413)&gt;=6,HOUR(B5413)&lt;18),"Day Shift","Night Shift")</f>
        <v/>
      </c>
      <c r="F5413" s="6">
        <f>INT(B5413)</f>
        <v/>
      </c>
      <c r="G5413" s="6">
        <f>INT(C5413)</f>
        <v/>
      </c>
    </row>
    <row r="5414">
      <c r="A5414" s="2" t="inlineStr">
        <is>
          <t>Blast</t>
        </is>
      </c>
      <c r="B5414" s="3" t="n">
        <v>46111.60134259259</v>
      </c>
      <c r="C5414" s="3" t="n">
        <v>46111.60136574074</v>
      </c>
      <c r="D5414" s="4">
        <f>(C5414-B5414)*24</f>
        <v/>
      </c>
      <c r="E5414" s="5">
        <f>IF(AND(HOUR(B5414)&gt;=6,HOUR(B5414)&lt;18),"Day Shift","Night Shift")</f>
        <v/>
      </c>
      <c r="F5414" s="6">
        <f>INT(B5414)</f>
        <v/>
      </c>
      <c r="G5414" s="6">
        <f>INT(C5414)</f>
        <v/>
      </c>
    </row>
    <row r="5415">
      <c r="A5415" s="2" t="inlineStr">
        <is>
          <t>EXD51</t>
        </is>
      </c>
      <c r="B5415" s="3" t="n">
        <v>46111.71841435185</v>
      </c>
      <c r="C5415" s="3" t="n">
        <v>46111.75</v>
      </c>
      <c r="D5415" s="4">
        <f>(C5415-B5415)*24</f>
        <v/>
      </c>
      <c r="E5415" s="5">
        <f>IF(AND(HOUR(B5415)&gt;=6,HOUR(B5415)&lt;18),"Day Shift","Night Shift")</f>
        <v/>
      </c>
      <c r="F5415" s="6">
        <f>INT(B5415)</f>
        <v/>
      </c>
      <c r="G5415" s="6">
        <f>INT(C5415)</f>
        <v/>
      </c>
    </row>
    <row r="5416">
      <c r="A5416" s="7" t="inlineStr">
        <is>
          <t>EXD51</t>
        </is>
      </c>
      <c r="B5416" s="8" t="n">
        <v>46111.75</v>
      </c>
      <c r="C5416" s="8" t="n">
        <v>46112.12533564815</v>
      </c>
      <c r="D5416" s="9">
        <f>(C5416-B5416)*24</f>
        <v/>
      </c>
      <c r="E5416" s="10">
        <f>IF(AND(HOUR(B5416)&gt;=6,HOUR(B5416)&lt;18),"Day Shift","Night Shift")</f>
        <v/>
      </c>
      <c r="F5416" s="11">
        <f>INT(B5416)</f>
        <v/>
      </c>
      <c r="G5416" s="11">
        <f>INT(C5416)</f>
        <v/>
      </c>
    </row>
    <row r="5417">
      <c r="A5417" s="7" t="inlineStr">
        <is>
          <t>EXD55</t>
        </is>
      </c>
      <c r="B5417" s="8" t="n">
        <v>46111.93402777778</v>
      </c>
      <c r="C5417" s="8" t="n">
        <v>46112.25</v>
      </c>
      <c r="D5417" s="9">
        <f>(C5417-B5417)*24</f>
        <v/>
      </c>
      <c r="E5417" s="10">
        <f>IF(AND(HOUR(B5417)&gt;=6,HOUR(B5417)&lt;18),"Day Shift","Night Shift")</f>
        <v/>
      </c>
      <c r="F5417" s="11">
        <f>INT(B5417)</f>
        <v/>
      </c>
      <c r="G5417" s="11">
        <f>INT(C5417)</f>
        <v/>
      </c>
    </row>
    <row r="5418">
      <c r="A5418" s="2" t="inlineStr">
        <is>
          <t>EXD55</t>
        </is>
      </c>
      <c r="B5418" s="3" t="n">
        <v>46112.25</v>
      </c>
      <c r="C5418" s="3" t="n">
        <v>46112.75</v>
      </c>
      <c r="D5418" s="4">
        <f>(C5418-B5418)*24</f>
        <v/>
      </c>
      <c r="E5418" s="5">
        <f>IF(AND(HOUR(B5418)&gt;=6,HOUR(B5418)&lt;18),"Day Shift","Night Shift")</f>
        <v/>
      </c>
      <c r="F5418" s="6">
        <f>INT(B5418)</f>
        <v/>
      </c>
      <c r="G5418" s="6">
        <f>INT(C5418)</f>
        <v/>
      </c>
    </row>
    <row r="5419">
      <c r="A5419" s="7" t="inlineStr">
        <is>
          <t>EXD55</t>
        </is>
      </c>
      <c r="B5419" s="8" t="n">
        <v>46112.75</v>
      </c>
      <c r="C5419" s="8" t="n">
        <v>46113.25</v>
      </c>
      <c r="D5419" s="9">
        <f>(C5419-B5419)*24</f>
        <v/>
      </c>
      <c r="E5419" s="10">
        <f>IF(AND(HOUR(B5419)&gt;=6,HOUR(B5419)&lt;18),"Day Shift","Night Shift")</f>
        <v/>
      </c>
      <c r="F5419" s="11">
        <f>INT(B5419)</f>
        <v/>
      </c>
      <c r="G5419" s="11">
        <f>INT(C5419)</f>
        <v/>
      </c>
    </row>
    <row r="5420">
      <c r="A5420" s="2" t="inlineStr">
        <is>
          <t>EXD55</t>
        </is>
      </c>
      <c r="B5420" s="3" t="n">
        <v>46113.25</v>
      </c>
      <c r="C5420" s="3" t="n">
        <v>46113.75</v>
      </c>
      <c r="D5420" s="4">
        <f>(C5420-B5420)*24</f>
        <v/>
      </c>
      <c r="E5420" s="5">
        <f>IF(AND(HOUR(B5420)&gt;=6,HOUR(B5420)&lt;18),"Day Shift","Night Shift")</f>
        <v/>
      </c>
      <c r="F5420" s="6">
        <f>INT(B5420)</f>
        <v/>
      </c>
      <c r="G5420" s="6">
        <f>INT(C5420)</f>
        <v/>
      </c>
    </row>
    <row r="5421">
      <c r="A5421" s="7" t="inlineStr">
        <is>
          <t>EXD55</t>
        </is>
      </c>
      <c r="B5421" s="8" t="n">
        <v>46113.75</v>
      </c>
      <c r="C5421" s="8" t="n">
        <v>46114.25</v>
      </c>
      <c r="D5421" s="9">
        <f>(C5421-B5421)*24</f>
        <v/>
      </c>
      <c r="E5421" s="10">
        <f>IF(AND(HOUR(B5421)&gt;=6,HOUR(B5421)&lt;18),"Day Shift","Night Shift")</f>
        <v/>
      </c>
      <c r="F5421" s="11">
        <f>INT(B5421)</f>
        <v/>
      </c>
      <c r="G5421" s="11">
        <f>INT(C5421)</f>
        <v/>
      </c>
    </row>
    <row r="5422">
      <c r="A5422" s="2" t="inlineStr">
        <is>
          <t>EXD55</t>
        </is>
      </c>
      <c r="B5422" s="3" t="n">
        <v>46114.25</v>
      </c>
      <c r="C5422" s="3" t="n">
        <v>46114.75</v>
      </c>
      <c r="D5422" s="4">
        <f>(C5422-B5422)*24</f>
        <v/>
      </c>
      <c r="E5422" s="5">
        <f>IF(AND(HOUR(B5422)&gt;=6,HOUR(B5422)&lt;18),"Day Shift","Night Shift")</f>
        <v/>
      </c>
      <c r="F5422" s="6">
        <f>INT(B5422)</f>
        <v/>
      </c>
      <c r="G5422" s="6">
        <f>INT(C5422)</f>
        <v/>
      </c>
    </row>
    <row r="5423">
      <c r="A5423" s="7" t="inlineStr">
        <is>
          <t>EXD55</t>
        </is>
      </c>
      <c r="B5423" s="8" t="n">
        <v>46114.75</v>
      </c>
      <c r="C5423" s="8" t="n">
        <v>46115.13619212963</v>
      </c>
      <c r="D5423" s="9">
        <f>(C5423-B5423)*24</f>
        <v/>
      </c>
      <c r="E5423" s="10">
        <f>IF(AND(HOUR(B5423)&gt;=6,HOUR(B5423)&lt;18),"Day Shift","Night Shift")</f>
        <v/>
      </c>
      <c r="F5423" s="11">
        <f>INT(B5423)</f>
        <v/>
      </c>
      <c r="G5423" s="11">
        <f>INT(C5423)</f>
        <v/>
      </c>
    </row>
    <row r="5424">
      <c r="A5424" s="7" t="inlineStr">
        <is>
          <t>EDD175;EDD1932;EDD2134;EDD2541;EDD812</t>
        </is>
      </c>
      <c r="B5424" s="8" t="n">
        <v>46111.95172453704</v>
      </c>
      <c r="C5424" s="8" t="n">
        <v>46112.25</v>
      </c>
      <c r="D5424" s="9">
        <f>(C5424-B5424)*24</f>
        <v/>
      </c>
      <c r="E5424" s="10">
        <f>IF(AND(HOUR(B5424)&gt;=6,HOUR(B5424)&lt;18),"Day Shift","Night Shift")</f>
        <v/>
      </c>
      <c r="F5424" s="11">
        <f>INT(B5424)</f>
        <v/>
      </c>
      <c r="G5424" s="11">
        <f>INT(C5424)</f>
        <v/>
      </c>
    </row>
    <row r="5425">
      <c r="A5425" s="2" t="inlineStr">
        <is>
          <t>EDD175;EDD1932;EDD2134;EDD2541;EDD812</t>
        </is>
      </c>
      <c r="B5425" s="3" t="n">
        <v>46112.25</v>
      </c>
      <c r="C5425" s="3" t="n">
        <v>46112.75</v>
      </c>
      <c r="D5425" s="4">
        <f>(C5425-B5425)*24</f>
        <v/>
      </c>
      <c r="E5425" s="5">
        <f>IF(AND(HOUR(B5425)&gt;=6,HOUR(B5425)&lt;18),"Day Shift","Night Shift")</f>
        <v/>
      </c>
      <c r="F5425" s="6">
        <f>INT(B5425)</f>
        <v/>
      </c>
      <c r="G5425" s="6">
        <f>INT(C5425)</f>
        <v/>
      </c>
    </row>
    <row r="5426">
      <c r="A5426" s="7" t="inlineStr">
        <is>
          <t>EDD175;EDD1932;EDD2134;EDD2541;EDD812</t>
        </is>
      </c>
      <c r="B5426" s="8" t="n">
        <v>46112.75</v>
      </c>
      <c r="C5426" s="8" t="n">
        <v>46113.23135416667</v>
      </c>
      <c r="D5426" s="9">
        <f>(C5426-B5426)*24</f>
        <v/>
      </c>
      <c r="E5426" s="10">
        <f>IF(AND(HOUR(B5426)&gt;=6,HOUR(B5426)&lt;18),"Day Shift","Night Shift")</f>
        <v/>
      </c>
      <c r="F5426" s="11">
        <f>INT(B5426)</f>
        <v/>
      </c>
      <c r="G5426" s="11">
        <f>INT(C5426)</f>
        <v/>
      </c>
    </row>
    <row r="5427">
      <c r="A5427" s="7" t="inlineStr">
        <is>
          <t>EXD52;LDW262</t>
        </is>
      </c>
      <c r="B5427" s="8" t="n">
        <v>46111.98905092593</v>
      </c>
      <c r="C5427" s="8" t="n">
        <v>46112.25</v>
      </c>
      <c r="D5427" s="9">
        <f>(C5427-B5427)*24</f>
        <v/>
      </c>
      <c r="E5427" s="10">
        <f>IF(AND(HOUR(B5427)&gt;=6,HOUR(B5427)&lt;18),"Day Shift","Night Shift")</f>
        <v/>
      </c>
      <c r="F5427" s="11">
        <f>INT(B5427)</f>
        <v/>
      </c>
      <c r="G5427" s="11">
        <f>INT(C5427)</f>
        <v/>
      </c>
    </row>
    <row r="5428">
      <c r="A5428" s="2" t="inlineStr">
        <is>
          <t>EXD52;LDW262</t>
        </is>
      </c>
      <c r="B5428" s="3" t="n">
        <v>46112.25</v>
      </c>
      <c r="C5428" s="3" t="n">
        <v>46112.63137731481</v>
      </c>
      <c r="D5428" s="4">
        <f>(C5428-B5428)*24</f>
        <v/>
      </c>
      <c r="E5428" s="5">
        <f>IF(AND(HOUR(B5428)&gt;=6,HOUR(B5428)&lt;18),"Day Shift","Night Shift")</f>
        <v/>
      </c>
      <c r="F5428" s="6">
        <f>INT(B5428)</f>
        <v/>
      </c>
      <c r="G5428" s="6">
        <f>INT(C5428)</f>
        <v/>
      </c>
    </row>
    <row r="5429">
      <c r="A5429" s="7" t="inlineStr">
        <is>
          <t>DRE08</t>
        </is>
      </c>
      <c r="B5429" s="8" t="n">
        <v>46112.00012731482</v>
      </c>
      <c r="C5429" s="8" t="n">
        <v>46112.25</v>
      </c>
      <c r="D5429" s="9">
        <f>(C5429-B5429)*24</f>
        <v/>
      </c>
      <c r="E5429" s="10">
        <f>IF(AND(HOUR(B5429)&gt;=6,HOUR(B5429)&lt;18),"Day Shift","Night Shift")</f>
        <v/>
      </c>
      <c r="F5429" s="11">
        <f>INT(B5429)</f>
        <v/>
      </c>
      <c r="G5429" s="11">
        <f>INT(C5429)</f>
        <v/>
      </c>
    </row>
    <row r="5430">
      <c r="A5430" s="2" t="inlineStr">
        <is>
          <t>DRE08</t>
        </is>
      </c>
      <c r="B5430" s="3" t="n">
        <v>46112.25</v>
      </c>
      <c r="C5430" s="3" t="n">
        <v>46112.75</v>
      </c>
      <c r="D5430" s="4">
        <f>(C5430-B5430)*24</f>
        <v/>
      </c>
      <c r="E5430" s="5">
        <f>IF(AND(HOUR(B5430)&gt;=6,HOUR(B5430)&lt;18),"Day Shift","Night Shift")</f>
        <v/>
      </c>
      <c r="F5430" s="6">
        <f>INT(B5430)</f>
        <v/>
      </c>
      <c r="G5430" s="6">
        <f>INT(C5430)</f>
        <v/>
      </c>
    </row>
    <row r="5431">
      <c r="A5431" s="7" t="inlineStr">
        <is>
          <t>DRE08</t>
        </is>
      </c>
      <c r="B5431" s="8" t="n">
        <v>46112.75</v>
      </c>
      <c r="C5431" s="8" t="n">
        <v>46113.25</v>
      </c>
      <c r="D5431" s="9">
        <f>(C5431-B5431)*24</f>
        <v/>
      </c>
      <c r="E5431" s="10">
        <f>IF(AND(HOUR(B5431)&gt;=6,HOUR(B5431)&lt;18),"Day Shift","Night Shift")</f>
        <v/>
      </c>
      <c r="F5431" s="11">
        <f>INT(B5431)</f>
        <v/>
      </c>
      <c r="G5431" s="11">
        <f>INT(C5431)</f>
        <v/>
      </c>
    </row>
    <row r="5432">
      <c r="A5432" s="2" t="inlineStr">
        <is>
          <t>DRE08</t>
        </is>
      </c>
      <c r="B5432" s="3" t="n">
        <v>46113.25</v>
      </c>
      <c r="C5432" s="3" t="n">
        <v>46113.75</v>
      </c>
      <c r="D5432" s="4">
        <f>(C5432-B5432)*24</f>
        <v/>
      </c>
      <c r="E5432" s="5">
        <f>IF(AND(HOUR(B5432)&gt;=6,HOUR(B5432)&lt;18),"Day Shift","Night Shift")</f>
        <v/>
      </c>
      <c r="F5432" s="6">
        <f>INT(B5432)</f>
        <v/>
      </c>
      <c r="G5432" s="6">
        <f>INT(C5432)</f>
        <v/>
      </c>
    </row>
    <row r="5433">
      <c r="A5433" s="7" t="inlineStr">
        <is>
          <t>DRE08</t>
        </is>
      </c>
      <c r="B5433" s="8" t="n">
        <v>46113.75</v>
      </c>
      <c r="C5433" s="8" t="n">
        <v>46114.25</v>
      </c>
      <c r="D5433" s="9">
        <f>(C5433-B5433)*24</f>
        <v/>
      </c>
      <c r="E5433" s="10">
        <f>IF(AND(HOUR(B5433)&gt;=6,HOUR(B5433)&lt;18),"Day Shift","Night Shift")</f>
        <v/>
      </c>
      <c r="F5433" s="11">
        <f>INT(B5433)</f>
        <v/>
      </c>
      <c r="G5433" s="11">
        <f>INT(C5433)</f>
        <v/>
      </c>
    </row>
    <row r="5434">
      <c r="A5434" s="2" t="inlineStr">
        <is>
          <t>DRE08</t>
        </is>
      </c>
      <c r="B5434" s="3" t="n">
        <v>46114.25</v>
      </c>
      <c r="C5434" s="3" t="n">
        <v>46114.38931712963</v>
      </c>
      <c r="D5434" s="4">
        <f>(C5434-B5434)*24</f>
        <v/>
      </c>
      <c r="E5434" s="5">
        <f>IF(AND(HOUR(B5434)&gt;=6,HOUR(B5434)&lt;18),"Day Shift","Night Shift")</f>
        <v/>
      </c>
      <c r="F5434" s="6">
        <f>INT(B5434)</f>
        <v/>
      </c>
      <c r="G5434" s="6">
        <f>INT(C5434)</f>
        <v/>
      </c>
    </row>
    <row r="5435">
      <c r="A5435" s="7" t="inlineStr">
        <is>
          <t>Sprint 1</t>
        </is>
      </c>
      <c r="B5435" s="8" t="n">
        <v>46112.05100694444</v>
      </c>
      <c r="C5435" s="8" t="n">
        <v>46112.25</v>
      </c>
      <c r="D5435" s="9">
        <f>(C5435-B5435)*24</f>
        <v/>
      </c>
      <c r="E5435" s="10">
        <f>IF(AND(HOUR(B5435)&gt;=6,HOUR(B5435)&lt;18),"Day Shift","Night Shift")</f>
        <v/>
      </c>
      <c r="F5435" s="11">
        <f>INT(B5435)</f>
        <v/>
      </c>
      <c r="G5435" s="11">
        <f>INT(C5435)</f>
        <v/>
      </c>
    </row>
    <row r="5436">
      <c r="A5436" s="2" t="inlineStr">
        <is>
          <t>Sprint 1</t>
        </is>
      </c>
      <c r="B5436" s="3" t="n">
        <v>46112.25</v>
      </c>
      <c r="C5436" s="3" t="n">
        <v>46112.75</v>
      </c>
      <c r="D5436" s="4">
        <f>(C5436-B5436)*24</f>
        <v/>
      </c>
      <c r="E5436" s="5">
        <f>IF(AND(HOUR(B5436)&gt;=6,HOUR(B5436)&lt;18),"Day Shift","Night Shift")</f>
        <v/>
      </c>
      <c r="F5436" s="6">
        <f>INT(B5436)</f>
        <v/>
      </c>
      <c r="G5436" s="6">
        <f>INT(C5436)</f>
        <v/>
      </c>
    </row>
    <row r="5437">
      <c r="A5437" s="7" t="inlineStr">
        <is>
          <t>Sprint 1</t>
        </is>
      </c>
      <c r="B5437" s="8" t="n">
        <v>46112.75</v>
      </c>
      <c r="C5437" s="8" t="n">
        <v>46112.92861111111</v>
      </c>
      <c r="D5437" s="9">
        <f>(C5437-B5437)*24</f>
        <v/>
      </c>
      <c r="E5437" s="10">
        <f>IF(AND(HOUR(B5437)&gt;=6,HOUR(B5437)&lt;18),"Day Shift","Night Shift")</f>
        <v/>
      </c>
      <c r="F5437" s="11">
        <f>INT(B5437)</f>
        <v/>
      </c>
      <c r="G5437" s="11">
        <f>INT(C5437)</f>
        <v/>
      </c>
    </row>
    <row r="5438">
      <c r="A5438" s="7" t="inlineStr">
        <is>
          <t>EXD51</t>
        </is>
      </c>
      <c r="B5438" s="8" t="n">
        <v>46112.12533564815</v>
      </c>
      <c r="C5438" s="8" t="n">
        <v>46112.25</v>
      </c>
      <c r="D5438" s="9">
        <f>(C5438-B5438)*24</f>
        <v/>
      </c>
      <c r="E5438" s="10">
        <f>IF(AND(HOUR(B5438)&gt;=6,HOUR(B5438)&lt;18),"Day Shift","Night Shift")</f>
        <v/>
      </c>
      <c r="F5438" s="11">
        <f>INT(B5438)</f>
        <v/>
      </c>
      <c r="G5438" s="11">
        <f>INT(C5438)</f>
        <v/>
      </c>
    </row>
    <row r="5439">
      <c r="A5439" s="2" t="inlineStr">
        <is>
          <t>EXD51</t>
        </is>
      </c>
      <c r="B5439" s="3" t="n">
        <v>46112.25</v>
      </c>
      <c r="C5439" s="3" t="n">
        <v>46112.51320601852</v>
      </c>
      <c r="D5439" s="4">
        <f>(C5439-B5439)*24</f>
        <v/>
      </c>
      <c r="E5439" s="5">
        <f>IF(AND(HOUR(B5439)&gt;=6,HOUR(B5439)&lt;18),"Day Shift","Night Shift")</f>
        <v/>
      </c>
      <c r="F5439" s="6">
        <f>INT(B5439)</f>
        <v/>
      </c>
      <c r="G5439" s="6">
        <f>INT(C5439)</f>
        <v/>
      </c>
    </row>
    <row r="5440">
      <c r="A5440" s="7" t="inlineStr">
        <is>
          <t>SHE36</t>
        </is>
      </c>
      <c r="B5440" s="8" t="n">
        <v>46112.18736111111</v>
      </c>
      <c r="C5440" s="8" t="n">
        <v>46112.25</v>
      </c>
      <c r="D5440" s="9">
        <f>(C5440-B5440)*24</f>
        <v/>
      </c>
      <c r="E5440" s="10">
        <f>IF(AND(HOUR(B5440)&gt;=6,HOUR(B5440)&lt;18),"Day Shift","Night Shift")</f>
        <v/>
      </c>
      <c r="F5440" s="11">
        <f>INT(B5440)</f>
        <v/>
      </c>
      <c r="G5440" s="11">
        <f>INT(C5440)</f>
        <v/>
      </c>
    </row>
    <row r="5441">
      <c r="A5441" s="2" t="inlineStr">
        <is>
          <t>SHE36</t>
        </is>
      </c>
      <c r="B5441" s="3" t="n">
        <v>46112.25</v>
      </c>
      <c r="C5441" s="3" t="n">
        <v>46112.75</v>
      </c>
      <c r="D5441" s="4">
        <f>(C5441-B5441)*24</f>
        <v/>
      </c>
      <c r="E5441" s="5">
        <f>IF(AND(HOUR(B5441)&gt;=6,HOUR(B5441)&lt;18),"Day Shift","Night Shift")</f>
        <v/>
      </c>
      <c r="F5441" s="6">
        <f>INT(B5441)</f>
        <v/>
      </c>
      <c r="G5441" s="6">
        <f>INT(C5441)</f>
        <v/>
      </c>
    </row>
    <row r="5442">
      <c r="A5442" s="7" t="inlineStr">
        <is>
          <t>SHE36</t>
        </is>
      </c>
      <c r="B5442" s="8" t="n">
        <v>46112.75</v>
      </c>
      <c r="C5442" s="8" t="n">
        <v>46113.25</v>
      </c>
      <c r="D5442" s="9">
        <f>(C5442-B5442)*24</f>
        <v/>
      </c>
      <c r="E5442" s="10">
        <f>IF(AND(HOUR(B5442)&gt;=6,HOUR(B5442)&lt;18),"Day Shift","Night Shift")</f>
        <v/>
      </c>
      <c r="F5442" s="11">
        <f>INT(B5442)</f>
        <v/>
      </c>
      <c r="G5442" s="11">
        <f>INT(C5442)</f>
        <v/>
      </c>
    </row>
    <row r="5443">
      <c r="A5443" s="2" t="inlineStr">
        <is>
          <t>SHE36</t>
        </is>
      </c>
      <c r="B5443" s="3" t="n">
        <v>46113.25</v>
      </c>
      <c r="C5443" s="3" t="n">
        <v>46113.3163425926</v>
      </c>
      <c r="D5443" s="4">
        <f>(C5443-B5443)*24</f>
        <v/>
      </c>
      <c r="E5443" s="5">
        <f>IF(AND(HOUR(B5443)&gt;=6,HOUR(B5443)&lt;18),"Day Shift","Night Shift")</f>
        <v/>
      </c>
      <c r="F5443" s="6">
        <f>INT(B5443)</f>
        <v/>
      </c>
      <c r="G5443" s="6">
        <f>INT(C5443)</f>
        <v/>
      </c>
    </row>
    <row r="5444">
      <c r="A5444" s="7" t="inlineStr">
        <is>
          <t>EXD408</t>
        </is>
      </c>
      <c r="B5444" s="8" t="n">
        <v>46112.20806712963</v>
      </c>
      <c r="C5444" s="8" t="n">
        <v>46112.25</v>
      </c>
      <c r="D5444" s="9">
        <f>(C5444-B5444)*24</f>
        <v/>
      </c>
      <c r="E5444" s="10">
        <f>IF(AND(HOUR(B5444)&gt;=6,HOUR(B5444)&lt;18),"Day Shift","Night Shift")</f>
        <v/>
      </c>
      <c r="F5444" s="11">
        <f>INT(B5444)</f>
        <v/>
      </c>
      <c r="G5444" s="11">
        <f>INT(C5444)</f>
        <v/>
      </c>
    </row>
    <row r="5445">
      <c r="A5445" s="2" t="inlineStr">
        <is>
          <t>EXD408</t>
        </is>
      </c>
      <c r="B5445" s="3" t="n">
        <v>46112.25</v>
      </c>
      <c r="C5445" s="3" t="n">
        <v>46112.75</v>
      </c>
      <c r="D5445" s="4">
        <f>(C5445-B5445)*24</f>
        <v/>
      </c>
      <c r="E5445" s="5">
        <f>IF(AND(HOUR(B5445)&gt;=6,HOUR(B5445)&lt;18),"Day Shift","Night Shift")</f>
        <v/>
      </c>
      <c r="F5445" s="6">
        <f>INT(B5445)</f>
        <v/>
      </c>
      <c r="G5445" s="6">
        <f>INT(C5445)</f>
        <v/>
      </c>
    </row>
    <row r="5446">
      <c r="A5446" s="7" t="inlineStr">
        <is>
          <t>EXD408</t>
        </is>
      </c>
      <c r="B5446" s="8" t="n">
        <v>46112.75</v>
      </c>
      <c r="C5446" s="8" t="n">
        <v>46113.25</v>
      </c>
      <c r="D5446" s="9">
        <f>(C5446-B5446)*24</f>
        <v/>
      </c>
      <c r="E5446" s="10">
        <f>IF(AND(HOUR(B5446)&gt;=6,HOUR(B5446)&lt;18),"Day Shift","Night Shift")</f>
        <v/>
      </c>
      <c r="F5446" s="11">
        <f>INT(B5446)</f>
        <v/>
      </c>
      <c r="G5446" s="11">
        <f>INT(C5446)</f>
        <v/>
      </c>
    </row>
    <row r="5447">
      <c r="A5447" s="2" t="inlineStr">
        <is>
          <t>EXD408</t>
        </is>
      </c>
      <c r="B5447" s="3" t="n">
        <v>46113.25</v>
      </c>
      <c r="C5447" s="3" t="n">
        <v>46113.38108796296</v>
      </c>
      <c r="D5447" s="4">
        <f>(C5447-B5447)*24</f>
        <v/>
      </c>
      <c r="E5447" s="5">
        <f>IF(AND(HOUR(B5447)&gt;=6,HOUR(B5447)&lt;18),"Day Shift","Night Shift")</f>
        <v/>
      </c>
      <c r="F5447" s="6">
        <f>INT(B5447)</f>
        <v/>
      </c>
      <c r="G5447" s="6">
        <f>INT(C5447)</f>
        <v/>
      </c>
    </row>
    <row r="5448">
      <c r="A5448" s="2" t="inlineStr">
        <is>
          <t>EXD101</t>
        </is>
      </c>
      <c r="B5448" s="3" t="n">
        <v>46112.2609837963</v>
      </c>
      <c r="C5448" s="3" t="n">
        <v>46112.75</v>
      </c>
      <c r="D5448" s="4">
        <f>(C5448-B5448)*24</f>
        <v/>
      </c>
      <c r="E5448" s="5">
        <f>IF(AND(HOUR(B5448)&gt;=6,HOUR(B5448)&lt;18),"Day Shift","Night Shift")</f>
        <v/>
      </c>
      <c r="F5448" s="6">
        <f>INT(B5448)</f>
        <v/>
      </c>
      <c r="G5448" s="6">
        <f>INT(C5448)</f>
        <v/>
      </c>
    </row>
    <row r="5449">
      <c r="A5449" s="7" t="inlineStr">
        <is>
          <t>EXD101</t>
        </is>
      </c>
      <c r="B5449" s="8" t="n">
        <v>46112.75</v>
      </c>
      <c r="C5449" s="8" t="n">
        <v>46113.25</v>
      </c>
      <c r="D5449" s="9">
        <f>(C5449-B5449)*24</f>
        <v/>
      </c>
      <c r="E5449" s="10">
        <f>IF(AND(HOUR(B5449)&gt;=6,HOUR(B5449)&lt;18),"Day Shift","Night Shift")</f>
        <v/>
      </c>
      <c r="F5449" s="11">
        <f>INT(B5449)</f>
        <v/>
      </c>
      <c r="G5449" s="11">
        <f>INT(C5449)</f>
        <v/>
      </c>
    </row>
    <row r="5450">
      <c r="A5450" s="2" t="inlineStr">
        <is>
          <t>EXD101</t>
        </is>
      </c>
      <c r="B5450" s="3" t="n">
        <v>46113.25</v>
      </c>
      <c r="C5450" s="3" t="n">
        <v>46113.58001157407</v>
      </c>
      <c r="D5450" s="4">
        <f>(C5450-B5450)*24</f>
        <v/>
      </c>
      <c r="E5450" s="5">
        <f>IF(AND(HOUR(B5450)&gt;=6,HOUR(B5450)&lt;18),"Day Shift","Night Shift")</f>
        <v/>
      </c>
      <c r="F5450" s="6">
        <f>INT(B5450)</f>
        <v/>
      </c>
      <c r="G5450" s="6">
        <f>INT(C5450)</f>
        <v/>
      </c>
    </row>
    <row r="5451">
      <c r="A5451" s="2" t="inlineStr">
        <is>
          <t>EXD407</t>
        </is>
      </c>
      <c r="B5451" s="3" t="n">
        <v>46112.44409722222</v>
      </c>
      <c r="C5451" s="3" t="n">
        <v>46112.75</v>
      </c>
      <c r="D5451" s="4">
        <f>(C5451-B5451)*24</f>
        <v/>
      </c>
      <c r="E5451" s="5">
        <f>IF(AND(HOUR(B5451)&gt;=6,HOUR(B5451)&lt;18),"Day Shift","Night Shift")</f>
        <v/>
      </c>
      <c r="F5451" s="6">
        <f>INT(B5451)</f>
        <v/>
      </c>
      <c r="G5451" s="6">
        <f>INT(C5451)</f>
        <v/>
      </c>
    </row>
    <row r="5452">
      <c r="A5452" s="7" t="inlineStr">
        <is>
          <t>EXD407</t>
        </is>
      </c>
      <c r="B5452" s="8" t="n">
        <v>46112.75</v>
      </c>
      <c r="C5452" s="8" t="n">
        <v>46113.25</v>
      </c>
      <c r="D5452" s="9">
        <f>(C5452-B5452)*24</f>
        <v/>
      </c>
      <c r="E5452" s="10">
        <f>IF(AND(HOUR(B5452)&gt;=6,HOUR(B5452)&lt;18),"Day Shift","Night Shift")</f>
        <v/>
      </c>
      <c r="F5452" s="11">
        <f>INT(B5452)</f>
        <v/>
      </c>
      <c r="G5452" s="11">
        <f>INT(C5452)</f>
        <v/>
      </c>
    </row>
    <row r="5453">
      <c r="A5453" s="2" t="inlineStr">
        <is>
          <t>EXD407</t>
        </is>
      </c>
      <c r="B5453" s="3" t="n">
        <v>46113.25</v>
      </c>
      <c r="C5453" s="3" t="n">
        <v>46113.75</v>
      </c>
      <c r="D5453" s="4">
        <f>(C5453-B5453)*24</f>
        <v/>
      </c>
      <c r="E5453" s="5">
        <f>IF(AND(HOUR(B5453)&gt;=6,HOUR(B5453)&lt;18),"Day Shift","Night Shift")</f>
        <v/>
      </c>
      <c r="F5453" s="6">
        <f>INT(B5453)</f>
        <v/>
      </c>
      <c r="G5453" s="6">
        <f>INT(C5453)</f>
        <v/>
      </c>
    </row>
    <row r="5454">
      <c r="A5454" s="7" t="inlineStr">
        <is>
          <t>EXD407</t>
        </is>
      </c>
      <c r="B5454" s="8" t="n">
        <v>46113.75</v>
      </c>
      <c r="C5454" s="8" t="n">
        <v>46113.96009259259</v>
      </c>
      <c r="D5454" s="9">
        <f>(C5454-B5454)*24</f>
        <v/>
      </c>
      <c r="E5454" s="10">
        <f>IF(AND(HOUR(B5454)&gt;=6,HOUR(B5454)&lt;18),"Day Shift","Night Shift")</f>
        <v/>
      </c>
      <c r="F5454" s="11">
        <f>INT(B5454)</f>
        <v/>
      </c>
      <c r="G5454" s="11">
        <f>INT(C5454)</f>
        <v/>
      </c>
    </row>
    <row r="5455">
      <c r="A5455" s="2" t="inlineStr">
        <is>
          <t>EXD51</t>
        </is>
      </c>
      <c r="B5455" s="3" t="n">
        <v>46112.51320601852</v>
      </c>
      <c r="C5455" s="3" t="n">
        <v>46112.75</v>
      </c>
      <c r="D5455" s="4">
        <f>(C5455-B5455)*24</f>
        <v/>
      </c>
      <c r="E5455" s="5">
        <f>IF(AND(HOUR(B5455)&gt;=6,HOUR(B5455)&lt;18),"Day Shift","Night Shift")</f>
        <v/>
      </c>
      <c r="F5455" s="6">
        <f>INT(B5455)</f>
        <v/>
      </c>
      <c r="G5455" s="6">
        <f>INT(C5455)</f>
        <v/>
      </c>
    </row>
    <row r="5456">
      <c r="A5456" s="7" t="inlineStr">
        <is>
          <t>EXD51</t>
        </is>
      </c>
      <c r="B5456" s="8" t="n">
        <v>46112.75</v>
      </c>
      <c r="C5456" s="8" t="n">
        <v>46112.82194444445</v>
      </c>
      <c r="D5456" s="9">
        <f>(C5456-B5456)*24</f>
        <v/>
      </c>
      <c r="E5456" s="10">
        <f>IF(AND(HOUR(B5456)&gt;=6,HOUR(B5456)&lt;18),"Day Shift","Night Shift")</f>
        <v/>
      </c>
      <c r="F5456" s="11">
        <f>INT(B5456)</f>
        <v/>
      </c>
      <c r="G5456" s="11">
        <f>INT(C5456)</f>
        <v/>
      </c>
    </row>
    <row r="5457">
      <c r="A5457" s="2" t="inlineStr">
        <is>
          <t>EXD100</t>
        </is>
      </c>
      <c r="B5457" s="3" t="n">
        <v>46112.60065972222</v>
      </c>
      <c r="C5457" s="3" t="n">
        <v>46112.75</v>
      </c>
      <c r="D5457" s="4">
        <f>(C5457-B5457)*24</f>
        <v/>
      </c>
      <c r="E5457" s="5">
        <f>IF(AND(HOUR(B5457)&gt;=6,HOUR(B5457)&lt;18),"Day Shift","Night Shift")</f>
        <v/>
      </c>
      <c r="F5457" s="6">
        <f>INT(B5457)</f>
        <v/>
      </c>
      <c r="G5457" s="6">
        <f>INT(C5457)</f>
        <v/>
      </c>
    </row>
    <row r="5458">
      <c r="A5458" s="7" t="inlineStr">
        <is>
          <t>EXD100</t>
        </is>
      </c>
      <c r="B5458" s="8" t="n">
        <v>46112.75</v>
      </c>
      <c r="C5458" s="8" t="n">
        <v>46113.25</v>
      </c>
      <c r="D5458" s="9">
        <f>(C5458-B5458)*24</f>
        <v/>
      </c>
      <c r="E5458" s="10">
        <f>IF(AND(HOUR(B5458)&gt;=6,HOUR(B5458)&lt;18),"Day Shift","Night Shift")</f>
        <v/>
      </c>
      <c r="F5458" s="11">
        <f>INT(B5458)</f>
        <v/>
      </c>
      <c r="G5458" s="11">
        <f>INT(C5458)</f>
        <v/>
      </c>
    </row>
    <row r="5459">
      <c r="A5459" s="2" t="inlineStr">
        <is>
          <t>EXD100</t>
        </is>
      </c>
      <c r="B5459" s="3" t="n">
        <v>46113.25</v>
      </c>
      <c r="C5459" s="3" t="n">
        <v>46113.40243055556</v>
      </c>
      <c r="D5459" s="4">
        <f>(C5459-B5459)*24</f>
        <v/>
      </c>
      <c r="E5459" s="5">
        <f>IF(AND(HOUR(B5459)&gt;=6,HOUR(B5459)&lt;18),"Day Shift","Night Shift")</f>
        <v/>
      </c>
      <c r="F5459" s="6">
        <f>INT(B5459)</f>
        <v/>
      </c>
      <c r="G5459" s="6">
        <f>INT(C5459)</f>
        <v/>
      </c>
    </row>
    <row r="5460">
      <c r="A5460" s="2" t="inlineStr">
        <is>
          <t>EXD73</t>
        </is>
      </c>
      <c r="B5460" s="3" t="n">
        <v>46112.62253472222</v>
      </c>
      <c r="C5460" s="3" t="n">
        <v>46112.75</v>
      </c>
      <c r="D5460" s="4">
        <f>(C5460-B5460)*24</f>
        <v/>
      </c>
      <c r="E5460" s="5">
        <f>IF(AND(HOUR(B5460)&gt;=6,HOUR(B5460)&lt;18),"Day Shift","Night Shift")</f>
        <v/>
      </c>
      <c r="F5460" s="6">
        <f>INT(B5460)</f>
        <v/>
      </c>
      <c r="G5460" s="6">
        <f>INT(C5460)</f>
        <v/>
      </c>
    </row>
    <row r="5461">
      <c r="A5461" s="7" t="inlineStr">
        <is>
          <t>EXD73</t>
        </is>
      </c>
      <c r="B5461" s="8" t="n">
        <v>46112.75</v>
      </c>
      <c r="C5461" s="8" t="n">
        <v>46113.25</v>
      </c>
      <c r="D5461" s="9">
        <f>(C5461-B5461)*24</f>
        <v/>
      </c>
      <c r="E5461" s="10">
        <f>IF(AND(HOUR(B5461)&gt;=6,HOUR(B5461)&lt;18),"Day Shift","Night Shift")</f>
        <v/>
      </c>
      <c r="F5461" s="11">
        <f>INT(B5461)</f>
        <v/>
      </c>
      <c r="G5461" s="11">
        <f>INT(C5461)</f>
        <v/>
      </c>
    </row>
    <row r="5462">
      <c r="A5462" s="2" t="inlineStr">
        <is>
          <t>EXD73</t>
        </is>
      </c>
      <c r="B5462" s="3" t="n">
        <v>46113.25</v>
      </c>
      <c r="C5462" s="3" t="n">
        <v>46113.67425925926</v>
      </c>
      <c r="D5462" s="4">
        <f>(C5462-B5462)*24</f>
        <v/>
      </c>
      <c r="E5462" s="5">
        <f>IF(AND(HOUR(B5462)&gt;=6,HOUR(B5462)&lt;18),"Day Shift","Night Shift")</f>
        <v/>
      </c>
      <c r="F5462" s="6">
        <f>INT(B5462)</f>
        <v/>
      </c>
      <c r="G5462" s="6">
        <f>INT(C5462)</f>
        <v/>
      </c>
    </row>
    <row r="5463">
      <c r="A5463" s="2" t="inlineStr">
        <is>
          <t>EXD52;LDW262</t>
        </is>
      </c>
      <c r="B5463" s="3" t="n">
        <v>46112.63137731481</v>
      </c>
      <c r="C5463" s="3" t="n">
        <v>46112.75</v>
      </c>
      <c r="D5463" s="4">
        <f>(C5463-B5463)*24</f>
        <v/>
      </c>
      <c r="E5463" s="5">
        <f>IF(AND(HOUR(B5463)&gt;=6,HOUR(B5463)&lt;18),"Day Shift","Night Shift")</f>
        <v/>
      </c>
      <c r="F5463" s="6">
        <f>INT(B5463)</f>
        <v/>
      </c>
      <c r="G5463" s="6">
        <f>INT(C5463)</f>
        <v/>
      </c>
    </row>
    <row r="5464">
      <c r="A5464" s="7" t="inlineStr">
        <is>
          <t>EXD52;LDW262</t>
        </is>
      </c>
      <c r="B5464" s="8" t="n">
        <v>46112.75</v>
      </c>
      <c r="C5464" s="8" t="n">
        <v>46113.25</v>
      </c>
      <c r="D5464" s="9">
        <f>(C5464-B5464)*24</f>
        <v/>
      </c>
      <c r="E5464" s="10">
        <f>IF(AND(HOUR(B5464)&gt;=6,HOUR(B5464)&lt;18),"Day Shift","Night Shift")</f>
        <v/>
      </c>
      <c r="F5464" s="11">
        <f>INT(B5464)</f>
        <v/>
      </c>
      <c r="G5464" s="11">
        <f>INT(C5464)</f>
        <v/>
      </c>
    </row>
    <row r="5465">
      <c r="A5465" s="2" t="inlineStr">
        <is>
          <t>EXD52;LDW262</t>
        </is>
      </c>
      <c r="B5465" s="3" t="n">
        <v>46113.25</v>
      </c>
      <c r="C5465" s="3" t="n">
        <v>46113.65959490741</v>
      </c>
      <c r="D5465" s="4">
        <f>(C5465-B5465)*24</f>
        <v/>
      </c>
      <c r="E5465" s="5">
        <f>IF(AND(HOUR(B5465)&gt;=6,HOUR(B5465)&lt;18),"Day Shift","Night Shift")</f>
        <v/>
      </c>
      <c r="F5465" s="6">
        <f>INT(B5465)</f>
        <v/>
      </c>
      <c r="G5465" s="6">
        <f>INT(C5465)</f>
        <v/>
      </c>
    </row>
    <row r="5466">
      <c r="A5466" s="2" t="inlineStr">
        <is>
          <t>EXD61</t>
        </is>
      </c>
      <c r="B5466" s="3" t="n">
        <v>46112.74226851852</v>
      </c>
      <c r="C5466" s="3" t="n">
        <v>46112.75</v>
      </c>
      <c r="D5466" s="4">
        <f>(C5466-B5466)*24</f>
        <v/>
      </c>
      <c r="E5466" s="5">
        <f>IF(AND(HOUR(B5466)&gt;=6,HOUR(B5466)&lt;18),"Day Shift","Night Shift")</f>
        <v/>
      </c>
      <c r="F5466" s="6">
        <f>INT(B5466)</f>
        <v/>
      </c>
      <c r="G5466" s="6">
        <f>INT(C5466)</f>
        <v/>
      </c>
    </row>
    <row r="5467">
      <c r="A5467" s="7" t="inlineStr">
        <is>
          <t>EXD61</t>
        </is>
      </c>
      <c r="B5467" s="8" t="n">
        <v>46112.75</v>
      </c>
      <c r="C5467" s="8" t="n">
        <v>46113.25</v>
      </c>
      <c r="D5467" s="9">
        <f>(C5467-B5467)*24</f>
        <v/>
      </c>
      <c r="E5467" s="10">
        <f>IF(AND(HOUR(B5467)&gt;=6,HOUR(B5467)&lt;18),"Day Shift","Night Shift")</f>
        <v/>
      </c>
      <c r="F5467" s="11">
        <f>INT(B5467)</f>
        <v/>
      </c>
      <c r="G5467" s="11">
        <f>INT(C5467)</f>
        <v/>
      </c>
    </row>
    <row r="5468">
      <c r="A5468" s="2" t="inlineStr">
        <is>
          <t>EXD61</t>
        </is>
      </c>
      <c r="B5468" s="3" t="n">
        <v>46113.25</v>
      </c>
      <c r="C5468" s="3" t="n">
        <v>46113.75</v>
      </c>
      <c r="D5468" s="4">
        <f>(C5468-B5468)*24</f>
        <v/>
      </c>
      <c r="E5468" s="5">
        <f>IF(AND(HOUR(B5468)&gt;=6,HOUR(B5468)&lt;18),"Day Shift","Night Shift")</f>
        <v/>
      </c>
      <c r="F5468" s="6">
        <f>INT(B5468)</f>
        <v/>
      </c>
      <c r="G5468" s="6">
        <f>INT(C5468)</f>
        <v/>
      </c>
    </row>
    <row r="5469">
      <c r="A5469" s="7" t="inlineStr">
        <is>
          <t>EXD61</t>
        </is>
      </c>
      <c r="B5469" s="8" t="n">
        <v>46113.75</v>
      </c>
      <c r="C5469" s="8" t="n">
        <v>46113.9027662037</v>
      </c>
      <c r="D5469" s="9">
        <f>(C5469-B5469)*24</f>
        <v/>
      </c>
      <c r="E5469" s="10">
        <f>IF(AND(HOUR(B5469)&gt;=6,HOUR(B5469)&lt;18),"Day Shift","Night Shift")</f>
        <v/>
      </c>
      <c r="F5469" s="11">
        <f>INT(B5469)</f>
        <v/>
      </c>
      <c r="G5469" s="11">
        <f>INT(C5469)</f>
        <v/>
      </c>
    </row>
    <row r="5470">
      <c r="A5470" s="2" t="inlineStr">
        <is>
          <t>DRE12</t>
        </is>
      </c>
      <c r="B5470" s="3" t="n">
        <v>46112.74280092592</v>
      </c>
      <c r="C5470" s="3" t="n">
        <v>46112.75</v>
      </c>
      <c r="D5470" s="4">
        <f>(C5470-B5470)*24</f>
        <v/>
      </c>
      <c r="E5470" s="5">
        <f>IF(AND(HOUR(B5470)&gt;=6,HOUR(B5470)&lt;18),"Day Shift","Night Shift")</f>
        <v/>
      </c>
      <c r="F5470" s="6">
        <f>INT(B5470)</f>
        <v/>
      </c>
      <c r="G5470" s="6">
        <f>INT(C5470)</f>
        <v/>
      </c>
    </row>
    <row r="5471">
      <c r="A5471" s="7" t="inlineStr">
        <is>
          <t>DRE12</t>
        </is>
      </c>
      <c r="B5471" s="8" t="n">
        <v>46112.75</v>
      </c>
      <c r="C5471" s="8" t="n">
        <v>46113.25</v>
      </c>
      <c r="D5471" s="9">
        <f>(C5471-B5471)*24</f>
        <v/>
      </c>
      <c r="E5471" s="10">
        <f>IF(AND(HOUR(B5471)&gt;=6,HOUR(B5471)&lt;18),"Day Shift","Night Shift")</f>
        <v/>
      </c>
      <c r="F5471" s="11">
        <f>INT(B5471)</f>
        <v/>
      </c>
      <c r="G5471" s="11">
        <f>INT(C5471)</f>
        <v/>
      </c>
    </row>
    <row r="5472">
      <c r="A5472" s="2" t="inlineStr">
        <is>
          <t>DRE12</t>
        </is>
      </c>
      <c r="B5472" s="3" t="n">
        <v>46113.25</v>
      </c>
      <c r="C5472" s="3" t="n">
        <v>46113.75</v>
      </c>
      <c r="D5472" s="4">
        <f>(C5472-B5472)*24</f>
        <v/>
      </c>
      <c r="E5472" s="5">
        <f>IF(AND(HOUR(B5472)&gt;=6,HOUR(B5472)&lt;18),"Day Shift","Night Shift")</f>
        <v/>
      </c>
      <c r="F5472" s="6">
        <f>INT(B5472)</f>
        <v/>
      </c>
      <c r="G5472" s="6">
        <f>INT(C5472)</f>
        <v/>
      </c>
    </row>
    <row r="5473">
      <c r="A5473" s="7" t="inlineStr">
        <is>
          <t>DRE12</t>
        </is>
      </c>
      <c r="B5473" s="8" t="n">
        <v>46113.75</v>
      </c>
      <c r="C5473" s="8" t="n">
        <v>46114.25</v>
      </c>
      <c r="D5473" s="9">
        <f>(C5473-B5473)*24</f>
        <v/>
      </c>
      <c r="E5473" s="10">
        <f>IF(AND(HOUR(B5473)&gt;=6,HOUR(B5473)&lt;18),"Day Shift","Night Shift")</f>
        <v/>
      </c>
      <c r="F5473" s="11">
        <f>INT(B5473)</f>
        <v/>
      </c>
      <c r="G5473" s="11">
        <f>INT(C5473)</f>
        <v/>
      </c>
    </row>
    <row r="5474">
      <c r="A5474" s="2" t="inlineStr">
        <is>
          <t>DRE12</t>
        </is>
      </c>
      <c r="B5474" s="3" t="n">
        <v>46114.25</v>
      </c>
      <c r="C5474" s="3" t="n">
        <v>46114.75</v>
      </c>
      <c r="D5474" s="4">
        <f>(C5474-B5474)*24</f>
        <v/>
      </c>
      <c r="E5474" s="5">
        <f>IF(AND(HOUR(B5474)&gt;=6,HOUR(B5474)&lt;18),"Day Shift","Night Shift")</f>
        <v/>
      </c>
      <c r="F5474" s="6">
        <f>INT(B5474)</f>
        <v/>
      </c>
      <c r="G5474" s="6">
        <f>INT(C5474)</f>
        <v/>
      </c>
    </row>
    <row r="5475">
      <c r="A5475" s="7" t="inlineStr">
        <is>
          <t>DRE12</t>
        </is>
      </c>
      <c r="B5475" s="8" t="n">
        <v>46114.75</v>
      </c>
      <c r="C5475" s="8" t="n">
        <v>46115.25</v>
      </c>
      <c r="D5475" s="9">
        <f>(C5475-B5475)*24</f>
        <v/>
      </c>
      <c r="E5475" s="10">
        <f>IF(AND(HOUR(B5475)&gt;=6,HOUR(B5475)&lt;18),"Day Shift","Night Shift")</f>
        <v/>
      </c>
      <c r="F5475" s="11">
        <f>INT(B5475)</f>
        <v/>
      </c>
      <c r="G5475" s="11">
        <f>INT(C5475)</f>
        <v/>
      </c>
    </row>
    <row r="5476">
      <c r="A5476" s="2" t="inlineStr">
        <is>
          <t>DRE12</t>
        </is>
      </c>
      <c r="B5476" s="3" t="n">
        <v>46115.25</v>
      </c>
      <c r="C5476" s="3" t="n">
        <v>46115.66835648148</v>
      </c>
      <c r="D5476" s="4">
        <f>(C5476-B5476)*24</f>
        <v/>
      </c>
      <c r="E5476" s="5">
        <f>IF(AND(HOUR(B5476)&gt;=6,HOUR(B5476)&lt;18),"Day Shift","Night Shift")</f>
        <v/>
      </c>
      <c r="F5476" s="6">
        <f>INT(B5476)</f>
        <v/>
      </c>
      <c r="G5476" s="6">
        <f>INT(C5476)</f>
        <v/>
      </c>
    </row>
    <row r="5477">
      <c r="A5477" s="7" t="inlineStr">
        <is>
          <t>EXD51;LDW262</t>
        </is>
      </c>
      <c r="B5477" s="8" t="n">
        <v>46112.82194444445</v>
      </c>
      <c r="C5477" s="8" t="n">
        <v>46113.25</v>
      </c>
      <c r="D5477" s="9">
        <f>(C5477-B5477)*24</f>
        <v/>
      </c>
      <c r="E5477" s="10">
        <f>IF(AND(HOUR(B5477)&gt;=6,HOUR(B5477)&lt;18),"Day Shift","Night Shift")</f>
        <v/>
      </c>
      <c r="F5477" s="11">
        <f>INT(B5477)</f>
        <v/>
      </c>
      <c r="G5477" s="11">
        <f>INT(C5477)</f>
        <v/>
      </c>
    </row>
    <row r="5478">
      <c r="A5478" s="2" t="inlineStr">
        <is>
          <t>EXD51;LDW262</t>
        </is>
      </c>
      <c r="B5478" s="3" t="n">
        <v>46113.25</v>
      </c>
      <c r="C5478" s="3" t="n">
        <v>46113.75</v>
      </c>
      <c r="D5478" s="4">
        <f>(C5478-B5478)*24</f>
        <v/>
      </c>
      <c r="E5478" s="5">
        <f>IF(AND(HOUR(B5478)&gt;=6,HOUR(B5478)&lt;18),"Day Shift","Night Shift")</f>
        <v/>
      </c>
      <c r="F5478" s="6">
        <f>INT(B5478)</f>
        <v/>
      </c>
      <c r="G5478" s="6">
        <f>INT(C5478)</f>
        <v/>
      </c>
    </row>
    <row r="5479">
      <c r="A5479" s="7" t="inlineStr">
        <is>
          <t>EXD51;LDW262</t>
        </is>
      </c>
      <c r="B5479" s="8" t="n">
        <v>46113.75</v>
      </c>
      <c r="C5479" s="8" t="n">
        <v>46114.25</v>
      </c>
      <c r="D5479" s="9">
        <f>(C5479-B5479)*24</f>
        <v/>
      </c>
      <c r="E5479" s="10">
        <f>IF(AND(HOUR(B5479)&gt;=6,HOUR(B5479)&lt;18),"Day Shift","Night Shift")</f>
        <v/>
      </c>
      <c r="F5479" s="11">
        <f>INT(B5479)</f>
        <v/>
      </c>
      <c r="G5479" s="11">
        <f>INT(C5479)</f>
        <v/>
      </c>
    </row>
    <row r="5480">
      <c r="A5480" s="2" t="inlineStr">
        <is>
          <t>EXD51;LDW262</t>
        </is>
      </c>
      <c r="B5480" s="3" t="n">
        <v>46114.25</v>
      </c>
      <c r="C5480" s="3" t="n">
        <v>46114.75</v>
      </c>
      <c r="D5480" s="4">
        <f>(C5480-B5480)*24</f>
        <v/>
      </c>
      <c r="E5480" s="5">
        <f>IF(AND(HOUR(B5480)&gt;=6,HOUR(B5480)&lt;18),"Day Shift","Night Shift")</f>
        <v/>
      </c>
      <c r="F5480" s="6">
        <f>INT(B5480)</f>
        <v/>
      </c>
      <c r="G5480" s="6">
        <f>INT(C5480)</f>
        <v/>
      </c>
    </row>
    <row r="5481">
      <c r="A5481" s="7" t="inlineStr">
        <is>
          <t>EXD51;LDW262</t>
        </is>
      </c>
      <c r="B5481" s="8" t="n">
        <v>46114.75</v>
      </c>
      <c r="C5481" s="8" t="n">
        <v>46115.25</v>
      </c>
      <c r="D5481" s="9">
        <f>(C5481-B5481)*24</f>
        <v/>
      </c>
      <c r="E5481" s="10">
        <f>IF(AND(HOUR(B5481)&gt;=6,HOUR(B5481)&lt;18),"Day Shift","Night Shift")</f>
        <v/>
      </c>
      <c r="F5481" s="11">
        <f>INT(B5481)</f>
        <v/>
      </c>
      <c r="G5481" s="11">
        <f>INT(C5481)</f>
        <v/>
      </c>
    </row>
    <row r="5482">
      <c r="A5482" s="2" t="inlineStr">
        <is>
          <t>EXD51;LDW262</t>
        </is>
      </c>
      <c r="B5482" s="3" t="n">
        <v>46115.25</v>
      </c>
      <c r="C5482" s="3" t="n">
        <v>46115.75</v>
      </c>
      <c r="D5482" s="4">
        <f>(C5482-B5482)*24</f>
        <v/>
      </c>
      <c r="E5482" s="5">
        <f>IF(AND(HOUR(B5482)&gt;=6,HOUR(B5482)&lt;18),"Day Shift","Night Shift")</f>
        <v/>
      </c>
      <c r="F5482" s="6">
        <f>INT(B5482)</f>
        <v/>
      </c>
      <c r="G5482" s="6">
        <f>INT(C5482)</f>
        <v/>
      </c>
    </row>
    <row r="5483">
      <c r="A5483" s="7" t="inlineStr">
        <is>
          <t>EXD51;LDW262</t>
        </is>
      </c>
      <c r="B5483" s="8" t="n">
        <v>46115.75</v>
      </c>
      <c r="C5483" s="8" t="n">
        <v>46116.25</v>
      </c>
      <c r="D5483" s="9">
        <f>(C5483-B5483)*24</f>
        <v/>
      </c>
      <c r="E5483" s="10">
        <f>IF(AND(HOUR(B5483)&gt;=6,HOUR(B5483)&lt;18),"Day Shift","Night Shift")</f>
        <v/>
      </c>
      <c r="F5483" s="11">
        <f>INT(B5483)</f>
        <v/>
      </c>
      <c r="G5483" s="11">
        <f>INT(C5483)</f>
        <v/>
      </c>
    </row>
    <row r="5484">
      <c r="A5484" s="2" t="inlineStr">
        <is>
          <t>EXD51;LDW262</t>
        </is>
      </c>
      <c r="B5484" s="3" t="n">
        <v>46116.25</v>
      </c>
      <c r="C5484" s="3" t="n">
        <v>46116.75</v>
      </c>
      <c r="D5484" s="4">
        <f>(C5484-B5484)*24</f>
        <v/>
      </c>
      <c r="E5484" s="5">
        <f>IF(AND(HOUR(B5484)&gt;=6,HOUR(B5484)&lt;18),"Day Shift","Night Shift")</f>
        <v/>
      </c>
      <c r="F5484" s="6">
        <f>INT(B5484)</f>
        <v/>
      </c>
      <c r="G5484" s="6">
        <f>INT(C5484)</f>
        <v/>
      </c>
    </row>
    <row r="5485">
      <c r="A5485" s="7" t="inlineStr">
        <is>
          <t>EXD51;LDW262</t>
        </is>
      </c>
      <c r="B5485" s="8" t="n">
        <v>46116.75</v>
      </c>
      <c r="C5485" s="8" t="n">
        <v>46117.25</v>
      </c>
      <c r="D5485" s="9">
        <f>(C5485-B5485)*24</f>
        <v/>
      </c>
      <c r="E5485" s="10">
        <f>IF(AND(HOUR(B5485)&gt;=6,HOUR(B5485)&lt;18),"Day Shift","Night Shift")</f>
        <v/>
      </c>
      <c r="F5485" s="11">
        <f>INT(B5485)</f>
        <v/>
      </c>
      <c r="G5485" s="11">
        <f>INT(C5485)</f>
        <v/>
      </c>
    </row>
    <row r="5486">
      <c r="A5486" s="2" t="inlineStr">
        <is>
          <t>EXD51;LDW262</t>
        </is>
      </c>
      <c r="B5486" s="3" t="n">
        <v>46117.25</v>
      </c>
      <c r="C5486" s="3" t="n">
        <v>46117.75</v>
      </c>
      <c r="D5486" s="4">
        <f>(C5486-B5486)*24</f>
        <v/>
      </c>
      <c r="E5486" s="5">
        <f>IF(AND(HOUR(B5486)&gt;=6,HOUR(B5486)&lt;18),"Day Shift","Night Shift")</f>
        <v/>
      </c>
      <c r="F5486" s="6">
        <f>INT(B5486)</f>
        <v/>
      </c>
      <c r="G5486" s="6">
        <f>INT(C5486)</f>
        <v/>
      </c>
    </row>
    <row r="5487">
      <c r="A5487" s="7" t="inlineStr">
        <is>
          <t>EXD51;LDW262</t>
        </is>
      </c>
      <c r="B5487" s="8" t="n">
        <v>46117.75</v>
      </c>
      <c r="C5487" s="8" t="n">
        <v>46118.25</v>
      </c>
      <c r="D5487" s="9">
        <f>(C5487-B5487)*24</f>
        <v/>
      </c>
      <c r="E5487" s="10">
        <f>IF(AND(HOUR(B5487)&gt;=6,HOUR(B5487)&lt;18),"Day Shift","Night Shift")</f>
        <v/>
      </c>
      <c r="F5487" s="11">
        <f>INT(B5487)</f>
        <v/>
      </c>
      <c r="G5487" s="11">
        <f>INT(C5487)</f>
        <v/>
      </c>
    </row>
    <row r="5488">
      <c r="A5488" s="2" t="inlineStr">
        <is>
          <t>EXD51;LDW262</t>
        </is>
      </c>
      <c r="B5488" s="3" t="n">
        <v>46118.25</v>
      </c>
      <c r="C5488" s="3" t="n">
        <v>46118.75</v>
      </c>
      <c r="D5488" s="4">
        <f>(C5488-B5488)*24</f>
        <v/>
      </c>
      <c r="E5488" s="5">
        <f>IF(AND(HOUR(B5488)&gt;=6,HOUR(B5488)&lt;18),"Day Shift","Night Shift")</f>
        <v/>
      </c>
      <c r="F5488" s="6">
        <f>INT(B5488)</f>
        <v/>
      </c>
      <c r="G5488" s="6">
        <f>INT(C5488)</f>
        <v/>
      </c>
    </row>
    <row r="5489">
      <c r="A5489" s="7" t="inlineStr">
        <is>
          <t>EXD51;LDW262</t>
        </is>
      </c>
      <c r="B5489" s="8" t="n">
        <v>46118.75</v>
      </c>
      <c r="C5489" s="8" t="n">
        <v>46119.25</v>
      </c>
      <c r="D5489" s="9">
        <f>(C5489-B5489)*24</f>
        <v/>
      </c>
      <c r="E5489" s="10">
        <f>IF(AND(HOUR(B5489)&gt;=6,HOUR(B5489)&lt;18),"Day Shift","Night Shift")</f>
        <v/>
      </c>
      <c r="F5489" s="11">
        <f>INT(B5489)</f>
        <v/>
      </c>
      <c r="G5489" s="11">
        <f>INT(C5489)</f>
        <v/>
      </c>
    </row>
    <row r="5490">
      <c r="A5490" s="2" t="inlineStr">
        <is>
          <t>EXD51;LDW262</t>
        </is>
      </c>
      <c r="B5490" s="3" t="n">
        <v>46119.25</v>
      </c>
      <c r="C5490" s="3" t="n">
        <v>46119.75</v>
      </c>
      <c r="D5490" s="4">
        <f>(C5490-B5490)*24</f>
        <v/>
      </c>
      <c r="E5490" s="5">
        <f>IF(AND(HOUR(B5490)&gt;=6,HOUR(B5490)&lt;18),"Day Shift","Night Shift")</f>
        <v/>
      </c>
      <c r="F5490" s="6">
        <f>INT(B5490)</f>
        <v/>
      </c>
      <c r="G5490" s="6">
        <f>INT(C5490)</f>
        <v/>
      </c>
    </row>
    <row r="5491">
      <c r="A5491" s="7" t="inlineStr">
        <is>
          <t>EXD51;LDW262</t>
        </is>
      </c>
      <c r="B5491" s="8" t="n">
        <v>46119.75</v>
      </c>
      <c r="C5491" s="8" t="n">
        <v>46120.25</v>
      </c>
      <c r="D5491" s="9">
        <f>(C5491-B5491)*24</f>
        <v/>
      </c>
      <c r="E5491" s="10">
        <f>IF(AND(HOUR(B5491)&gt;=6,HOUR(B5491)&lt;18),"Day Shift","Night Shift")</f>
        <v/>
      </c>
      <c r="F5491" s="11">
        <f>INT(B5491)</f>
        <v/>
      </c>
      <c r="G5491" s="11">
        <f>INT(C5491)</f>
        <v/>
      </c>
    </row>
    <row r="5492">
      <c r="A5492" s="2" t="inlineStr">
        <is>
          <t>EXD51;LDW262</t>
        </is>
      </c>
      <c r="B5492" s="3" t="n">
        <v>46120.25</v>
      </c>
      <c r="C5492" s="3" t="n">
        <v>46120.75</v>
      </c>
      <c r="D5492" s="4">
        <f>(C5492-B5492)*24</f>
        <v/>
      </c>
      <c r="E5492" s="5">
        <f>IF(AND(HOUR(B5492)&gt;=6,HOUR(B5492)&lt;18),"Day Shift","Night Shift")</f>
        <v/>
      </c>
      <c r="F5492" s="6">
        <f>INT(B5492)</f>
        <v/>
      </c>
      <c r="G5492" s="6">
        <f>INT(C5492)</f>
        <v/>
      </c>
    </row>
    <row r="5493">
      <c r="A5493" s="7" t="inlineStr">
        <is>
          <t>EXD51;LDW262</t>
        </is>
      </c>
      <c r="B5493" s="8" t="n">
        <v>46120.75</v>
      </c>
      <c r="C5493" s="8" t="n">
        <v>46121.25</v>
      </c>
      <c r="D5493" s="9">
        <f>(C5493-B5493)*24</f>
        <v/>
      </c>
      <c r="E5493" s="10">
        <f>IF(AND(HOUR(B5493)&gt;=6,HOUR(B5493)&lt;18),"Day Shift","Night Shift")</f>
        <v/>
      </c>
      <c r="F5493" s="11">
        <f>INT(B5493)</f>
        <v/>
      </c>
      <c r="G5493" s="11">
        <f>INT(C5493)</f>
        <v/>
      </c>
    </row>
    <row r="5494">
      <c r="A5494" s="2" t="inlineStr">
        <is>
          <t>EXD51;LDW262</t>
        </is>
      </c>
      <c r="B5494" s="3" t="n">
        <v>46121.25</v>
      </c>
      <c r="C5494" s="3" t="n">
        <v>46121.75</v>
      </c>
      <c r="D5494" s="4">
        <f>(C5494-B5494)*24</f>
        <v/>
      </c>
      <c r="E5494" s="5">
        <f>IF(AND(HOUR(B5494)&gt;=6,HOUR(B5494)&lt;18),"Day Shift","Night Shift")</f>
        <v/>
      </c>
      <c r="F5494" s="6">
        <f>INT(B5494)</f>
        <v/>
      </c>
      <c r="G5494" s="6">
        <f>INT(C5494)</f>
        <v/>
      </c>
    </row>
    <row r="5495">
      <c r="A5495" s="7" t="inlineStr">
        <is>
          <t>EXD51;LDW262</t>
        </is>
      </c>
      <c r="B5495" s="8" t="n">
        <v>46121.75</v>
      </c>
      <c r="C5495" s="8" t="n">
        <v>46122.25</v>
      </c>
      <c r="D5495" s="9">
        <f>(C5495-B5495)*24</f>
        <v/>
      </c>
      <c r="E5495" s="10">
        <f>IF(AND(HOUR(B5495)&gt;=6,HOUR(B5495)&lt;18),"Day Shift","Night Shift")</f>
        <v/>
      </c>
      <c r="F5495" s="11">
        <f>INT(B5495)</f>
        <v/>
      </c>
      <c r="G5495" s="11">
        <f>INT(C5495)</f>
        <v/>
      </c>
    </row>
    <row r="5496">
      <c r="A5496" s="2" t="inlineStr">
        <is>
          <t>EXD51;LDW262</t>
        </is>
      </c>
      <c r="B5496" s="3" t="n">
        <v>46122.25</v>
      </c>
      <c r="C5496" s="3" t="n">
        <v>46122.75</v>
      </c>
      <c r="D5496" s="4">
        <f>(C5496-B5496)*24</f>
        <v/>
      </c>
      <c r="E5496" s="5">
        <f>IF(AND(HOUR(B5496)&gt;=6,HOUR(B5496)&lt;18),"Day Shift","Night Shift")</f>
        <v/>
      </c>
      <c r="F5496" s="6">
        <f>INT(B5496)</f>
        <v/>
      </c>
      <c r="G5496" s="6">
        <f>INT(C5496)</f>
        <v/>
      </c>
    </row>
    <row r="5497">
      <c r="A5497" s="7" t="inlineStr">
        <is>
          <t>EXD51;LDW262</t>
        </is>
      </c>
      <c r="B5497" s="8" t="n">
        <v>46122.75</v>
      </c>
      <c r="C5497" s="8" t="n">
        <v>46123.25</v>
      </c>
      <c r="D5497" s="9">
        <f>(C5497-B5497)*24</f>
        <v/>
      </c>
      <c r="E5497" s="10">
        <f>IF(AND(HOUR(B5497)&gt;=6,HOUR(B5497)&lt;18),"Day Shift","Night Shift")</f>
        <v/>
      </c>
      <c r="F5497" s="11">
        <f>INT(B5497)</f>
        <v/>
      </c>
      <c r="G5497" s="11">
        <f>INT(C5497)</f>
        <v/>
      </c>
    </row>
    <row r="5498">
      <c r="A5498" s="2" t="inlineStr">
        <is>
          <t>EXD51;LDW262</t>
        </is>
      </c>
      <c r="B5498" s="3" t="n">
        <v>46123.25</v>
      </c>
      <c r="C5498" s="3" t="n">
        <v>46123.75</v>
      </c>
      <c r="D5498" s="4">
        <f>(C5498-B5498)*24</f>
        <v/>
      </c>
      <c r="E5498" s="5">
        <f>IF(AND(HOUR(B5498)&gt;=6,HOUR(B5498)&lt;18),"Day Shift","Night Shift")</f>
        <v/>
      </c>
      <c r="F5498" s="6">
        <f>INT(B5498)</f>
        <v/>
      </c>
      <c r="G5498" s="6">
        <f>INT(C5498)</f>
        <v/>
      </c>
    </row>
    <row r="5499">
      <c r="A5499" s="7" t="inlineStr">
        <is>
          <t>EXD51;LDW262</t>
        </is>
      </c>
      <c r="B5499" s="8" t="n">
        <v>46123.75</v>
      </c>
      <c r="C5499" s="8" t="n">
        <v>46124.25</v>
      </c>
      <c r="D5499" s="9">
        <f>(C5499-B5499)*24</f>
        <v/>
      </c>
      <c r="E5499" s="10">
        <f>IF(AND(HOUR(B5499)&gt;=6,HOUR(B5499)&lt;18),"Day Shift","Night Shift")</f>
        <v/>
      </c>
      <c r="F5499" s="11">
        <f>INT(B5499)</f>
        <v/>
      </c>
      <c r="G5499" s="11">
        <f>INT(C5499)</f>
        <v/>
      </c>
    </row>
    <row r="5500">
      <c r="A5500" s="2" t="inlineStr">
        <is>
          <t>EXD51;LDW262</t>
        </is>
      </c>
      <c r="B5500" s="3" t="n">
        <v>46124.25</v>
      </c>
      <c r="C5500" s="3" t="n">
        <v>46124.75</v>
      </c>
      <c r="D5500" s="4">
        <f>(C5500-B5500)*24</f>
        <v/>
      </c>
      <c r="E5500" s="5">
        <f>IF(AND(HOUR(B5500)&gt;=6,HOUR(B5500)&lt;18),"Day Shift","Night Shift")</f>
        <v/>
      </c>
      <c r="F5500" s="6">
        <f>INT(B5500)</f>
        <v/>
      </c>
      <c r="G5500" s="6">
        <f>INT(C5500)</f>
        <v/>
      </c>
    </row>
    <row r="5501">
      <c r="A5501" s="7" t="inlineStr">
        <is>
          <t>EXD51;LDW262</t>
        </is>
      </c>
      <c r="B5501" s="8" t="n">
        <v>46124.75</v>
      </c>
      <c r="C5501" s="8" t="n">
        <v>46125.25</v>
      </c>
      <c r="D5501" s="9">
        <f>(C5501-B5501)*24</f>
        <v/>
      </c>
      <c r="E5501" s="10">
        <f>IF(AND(HOUR(B5501)&gt;=6,HOUR(B5501)&lt;18),"Day Shift","Night Shift")</f>
        <v/>
      </c>
      <c r="F5501" s="11">
        <f>INT(B5501)</f>
        <v/>
      </c>
      <c r="G5501" s="11">
        <f>INT(C5501)</f>
        <v/>
      </c>
    </row>
    <row r="5502">
      <c r="A5502" s="2" t="inlineStr">
        <is>
          <t>EXD51;LDW262</t>
        </is>
      </c>
      <c r="B5502" s="3" t="n">
        <v>46125.25</v>
      </c>
      <c r="C5502" s="3" t="n">
        <v>46125.75</v>
      </c>
      <c r="D5502" s="4">
        <f>(C5502-B5502)*24</f>
        <v/>
      </c>
      <c r="E5502" s="5">
        <f>IF(AND(HOUR(B5502)&gt;=6,HOUR(B5502)&lt;18),"Day Shift","Night Shift")</f>
        <v/>
      </c>
      <c r="F5502" s="6">
        <f>INT(B5502)</f>
        <v/>
      </c>
      <c r="G5502" s="6">
        <f>INT(C5502)</f>
        <v/>
      </c>
    </row>
    <row r="5503">
      <c r="A5503" s="7" t="inlineStr">
        <is>
          <t>EXD51;LDW262</t>
        </is>
      </c>
      <c r="B5503" s="8" t="n">
        <v>46125.75</v>
      </c>
      <c r="C5503" s="8" t="n">
        <v>46126.25</v>
      </c>
      <c r="D5503" s="9">
        <f>(C5503-B5503)*24</f>
        <v/>
      </c>
      <c r="E5503" s="10">
        <f>IF(AND(HOUR(B5503)&gt;=6,HOUR(B5503)&lt;18),"Day Shift","Night Shift")</f>
        <v/>
      </c>
      <c r="F5503" s="11">
        <f>INT(B5503)</f>
        <v/>
      </c>
      <c r="G5503" s="11">
        <f>INT(C5503)</f>
        <v/>
      </c>
    </row>
    <row r="5504">
      <c r="A5504" s="2" t="inlineStr">
        <is>
          <t>EXD51;LDW262</t>
        </is>
      </c>
      <c r="B5504" s="3" t="n">
        <v>46126.25</v>
      </c>
      <c r="C5504" s="3" t="n">
        <v>46126.75</v>
      </c>
      <c r="D5504" s="4">
        <f>(C5504-B5504)*24</f>
        <v/>
      </c>
      <c r="E5504" s="5">
        <f>IF(AND(HOUR(B5504)&gt;=6,HOUR(B5504)&lt;18),"Day Shift","Night Shift")</f>
        <v/>
      </c>
      <c r="F5504" s="6">
        <f>INT(B5504)</f>
        <v/>
      </c>
      <c r="G5504" s="6">
        <f>INT(C5504)</f>
        <v/>
      </c>
    </row>
    <row r="5505">
      <c r="A5505" s="7" t="inlineStr">
        <is>
          <t>EXD51;LDW262</t>
        </is>
      </c>
      <c r="B5505" s="8" t="n">
        <v>46126.75</v>
      </c>
      <c r="C5505" s="8" t="n">
        <v>46127.23159722222</v>
      </c>
      <c r="D5505" s="9">
        <f>(C5505-B5505)*24</f>
        <v/>
      </c>
      <c r="E5505" s="10">
        <f>IF(AND(HOUR(B5505)&gt;=6,HOUR(B5505)&lt;18),"Day Shift","Night Shift")</f>
        <v/>
      </c>
      <c r="F5505" s="11">
        <f>INT(B5505)</f>
        <v/>
      </c>
      <c r="G5505" s="11">
        <f>INT(C5505)</f>
        <v/>
      </c>
    </row>
    <row r="5506">
      <c r="A5506" s="7" t="inlineStr">
        <is>
          <t>Sprint 1</t>
        </is>
      </c>
      <c r="B5506" s="8" t="n">
        <v>46112.92861111111</v>
      </c>
      <c r="C5506" s="8" t="n">
        <v>46113.25</v>
      </c>
      <c r="D5506" s="9">
        <f>(C5506-B5506)*24</f>
        <v/>
      </c>
      <c r="E5506" s="10">
        <f>IF(AND(HOUR(B5506)&gt;=6,HOUR(B5506)&lt;18),"Day Shift","Night Shift")</f>
        <v/>
      </c>
      <c r="F5506" s="11">
        <f>INT(B5506)</f>
        <v/>
      </c>
      <c r="G5506" s="11">
        <f>INT(C5506)</f>
        <v/>
      </c>
    </row>
    <row r="5507">
      <c r="A5507" s="2" t="inlineStr">
        <is>
          <t>Sprint 1</t>
        </is>
      </c>
      <c r="B5507" s="3" t="n">
        <v>46113.25</v>
      </c>
      <c r="C5507" s="3" t="n">
        <v>46113.75</v>
      </c>
      <c r="D5507" s="4">
        <f>(C5507-B5507)*24</f>
        <v/>
      </c>
      <c r="E5507" s="5">
        <f>IF(AND(HOUR(B5507)&gt;=6,HOUR(B5507)&lt;18),"Day Shift","Night Shift")</f>
        <v/>
      </c>
      <c r="F5507" s="6">
        <f>INT(B5507)</f>
        <v/>
      </c>
      <c r="G5507" s="6">
        <f>INT(C5507)</f>
        <v/>
      </c>
    </row>
    <row r="5508">
      <c r="A5508" s="7" t="inlineStr">
        <is>
          <t>Sprint 1</t>
        </is>
      </c>
      <c r="B5508" s="8" t="n">
        <v>46113.75</v>
      </c>
      <c r="C5508" s="8" t="n">
        <v>46113.7634375</v>
      </c>
      <c r="D5508" s="9">
        <f>(C5508-B5508)*24</f>
        <v/>
      </c>
      <c r="E5508" s="10">
        <f>IF(AND(HOUR(B5508)&gt;=6,HOUR(B5508)&lt;18),"Day Shift","Night Shift")</f>
        <v/>
      </c>
      <c r="F5508" s="11">
        <f>INT(B5508)</f>
        <v/>
      </c>
      <c r="G5508" s="11">
        <f>INT(C5508)</f>
        <v/>
      </c>
    </row>
    <row r="5509">
      <c r="A5509" s="7" t="inlineStr">
        <is>
          <t>EXD56</t>
        </is>
      </c>
      <c r="B5509" s="8" t="n">
        <v>46113.1524537037</v>
      </c>
      <c r="C5509" s="8" t="n">
        <v>46113.25</v>
      </c>
      <c r="D5509" s="9">
        <f>(C5509-B5509)*24</f>
        <v/>
      </c>
      <c r="E5509" s="10">
        <f>IF(AND(HOUR(B5509)&gt;=6,HOUR(B5509)&lt;18),"Day Shift","Night Shift")</f>
        <v/>
      </c>
      <c r="F5509" s="11">
        <f>INT(B5509)</f>
        <v/>
      </c>
      <c r="G5509" s="11">
        <f>INT(C5509)</f>
        <v/>
      </c>
    </row>
    <row r="5510">
      <c r="A5510" s="2" t="inlineStr">
        <is>
          <t>EXD56</t>
        </is>
      </c>
      <c r="B5510" s="3" t="n">
        <v>46113.25</v>
      </c>
      <c r="C5510" s="3" t="n">
        <v>46113.58534722222</v>
      </c>
      <c r="D5510" s="4">
        <f>(C5510-B5510)*24</f>
        <v/>
      </c>
      <c r="E5510" s="5">
        <f>IF(AND(HOUR(B5510)&gt;=6,HOUR(B5510)&lt;18),"Day Shift","Night Shift")</f>
        <v/>
      </c>
      <c r="F5510" s="6">
        <f>INT(B5510)</f>
        <v/>
      </c>
      <c r="G5510" s="6">
        <f>INT(C5510)</f>
        <v/>
      </c>
    </row>
    <row r="5511">
      <c r="A5511" s="7" t="inlineStr">
        <is>
          <t>EDD175;EDD1932;EDD2134;EDD2541;EDD812</t>
        </is>
      </c>
      <c r="B5511" s="8" t="n">
        <v>46113.23135416667</v>
      </c>
      <c r="C5511" s="8" t="n">
        <v>46113.25</v>
      </c>
      <c r="D5511" s="9">
        <f>(C5511-B5511)*24</f>
        <v/>
      </c>
      <c r="E5511" s="10">
        <f>IF(AND(HOUR(B5511)&gt;=6,HOUR(B5511)&lt;18),"Day Shift","Night Shift")</f>
        <v/>
      </c>
      <c r="F5511" s="11">
        <f>INT(B5511)</f>
        <v/>
      </c>
      <c r="G5511" s="11">
        <f>INT(C5511)</f>
        <v/>
      </c>
    </row>
    <row r="5512">
      <c r="A5512" s="2" t="inlineStr">
        <is>
          <t>EDD175;EDD1932;EDD2134;EDD2541;EDD812</t>
        </is>
      </c>
      <c r="B5512" s="3" t="n">
        <v>46113.25</v>
      </c>
      <c r="C5512" s="3" t="n">
        <v>46113.75</v>
      </c>
      <c r="D5512" s="4">
        <f>(C5512-B5512)*24</f>
        <v/>
      </c>
      <c r="E5512" s="5">
        <f>IF(AND(HOUR(B5512)&gt;=6,HOUR(B5512)&lt;18),"Day Shift","Night Shift")</f>
        <v/>
      </c>
      <c r="F5512" s="6">
        <f>INT(B5512)</f>
        <v/>
      </c>
      <c r="G5512" s="6">
        <f>INT(C5512)</f>
        <v/>
      </c>
    </row>
    <row r="5513">
      <c r="A5513" s="7" t="inlineStr">
        <is>
          <t>EDD175;EDD1932;EDD2134;EDD2541;EDD812</t>
        </is>
      </c>
      <c r="B5513" s="8" t="n">
        <v>46113.75</v>
      </c>
      <c r="C5513" s="8" t="n">
        <v>46114.25</v>
      </c>
      <c r="D5513" s="9">
        <f>(C5513-B5513)*24</f>
        <v/>
      </c>
      <c r="E5513" s="10">
        <f>IF(AND(HOUR(B5513)&gt;=6,HOUR(B5513)&lt;18),"Day Shift","Night Shift")</f>
        <v/>
      </c>
      <c r="F5513" s="11">
        <f>INT(B5513)</f>
        <v/>
      </c>
      <c r="G5513" s="11">
        <f>INT(C5513)</f>
        <v/>
      </c>
    </row>
    <row r="5514">
      <c r="A5514" s="2" t="inlineStr">
        <is>
          <t>EDD175;EDD1932;EDD2134;EDD2541;EDD812</t>
        </is>
      </c>
      <c r="B5514" s="3" t="n">
        <v>46114.25</v>
      </c>
      <c r="C5514" s="3" t="n">
        <v>46114.42928240741</v>
      </c>
      <c r="D5514" s="4">
        <f>(C5514-B5514)*24</f>
        <v/>
      </c>
      <c r="E5514" s="5">
        <f>IF(AND(HOUR(B5514)&gt;=6,HOUR(B5514)&lt;18),"Day Shift","Night Shift")</f>
        <v/>
      </c>
      <c r="F5514" s="6">
        <f>INT(B5514)</f>
        <v/>
      </c>
      <c r="G5514" s="6">
        <f>INT(C5514)</f>
        <v/>
      </c>
    </row>
    <row r="5515">
      <c r="A5515" s="2" t="inlineStr">
        <is>
          <t>SHE36</t>
        </is>
      </c>
      <c r="B5515" s="3" t="n">
        <v>46113.3163425926</v>
      </c>
      <c r="C5515" s="3" t="n">
        <v>46113.55387731481</v>
      </c>
      <c r="D5515" s="4">
        <f>(C5515-B5515)*24</f>
        <v/>
      </c>
      <c r="E5515" s="5">
        <f>IF(AND(HOUR(B5515)&gt;=6,HOUR(B5515)&lt;18),"Day Shift","Night Shift")</f>
        <v/>
      </c>
      <c r="F5515" s="6">
        <f>INT(B5515)</f>
        <v/>
      </c>
      <c r="G5515" s="6">
        <f>INT(C5515)</f>
        <v/>
      </c>
    </row>
    <row r="5516">
      <c r="A5516" s="2" t="inlineStr">
        <is>
          <t>EXD409</t>
        </is>
      </c>
      <c r="B5516" s="3" t="n">
        <v>46113.32148148148</v>
      </c>
      <c r="C5516" s="3" t="n">
        <v>46113.75</v>
      </c>
      <c r="D5516" s="4">
        <f>(C5516-B5516)*24</f>
        <v/>
      </c>
      <c r="E5516" s="5">
        <f>IF(AND(HOUR(B5516)&gt;=6,HOUR(B5516)&lt;18),"Day Shift","Night Shift")</f>
        <v/>
      </c>
      <c r="F5516" s="6">
        <f>INT(B5516)</f>
        <v/>
      </c>
      <c r="G5516" s="6">
        <f>INT(C5516)</f>
        <v/>
      </c>
    </row>
    <row r="5517">
      <c r="A5517" s="7" t="inlineStr">
        <is>
          <t>EXD409</t>
        </is>
      </c>
      <c r="B5517" s="8" t="n">
        <v>46113.75</v>
      </c>
      <c r="C5517" s="8" t="n">
        <v>46114.25</v>
      </c>
      <c r="D5517" s="9">
        <f>(C5517-B5517)*24</f>
        <v/>
      </c>
      <c r="E5517" s="10">
        <f>IF(AND(HOUR(B5517)&gt;=6,HOUR(B5517)&lt;18),"Day Shift","Night Shift")</f>
        <v/>
      </c>
      <c r="F5517" s="11">
        <f>INT(B5517)</f>
        <v/>
      </c>
      <c r="G5517" s="11">
        <f>INT(C5517)</f>
        <v/>
      </c>
    </row>
    <row r="5518">
      <c r="A5518" s="2" t="inlineStr">
        <is>
          <t>EXD409</t>
        </is>
      </c>
      <c r="B5518" s="3" t="n">
        <v>46114.25</v>
      </c>
      <c r="C5518" s="3" t="n">
        <v>46114.75</v>
      </c>
      <c r="D5518" s="4">
        <f>(C5518-B5518)*24</f>
        <v/>
      </c>
      <c r="E5518" s="5">
        <f>IF(AND(HOUR(B5518)&gt;=6,HOUR(B5518)&lt;18),"Day Shift","Night Shift")</f>
        <v/>
      </c>
      <c r="F5518" s="6">
        <f>INT(B5518)</f>
        <v/>
      </c>
      <c r="G5518" s="6">
        <f>INT(C5518)</f>
        <v/>
      </c>
    </row>
    <row r="5519">
      <c r="A5519" s="7" t="inlineStr">
        <is>
          <t>EXD409</t>
        </is>
      </c>
      <c r="B5519" s="8" t="n">
        <v>46114.75</v>
      </c>
      <c r="C5519" s="8" t="n">
        <v>46114.88297453704</v>
      </c>
      <c r="D5519" s="9">
        <f>(C5519-B5519)*24</f>
        <v/>
      </c>
      <c r="E5519" s="10">
        <f>IF(AND(HOUR(B5519)&gt;=6,HOUR(B5519)&lt;18),"Day Shift","Night Shift")</f>
        <v/>
      </c>
      <c r="F5519" s="11">
        <f>INT(B5519)</f>
        <v/>
      </c>
      <c r="G5519" s="11">
        <f>INT(C5519)</f>
        <v/>
      </c>
    </row>
    <row r="5520">
      <c r="A5520" s="2" t="inlineStr">
        <is>
          <t>EXD408</t>
        </is>
      </c>
      <c r="B5520" s="3" t="n">
        <v>46113.38108796296</v>
      </c>
      <c r="C5520" s="3" t="n">
        <v>46113.75</v>
      </c>
      <c r="D5520" s="4">
        <f>(C5520-B5520)*24</f>
        <v/>
      </c>
      <c r="E5520" s="5">
        <f>IF(AND(HOUR(B5520)&gt;=6,HOUR(B5520)&lt;18),"Day Shift","Night Shift")</f>
        <v/>
      </c>
      <c r="F5520" s="6">
        <f>INT(B5520)</f>
        <v/>
      </c>
      <c r="G5520" s="6">
        <f>INT(C5520)</f>
        <v/>
      </c>
    </row>
    <row r="5521">
      <c r="A5521" s="7" t="inlineStr">
        <is>
          <t>EXD408</t>
        </is>
      </c>
      <c r="B5521" s="8" t="n">
        <v>46113.75</v>
      </c>
      <c r="C5521" s="8" t="n">
        <v>46114.15765046296</v>
      </c>
      <c r="D5521" s="9">
        <f>(C5521-B5521)*24</f>
        <v/>
      </c>
      <c r="E5521" s="10">
        <f>IF(AND(HOUR(B5521)&gt;=6,HOUR(B5521)&lt;18),"Day Shift","Night Shift")</f>
        <v/>
      </c>
      <c r="F5521" s="11">
        <f>INT(B5521)</f>
        <v/>
      </c>
      <c r="G5521" s="11">
        <f>INT(C5521)</f>
        <v/>
      </c>
    </row>
    <row r="5522">
      <c r="A5522" s="2" t="inlineStr">
        <is>
          <t>EXD100</t>
        </is>
      </c>
      <c r="B5522" s="3" t="n">
        <v>46113.40243055556</v>
      </c>
      <c r="C5522" s="3" t="n">
        <v>46113.75</v>
      </c>
      <c r="D5522" s="4">
        <f>(C5522-B5522)*24</f>
        <v/>
      </c>
      <c r="E5522" s="5">
        <f>IF(AND(HOUR(B5522)&gt;=6,HOUR(B5522)&lt;18),"Day Shift","Night Shift")</f>
        <v/>
      </c>
      <c r="F5522" s="6">
        <f>INT(B5522)</f>
        <v/>
      </c>
      <c r="G5522" s="6">
        <f>INT(C5522)</f>
        <v/>
      </c>
    </row>
    <row r="5523">
      <c r="A5523" s="7" t="inlineStr">
        <is>
          <t>EXD100</t>
        </is>
      </c>
      <c r="B5523" s="8" t="n">
        <v>46113.75</v>
      </c>
      <c r="C5523" s="8" t="n">
        <v>46113.88104166667</v>
      </c>
      <c r="D5523" s="9">
        <f>(C5523-B5523)*24</f>
        <v/>
      </c>
      <c r="E5523" s="10">
        <f>IF(AND(HOUR(B5523)&gt;=6,HOUR(B5523)&lt;18),"Day Shift","Night Shift")</f>
        <v/>
      </c>
      <c r="F5523" s="11">
        <f>INT(B5523)</f>
        <v/>
      </c>
      <c r="G5523" s="11">
        <f>INT(C5523)</f>
        <v/>
      </c>
    </row>
    <row r="5524">
      <c r="A5524" s="2" t="inlineStr">
        <is>
          <t>EXD60</t>
        </is>
      </c>
      <c r="B5524" s="3" t="n">
        <v>46113.47465277778</v>
      </c>
      <c r="C5524" s="3" t="n">
        <v>46113.73976851852</v>
      </c>
      <c r="D5524" s="4">
        <f>(C5524-B5524)*24</f>
        <v/>
      </c>
      <c r="E5524" s="5">
        <f>IF(AND(HOUR(B5524)&gt;=6,HOUR(B5524)&lt;18),"Day Shift","Night Shift")</f>
        <v/>
      </c>
      <c r="F5524" s="6">
        <f>INT(B5524)</f>
        <v/>
      </c>
      <c r="G5524" s="6">
        <f>INT(C5524)</f>
        <v/>
      </c>
    </row>
    <row r="5525">
      <c r="A5525" s="2" t="inlineStr">
        <is>
          <t>SHE36</t>
        </is>
      </c>
      <c r="B5525" s="3" t="n">
        <v>46113.55387731481</v>
      </c>
      <c r="C5525" s="3" t="n">
        <v>46113.75</v>
      </c>
      <c r="D5525" s="4">
        <f>(C5525-B5525)*24</f>
        <v/>
      </c>
      <c r="E5525" s="5">
        <f>IF(AND(HOUR(B5525)&gt;=6,HOUR(B5525)&lt;18),"Day Shift","Night Shift")</f>
        <v/>
      </c>
      <c r="F5525" s="6">
        <f>INT(B5525)</f>
        <v/>
      </c>
      <c r="G5525" s="6">
        <f>INT(C5525)</f>
        <v/>
      </c>
    </row>
    <row r="5526">
      <c r="A5526" s="7" t="inlineStr">
        <is>
          <t>SHE36</t>
        </is>
      </c>
      <c r="B5526" s="8" t="n">
        <v>46113.75</v>
      </c>
      <c r="C5526" s="8" t="n">
        <v>46114.00819444445</v>
      </c>
      <c r="D5526" s="9">
        <f>(C5526-B5526)*24</f>
        <v/>
      </c>
      <c r="E5526" s="10">
        <f>IF(AND(HOUR(B5526)&gt;=6,HOUR(B5526)&lt;18),"Day Shift","Night Shift")</f>
        <v/>
      </c>
      <c r="F5526" s="11">
        <f>INT(B5526)</f>
        <v/>
      </c>
      <c r="G5526" s="11">
        <f>INT(C5526)</f>
        <v/>
      </c>
    </row>
    <row r="5527">
      <c r="A5527" s="2" t="inlineStr">
        <is>
          <t>EXD101</t>
        </is>
      </c>
      <c r="B5527" s="3" t="n">
        <v>46113.58005787037</v>
      </c>
      <c r="C5527" s="3" t="n">
        <v>46113.75</v>
      </c>
      <c r="D5527" s="4">
        <f>(C5527-B5527)*24</f>
        <v/>
      </c>
      <c r="E5527" s="5">
        <f>IF(AND(HOUR(B5527)&gt;=6,HOUR(B5527)&lt;18),"Day Shift","Night Shift")</f>
        <v/>
      </c>
      <c r="F5527" s="6">
        <f>INT(B5527)</f>
        <v/>
      </c>
      <c r="G5527" s="6">
        <f>INT(C5527)</f>
        <v/>
      </c>
    </row>
    <row r="5528">
      <c r="A5528" s="7" t="inlineStr">
        <is>
          <t>EXD101</t>
        </is>
      </c>
      <c r="B5528" s="8" t="n">
        <v>46113.75</v>
      </c>
      <c r="C5528" s="8" t="n">
        <v>46113.8500462963</v>
      </c>
      <c r="D5528" s="9">
        <f>(C5528-B5528)*24</f>
        <v/>
      </c>
      <c r="E5528" s="10">
        <f>IF(AND(HOUR(B5528)&gt;=6,HOUR(B5528)&lt;18),"Day Shift","Night Shift")</f>
        <v/>
      </c>
      <c r="F5528" s="11">
        <f>INT(B5528)</f>
        <v/>
      </c>
      <c r="G5528" s="11">
        <f>INT(C5528)</f>
        <v/>
      </c>
    </row>
    <row r="5529">
      <c r="A5529" s="2" t="inlineStr">
        <is>
          <t>EXD56</t>
        </is>
      </c>
      <c r="B5529" s="3" t="n">
        <v>46113.58534722222</v>
      </c>
      <c r="C5529" s="3" t="n">
        <v>46113.75</v>
      </c>
      <c r="D5529" s="4">
        <f>(C5529-B5529)*24</f>
        <v/>
      </c>
      <c r="E5529" s="5">
        <f>IF(AND(HOUR(B5529)&gt;=6,HOUR(B5529)&lt;18),"Day Shift","Night Shift")</f>
        <v/>
      </c>
      <c r="F5529" s="6">
        <f>INT(B5529)</f>
        <v/>
      </c>
      <c r="G5529" s="6">
        <f>INT(C5529)</f>
        <v/>
      </c>
    </row>
    <row r="5530">
      <c r="A5530" s="7" t="inlineStr">
        <is>
          <t>EXD56</t>
        </is>
      </c>
      <c r="B5530" s="8" t="n">
        <v>46113.75</v>
      </c>
      <c r="C5530" s="8" t="n">
        <v>46114.25</v>
      </c>
      <c r="D5530" s="9">
        <f>(C5530-B5530)*24</f>
        <v/>
      </c>
      <c r="E5530" s="10">
        <f>IF(AND(HOUR(B5530)&gt;=6,HOUR(B5530)&lt;18),"Day Shift","Night Shift")</f>
        <v/>
      </c>
      <c r="F5530" s="11">
        <f>INT(B5530)</f>
        <v/>
      </c>
      <c r="G5530" s="11">
        <f>INT(C5530)</f>
        <v/>
      </c>
    </row>
    <row r="5531">
      <c r="A5531" s="2" t="inlineStr">
        <is>
          <t>EXD56</t>
        </is>
      </c>
      <c r="B5531" s="3" t="n">
        <v>46114.25</v>
      </c>
      <c r="C5531" s="3" t="n">
        <v>46114.6328125</v>
      </c>
      <c r="D5531" s="4">
        <f>(C5531-B5531)*24</f>
        <v/>
      </c>
      <c r="E5531" s="5">
        <f>IF(AND(HOUR(B5531)&gt;=6,HOUR(B5531)&lt;18),"Day Shift","Night Shift")</f>
        <v/>
      </c>
      <c r="F5531" s="6">
        <f>INT(B5531)</f>
        <v/>
      </c>
      <c r="G5531" s="6">
        <f>INT(C5531)</f>
        <v/>
      </c>
    </row>
    <row r="5532">
      <c r="A5532" s="2" t="inlineStr">
        <is>
          <t>EXD98</t>
        </is>
      </c>
      <c r="B5532" s="3" t="n">
        <v>46113.59666666666</v>
      </c>
      <c r="C5532" s="3" t="n">
        <v>46113.75</v>
      </c>
      <c r="D5532" s="4">
        <f>(C5532-B5532)*24</f>
        <v/>
      </c>
      <c r="E5532" s="5">
        <f>IF(AND(HOUR(B5532)&gt;=6,HOUR(B5532)&lt;18),"Day Shift","Night Shift")</f>
        <v/>
      </c>
      <c r="F5532" s="6">
        <f>INT(B5532)</f>
        <v/>
      </c>
      <c r="G5532" s="6">
        <f>INT(C5532)</f>
        <v/>
      </c>
    </row>
    <row r="5533">
      <c r="A5533" s="7" t="inlineStr">
        <is>
          <t>EXD98</t>
        </is>
      </c>
      <c r="B5533" s="8" t="n">
        <v>46113.75</v>
      </c>
      <c r="C5533" s="8" t="n">
        <v>46114.25</v>
      </c>
      <c r="D5533" s="9">
        <f>(C5533-B5533)*24</f>
        <v/>
      </c>
      <c r="E5533" s="10">
        <f>IF(AND(HOUR(B5533)&gt;=6,HOUR(B5533)&lt;18),"Day Shift","Night Shift")</f>
        <v/>
      </c>
      <c r="F5533" s="11">
        <f>INT(B5533)</f>
        <v/>
      </c>
      <c r="G5533" s="11">
        <f>INT(C5533)</f>
        <v/>
      </c>
    </row>
    <row r="5534">
      <c r="A5534" s="2" t="inlineStr">
        <is>
          <t>EXD98</t>
        </is>
      </c>
      <c r="B5534" s="3" t="n">
        <v>46114.25</v>
      </c>
      <c r="C5534" s="3" t="n">
        <v>46114.55288194444</v>
      </c>
      <c r="D5534" s="4">
        <f>(C5534-B5534)*24</f>
        <v/>
      </c>
      <c r="E5534" s="5">
        <f>IF(AND(HOUR(B5534)&gt;=6,HOUR(B5534)&lt;18),"Day Shift","Night Shift")</f>
        <v/>
      </c>
      <c r="F5534" s="6">
        <f>INT(B5534)</f>
        <v/>
      </c>
      <c r="G5534" s="6">
        <f>INT(C5534)</f>
        <v/>
      </c>
    </row>
    <row r="5535">
      <c r="A5535" s="2" t="inlineStr">
        <is>
          <t>EXD52;LDW262</t>
        </is>
      </c>
      <c r="B5535" s="3" t="n">
        <v>46113.65959490741</v>
      </c>
      <c r="C5535" s="3" t="n">
        <v>46113.75</v>
      </c>
      <c r="D5535" s="4">
        <f>(C5535-B5535)*24</f>
        <v/>
      </c>
      <c r="E5535" s="5">
        <f>IF(AND(HOUR(B5535)&gt;=6,HOUR(B5535)&lt;18),"Day Shift","Night Shift")</f>
        <v/>
      </c>
      <c r="F5535" s="6">
        <f>INT(B5535)</f>
        <v/>
      </c>
      <c r="G5535" s="6">
        <f>INT(C5535)</f>
        <v/>
      </c>
    </row>
    <row r="5536">
      <c r="A5536" s="7" t="inlineStr">
        <is>
          <t>EXD52;LDW262</t>
        </is>
      </c>
      <c r="B5536" s="8" t="n">
        <v>46113.75</v>
      </c>
      <c r="C5536" s="8" t="n">
        <v>46113.75857638889</v>
      </c>
      <c r="D5536" s="9">
        <f>(C5536-B5536)*24</f>
        <v/>
      </c>
      <c r="E5536" s="10">
        <f>IF(AND(HOUR(B5536)&gt;=6,HOUR(B5536)&lt;18),"Day Shift","Night Shift")</f>
        <v/>
      </c>
      <c r="F5536" s="11">
        <f>INT(B5536)</f>
        <v/>
      </c>
      <c r="G5536" s="11">
        <f>INT(C5536)</f>
        <v/>
      </c>
    </row>
    <row r="5537">
      <c r="A5537" s="2" t="inlineStr">
        <is>
          <t>EXD73</t>
        </is>
      </c>
      <c r="B5537" s="3" t="n">
        <v>46113.67425925926</v>
      </c>
      <c r="C5537" s="3" t="n">
        <v>46113.75</v>
      </c>
      <c r="D5537" s="4">
        <f>(C5537-B5537)*24</f>
        <v/>
      </c>
      <c r="E5537" s="5">
        <f>IF(AND(HOUR(B5537)&gt;=6,HOUR(B5537)&lt;18),"Day Shift","Night Shift")</f>
        <v/>
      </c>
      <c r="F5537" s="6">
        <f>INT(B5537)</f>
        <v/>
      </c>
      <c r="G5537" s="6">
        <f>INT(C5537)</f>
        <v/>
      </c>
    </row>
    <row r="5538">
      <c r="A5538" s="7" t="inlineStr">
        <is>
          <t>EXD73</t>
        </is>
      </c>
      <c r="B5538" s="8" t="n">
        <v>46113.75</v>
      </c>
      <c r="C5538" s="8" t="n">
        <v>46114.25</v>
      </c>
      <c r="D5538" s="9">
        <f>(C5538-B5538)*24</f>
        <v/>
      </c>
      <c r="E5538" s="10">
        <f>IF(AND(HOUR(B5538)&gt;=6,HOUR(B5538)&lt;18),"Day Shift","Night Shift")</f>
        <v/>
      </c>
      <c r="F5538" s="11">
        <f>INT(B5538)</f>
        <v/>
      </c>
      <c r="G5538" s="11">
        <f>INT(C5538)</f>
        <v/>
      </c>
    </row>
    <row r="5539">
      <c r="A5539" s="2" t="inlineStr">
        <is>
          <t>EXD73</t>
        </is>
      </c>
      <c r="B5539" s="3" t="n">
        <v>46114.25</v>
      </c>
      <c r="C5539" s="3" t="n">
        <v>46114.5979050926</v>
      </c>
      <c r="D5539" s="4">
        <f>(C5539-B5539)*24</f>
        <v/>
      </c>
      <c r="E5539" s="5">
        <f>IF(AND(HOUR(B5539)&gt;=6,HOUR(B5539)&lt;18),"Day Shift","Night Shift")</f>
        <v/>
      </c>
      <c r="F5539" s="6">
        <f>INT(B5539)</f>
        <v/>
      </c>
      <c r="G5539" s="6">
        <f>INT(C5539)</f>
        <v/>
      </c>
    </row>
    <row r="5540">
      <c r="A5540" s="2" t="inlineStr">
        <is>
          <t>EXD60</t>
        </is>
      </c>
      <c r="B5540" s="3" t="n">
        <v>46113.73976851852</v>
      </c>
      <c r="C5540" s="3" t="n">
        <v>46113.75</v>
      </c>
      <c r="D5540" s="4">
        <f>(C5540-B5540)*24</f>
        <v/>
      </c>
      <c r="E5540" s="5">
        <f>IF(AND(HOUR(B5540)&gt;=6,HOUR(B5540)&lt;18),"Day Shift","Night Shift")</f>
        <v/>
      </c>
      <c r="F5540" s="6">
        <f>INT(B5540)</f>
        <v/>
      </c>
      <c r="G5540" s="6">
        <f>INT(C5540)</f>
        <v/>
      </c>
    </row>
    <row r="5541">
      <c r="A5541" s="7" t="inlineStr">
        <is>
          <t>EXD60</t>
        </is>
      </c>
      <c r="B5541" s="8" t="n">
        <v>46113.75</v>
      </c>
      <c r="C5541" s="8" t="n">
        <v>46114.25</v>
      </c>
      <c r="D5541" s="9">
        <f>(C5541-B5541)*24</f>
        <v/>
      </c>
      <c r="E5541" s="10">
        <f>IF(AND(HOUR(B5541)&gt;=6,HOUR(B5541)&lt;18),"Day Shift","Night Shift")</f>
        <v/>
      </c>
      <c r="F5541" s="11">
        <f>INT(B5541)</f>
        <v/>
      </c>
      <c r="G5541" s="11">
        <f>INT(C5541)</f>
        <v/>
      </c>
    </row>
    <row r="5542">
      <c r="A5542" s="2" t="inlineStr">
        <is>
          <t>EXD60</t>
        </is>
      </c>
      <c r="B5542" s="3" t="n">
        <v>46114.25</v>
      </c>
      <c r="C5542" s="3" t="n">
        <v>46114.75</v>
      </c>
      <c r="D5542" s="4">
        <f>(C5542-B5542)*24</f>
        <v/>
      </c>
      <c r="E5542" s="5">
        <f>IF(AND(HOUR(B5542)&gt;=6,HOUR(B5542)&lt;18),"Day Shift","Night Shift")</f>
        <v/>
      </c>
      <c r="F5542" s="6">
        <f>INT(B5542)</f>
        <v/>
      </c>
      <c r="G5542" s="6">
        <f>INT(C5542)</f>
        <v/>
      </c>
    </row>
    <row r="5543">
      <c r="A5543" s="7" t="inlineStr">
        <is>
          <t>EXD60</t>
        </is>
      </c>
      <c r="B5543" s="8" t="n">
        <v>46114.75</v>
      </c>
      <c r="C5543" s="8" t="n">
        <v>46115.25</v>
      </c>
      <c r="D5543" s="9">
        <f>(C5543-B5543)*24</f>
        <v/>
      </c>
      <c r="E5543" s="10">
        <f>IF(AND(HOUR(B5543)&gt;=6,HOUR(B5543)&lt;18),"Day Shift","Night Shift")</f>
        <v/>
      </c>
      <c r="F5543" s="11">
        <f>INT(B5543)</f>
        <v/>
      </c>
      <c r="G5543" s="11">
        <f>INT(C5543)</f>
        <v/>
      </c>
    </row>
    <row r="5544">
      <c r="A5544" s="2" t="inlineStr">
        <is>
          <t>EXD60</t>
        </is>
      </c>
      <c r="B5544" s="3" t="n">
        <v>46115.25</v>
      </c>
      <c r="C5544" s="3" t="n">
        <v>46115.75</v>
      </c>
      <c r="D5544" s="4">
        <f>(C5544-B5544)*24</f>
        <v/>
      </c>
      <c r="E5544" s="5">
        <f>IF(AND(HOUR(B5544)&gt;=6,HOUR(B5544)&lt;18),"Day Shift","Night Shift")</f>
        <v/>
      </c>
      <c r="F5544" s="6">
        <f>INT(B5544)</f>
        <v/>
      </c>
      <c r="G5544" s="6">
        <f>INT(C5544)</f>
        <v/>
      </c>
    </row>
    <row r="5545">
      <c r="A5545" s="7" t="inlineStr">
        <is>
          <t>EXD60</t>
        </is>
      </c>
      <c r="B5545" s="8" t="n">
        <v>46115.75</v>
      </c>
      <c r="C5545" s="8" t="n">
        <v>46116.25</v>
      </c>
      <c r="D5545" s="9">
        <f>(C5545-B5545)*24</f>
        <v/>
      </c>
      <c r="E5545" s="10">
        <f>IF(AND(HOUR(B5545)&gt;=6,HOUR(B5545)&lt;18),"Day Shift","Night Shift")</f>
        <v/>
      </c>
      <c r="F5545" s="11">
        <f>INT(B5545)</f>
        <v/>
      </c>
      <c r="G5545" s="11">
        <f>INT(C5545)</f>
        <v/>
      </c>
    </row>
    <row r="5546">
      <c r="A5546" s="2" t="inlineStr">
        <is>
          <t>EXD60</t>
        </is>
      </c>
      <c r="B5546" s="3" t="n">
        <v>46116.25</v>
      </c>
      <c r="C5546" s="3" t="n">
        <v>46116.56011574074</v>
      </c>
      <c r="D5546" s="4">
        <f>(C5546-B5546)*24</f>
        <v/>
      </c>
      <c r="E5546" s="5">
        <f>IF(AND(HOUR(B5546)&gt;=6,HOUR(B5546)&lt;18),"Day Shift","Night Shift")</f>
        <v/>
      </c>
      <c r="F5546" s="6">
        <f>INT(B5546)</f>
        <v/>
      </c>
      <c r="G5546" s="6">
        <f>INT(C5546)</f>
        <v/>
      </c>
    </row>
    <row r="5547">
      <c r="A5547" s="7" t="inlineStr">
        <is>
          <t>EXD51</t>
        </is>
      </c>
      <c r="B5547" s="8" t="n">
        <v>46113.75002314815</v>
      </c>
      <c r="C5547" s="8" t="n">
        <v>46114.25</v>
      </c>
      <c r="D5547" s="9">
        <f>(C5547-B5547)*24</f>
        <v/>
      </c>
      <c r="E5547" s="10">
        <f>IF(AND(HOUR(B5547)&gt;=6,HOUR(B5547)&lt;18),"Day Shift","Night Shift")</f>
        <v/>
      </c>
      <c r="F5547" s="11">
        <f>INT(B5547)</f>
        <v/>
      </c>
      <c r="G5547" s="11">
        <f>INT(C5547)</f>
        <v/>
      </c>
    </row>
    <row r="5548">
      <c r="A5548" s="2" t="inlineStr">
        <is>
          <t>EXD51</t>
        </is>
      </c>
      <c r="B5548" s="3" t="n">
        <v>46114.25</v>
      </c>
      <c r="C5548" s="3" t="n">
        <v>46114.75</v>
      </c>
      <c r="D5548" s="4">
        <f>(C5548-B5548)*24</f>
        <v/>
      </c>
      <c r="E5548" s="5">
        <f>IF(AND(HOUR(B5548)&gt;=6,HOUR(B5548)&lt;18),"Day Shift","Night Shift")</f>
        <v/>
      </c>
      <c r="F5548" s="6">
        <f>INT(B5548)</f>
        <v/>
      </c>
      <c r="G5548" s="6">
        <f>INT(C5548)</f>
        <v/>
      </c>
    </row>
    <row r="5549">
      <c r="A5549" s="7" t="inlineStr">
        <is>
          <t>EXD51</t>
        </is>
      </c>
      <c r="B5549" s="8" t="n">
        <v>46114.75</v>
      </c>
      <c r="C5549" s="8" t="n">
        <v>46115.05554398148</v>
      </c>
      <c r="D5549" s="9">
        <f>(C5549-B5549)*24</f>
        <v/>
      </c>
      <c r="E5549" s="10">
        <f>IF(AND(HOUR(B5549)&gt;=6,HOUR(B5549)&lt;18),"Day Shift","Night Shift")</f>
        <v/>
      </c>
      <c r="F5549" s="11">
        <f>INT(B5549)</f>
        <v/>
      </c>
      <c r="G5549" s="11">
        <f>INT(C5549)</f>
        <v/>
      </c>
    </row>
    <row r="5550">
      <c r="A5550" s="7" t="inlineStr">
        <is>
          <t>EXD52;LDW262</t>
        </is>
      </c>
      <c r="B5550" s="8" t="n">
        <v>46113.75857638889</v>
      </c>
      <c r="C5550" s="8" t="n">
        <v>46113.90743055556</v>
      </c>
      <c r="D5550" s="9">
        <f>(C5550-B5550)*24</f>
        <v/>
      </c>
      <c r="E5550" s="10">
        <f>IF(AND(HOUR(B5550)&gt;=6,HOUR(B5550)&lt;18),"Day Shift","Night Shift")</f>
        <v/>
      </c>
      <c r="F5550" s="11">
        <f>INT(B5550)</f>
        <v/>
      </c>
      <c r="G5550" s="11">
        <f>INT(C5550)</f>
        <v/>
      </c>
    </row>
    <row r="5551">
      <c r="A5551" s="7" t="inlineStr">
        <is>
          <t>Sprint 1</t>
        </is>
      </c>
      <c r="B5551" s="8" t="n">
        <v>46113.7634375</v>
      </c>
      <c r="C5551" s="8" t="n">
        <v>46114.25</v>
      </c>
      <c r="D5551" s="9">
        <f>(C5551-B5551)*24</f>
        <v/>
      </c>
      <c r="E5551" s="10">
        <f>IF(AND(HOUR(B5551)&gt;=6,HOUR(B5551)&lt;18),"Day Shift","Night Shift")</f>
        <v/>
      </c>
      <c r="F5551" s="11">
        <f>INT(B5551)</f>
        <v/>
      </c>
      <c r="G5551" s="11">
        <f>INT(C5551)</f>
        <v/>
      </c>
    </row>
    <row r="5552">
      <c r="A5552" s="2" t="inlineStr">
        <is>
          <t>Sprint 1</t>
        </is>
      </c>
      <c r="B5552" s="3" t="n">
        <v>46114.25</v>
      </c>
      <c r="C5552" s="3" t="n">
        <v>46114.5980787037</v>
      </c>
      <c r="D5552" s="4">
        <f>(C5552-B5552)*24</f>
        <v/>
      </c>
      <c r="E5552" s="5">
        <f>IF(AND(HOUR(B5552)&gt;=6,HOUR(B5552)&lt;18),"Day Shift","Night Shift")</f>
        <v/>
      </c>
      <c r="F5552" s="6">
        <f>INT(B5552)</f>
        <v/>
      </c>
      <c r="G5552" s="6">
        <f>INT(C5552)</f>
        <v/>
      </c>
    </row>
    <row r="5553">
      <c r="A5553" s="7" t="inlineStr">
        <is>
          <t>EXD101</t>
        </is>
      </c>
      <c r="B5553" s="8" t="n">
        <v>46113.8500462963</v>
      </c>
      <c r="C5553" s="8" t="n">
        <v>46114.25</v>
      </c>
      <c r="D5553" s="9">
        <f>(C5553-B5553)*24</f>
        <v/>
      </c>
      <c r="E5553" s="10">
        <f>IF(AND(HOUR(B5553)&gt;=6,HOUR(B5553)&lt;18),"Day Shift","Night Shift")</f>
        <v/>
      </c>
      <c r="F5553" s="11">
        <f>INT(B5553)</f>
        <v/>
      </c>
      <c r="G5553" s="11">
        <f>INT(C5553)</f>
        <v/>
      </c>
    </row>
    <row r="5554">
      <c r="A5554" s="2" t="inlineStr">
        <is>
          <t>EXD101</t>
        </is>
      </c>
      <c r="B5554" s="3" t="n">
        <v>46114.25</v>
      </c>
      <c r="C5554" s="3" t="n">
        <v>46114.41850694444</v>
      </c>
      <c r="D5554" s="4">
        <f>(C5554-B5554)*24</f>
        <v/>
      </c>
      <c r="E5554" s="5">
        <f>IF(AND(HOUR(B5554)&gt;=6,HOUR(B5554)&lt;18),"Day Shift","Night Shift")</f>
        <v/>
      </c>
      <c r="F5554" s="6">
        <f>INT(B5554)</f>
        <v/>
      </c>
      <c r="G5554" s="6">
        <f>INT(C5554)</f>
        <v/>
      </c>
    </row>
    <row r="5555">
      <c r="A5555" s="7" t="inlineStr">
        <is>
          <t>EXD100</t>
        </is>
      </c>
      <c r="B5555" s="8" t="n">
        <v>46113.88104166667</v>
      </c>
      <c r="C5555" s="8" t="n">
        <v>46114.25</v>
      </c>
      <c r="D5555" s="9">
        <f>(C5555-B5555)*24</f>
        <v/>
      </c>
      <c r="E5555" s="10">
        <f>IF(AND(HOUR(B5555)&gt;=6,HOUR(B5555)&lt;18),"Day Shift","Night Shift")</f>
        <v/>
      </c>
      <c r="F5555" s="11">
        <f>INT(B5555)</f>
        <v/>
      </c>
      <c r="G5555" s="11">
        <f>INT(C5555)</f>
        <v/>
      </c>
    </row>
    <row r="5556">
      <c r="A5556" s="2" t="inlineStr">
        <is>
          <t>EXD100</t>
        </is>
      </c>
      <c r="B5556" s="3" t="n">
        <v>46114.25</v>
      </c>
      <c r="C5556" s="3" t="n">
        <v>46114.36498842593</v>
      </c>
      <c r="D5556" s="4">
        <f>(C5556-B5556)*24</f>
        <v/>
      </c>
      <c r="E5556" s="5">
        <f>IF(AND(HOUR(B5556)&gt;=6,HOUR(B5556)&lt;18),"Day Shift","Night Shift")</f>
        <v/>
      </c>
      <c r="F5556" s="6">
        <f>INT(B5556)</f>
        <v/>
      </c>
      <c r="G5556" s="6">
        <f>INT(C5556)</f>
        <v/>
      </c>
    </row>
    <row r="5557">
      <c r="A5557" s="7" t="inlineStr">
        <is>
          <t>EXD61;EXD73</t>
        </is>
      </c>
      <c r="B5557" s="8" t="n">
        <v>46113.9027662037</v>
      </c>
      <c r="C5557" s="8" t="n">
        <v>46114.25</v>
      </c>
      <c r="D5557" s="9">
        <f>(C5557-B5557)*24</f>
        <v/>
      </c>
      <c r="E5557" s="10">
        <f>IF(AND(HOUR(B5557)&gt;=6,HOUR(B5557)&lt;18),"Day Shift","Night Shift")</f>
        <v/>
      </c>
      <c r="F5557" s="11">
        <f>INT(B5557)</f>
        <v/>
      </c>
      <c r="G5557" s="11">
        <f>INT(C5557)</f>
        <v/>
      </c>
    </row>
    <row r="5558">
      <c r="A5558" s="2" t="inlineStr">
        <is>
          <t>EXD61;EXD73</t>
        </is>
      </c>
      <c r="B5558" s="3" t="n">
        <v>46114.25</v>
      </c>
      <c r="C5558" s="3" t="n">
        <v>46114.75</v>
      </c>
      <c r="D5558" s="4">
        <f>(C5558-B5558)*24</f>
        <v/>
      </c>
      <c r="E5558" s="5">
        <f>IF(AND(HOUR(B5558)&gt;=6,HOUR(B5558)&lt;18),"Day Shift","Night Shift")</f>
        <v/>
      </c>
      <c r="F5558" s="6">
        <f>INT(B5558)</f>
        <v/>
      </c>
      <c r="G5558" s="6">
        <f>INT(C5558)</f>
        <v/>
      </c>
    </row>
    <row r="5559">
      <c r="A5559" s="7" t="inlineStr">
        <is>
          <t>EXD61;EXD73</t>
        </is>
      </c>
      <c r="B5559" s="8" t="n">
        <v>46114.75</v>
      </c>
      <c r="C5559" s="8" t="n">
        <v>46115.25</v>
      </c>
      <c r="D5559" s="9">
        <f>(C5559-B5559)*24</f>
        <v/>
      </c>
      <c r="E5559" s="10">
        <f>IF(AND(HOUR(B5559)&gt;=6,HOUR(B5559)&lt;18),"Day Shift","Night Shift")</f>
        <v/>
      </c>
      <c r="F5559" s="11">
        <f>INT(B5559)</f>
        <v/>
      </c>
      <c r="G5559" s="11">
        <f>INT(C5559)</f>
        <v/>
      </c>
    </row>
    <row r="5560">
      <c r="A5560" s="2" t="inlineStr">
        <is>
          <t>EXD61;EXD73</t>
        </is>
      </c>
      <c r="B5560" s="3" t="n">
        <v>46115.25</v>
      </c>
      <c r="C5560" s="3" t="n">
        <v>46115.75</v>
      </c>
      <c r="D5560" s="4">
        <f>(C5560-B5560)*24</f>
        <v/>
      </c>
      <c r="E5560" s="5">
        <f>IF(AND(HOUR(B5560)&gt;=6,HOUR(B5560)&lt;18),"Day Shift","Night Shift")</f>
        <v/>
      </c>
      <c r="F5560" s="6">
        <f>INT(B5560)</f>
        <v/>
      </c>
      <c r="G5560" s="6">
        <f>INT(C5560)</f>
        <v/>
      </c>
    </row>
    <row r="5561">
      <c r="A5561" s="7" t="inlineStr">
        <is>
          <t>EXD61;EXD73</t>
        </is>
      </c>
      <c r="B5561" s="8" t="n">
        <v>46115.75</v>
      </c>
      <c r="C5561" s="8" t="n">
        <v>46116.25</v>
      </c>
      <c r="D5561" s="9">
        <f>(C5561-B5561)*24</f>
        <v/>
      </c>
      <c r="E5561" s="10">
        <f>IF(AND(HOUR(B5561)&gt;=6,HOUR(B5561)&lt;18),"Day Shift","Night Shift")</f>
        <v/>
      </c>
      <c r="F5561" s="11">
        <f>INT(B5561)</f>
        <v/>
      </c>
      <c r="G5561" s="11">
        <f>INT(C5561)</f>
        <v/>
      </c>
    </row>
    <row r="5562">
      <c r="A5562" s="2" t="inlineStr">
        <is>
          <t>EXD61;EXD73</t>
        </is>
      </c>
      <c r="B5562" s="3" t="n">
        <v>46116.25</v>
      </c>
      <c r="C5562" s="3" t="n">
        <v>46116.75</v>
      </c>
      <c r="D5562" s="4">
        <f>(C5562-B5562)*24</f>
        <v/>
      </c>
      <c r="E5562" s="5">
        <f>IF(AND(HOUR(B5562)&gt;=6,HOUR(B5562)&lt;18),"Day Shift","Night Shift")</f>
        <v/>
      </c>
      <c r="F5562" s="6">
        <f>INT(B5562)</f>
        <v/>
      </c>
      <c r="G5562" s="6">
        <f>INT(C5562)</f>
        <v/>
      </c>
    </row>
    <row r="5563">
      <c r="A5563" s="7" t="inlineStr">
        <is>
          <t>EXD61;EXD73</t>
        </is>
      </c>
      <c r="B5563" s="8" t="n">
        <v>46116.75</v>
      </c>
      <c r="C5563" s="8" t="n">
        <v>46117.25</v>
      </c>
      <c r="D5563" s="9">
        <f>(C5563-B5563)*24</f>
        <v/>
      </c>
      <c r="E5563" s="10">
        <f>IF(AND(HOUR(B5563)&gt;=6,HOUR(B5563)&lt;18),"Day Shift","Night Shift")</f>
        <v/>
      </c>
      <c r="F5563" s="11">
        <f>INT(B5563)</f>
        <v/>
      </c>
      <c r="G5563" s="11">
        <f>INT(C5563)</f>
        <v/>
      </c>
    </row>
    <row r="5564">
      <c r="A5564" s="2" t="inlineStr">
        <is>
          <t>EXD61;EXD73</t>
        </is>
      </c>
      <c r="B5564" s="3" t="n">
        <v>46117.25</v>
      </c>
      <c r="C5564" s="3" t="n">
        <v>46117.75</v>
      </c>
      <c r="D5564" s="4">
        <f>(C5564-B5564)*24</f>
        <v/>
      </c>
      <c r="E5564" s="5">
        <f>IF(AND(HOUR(B5564)&gt;=6,HOUR(B5564)&lt;18),"Day Shift","Night Shift")</f>
        <v/>
      </c>
      <c r="F5564" s="6">
        <f>INT(B5564)</f>
        <v/>
      </c>
      <c r="G5564" s="6">
        <f>INT(C5564)</f>
        <v/>
      </c>
    </row>
    <row r="5565">
      <c r="A5565" s="7" t="inlineStr">
        <is>
          <t>EXD61;EXD73</t>
        </is>
      </c>
      <c r="B5565" s="8" t="n">
        <v>46117.75</v>
      </c>
      <c r="C5565" s="8" t="n">
        <v>46118.25</v>
      </c>
      <c r="D5565" s="9">
        <f>(C5565-B5565)*24</f>
        <v/>
      </c>
      <c r="E5565" s="10">
        <f>IF(AND(HOUR(B5565)&gt;=6,HOUR(B5565)&lt;18),"Day Shift","Night Shift")</f>
        <v/>
      </c>
      <c r="F5565" s="11">
        <f>INT(B5565)</f>
        <v/>
      </c>
      <c r="G5565" s="11">
        <f>INT(C5565)</f>
        <v/>
      </c>
    </row>
    <row r="5566">
      <c r="A5566" s="2" t="inlineStr">
        <is>
          <t>EXD61;EXD73</t>
        </is>
      </c>
      <c r="B5566" s="3" t="n">
        <v>46118.25</v>
      </c>
      <c r="C5566" s="3" t="n">
        <v>46118.75</v>
      </c>
      <c r="D5566" s="4">
        <f>(C5566-B5566)*24</f>
        <v/>
      </c>
      <c r="E5566" s="5">
        <f>IF(AND(HOUR(B5566)&gt;=6,HOUR(B5566)&lt;18),"Day Shift","Night Shift")</f>
        <v/>
      </c>
      <c r="F5566" s="6">
        <f>INT(B5566)</f>
        <v/>
      </c>
      <c r="G5566" s="6">
        <f>INT(C5566)</f>
        <v/>
      </c>
    </row>
    <row r="5567">
      <c r="A5567" s="7" t="inlineStr">
        <is>
          <t>EXD61;EXD73</t>
        </is>
      </c>
      <c r="B5567" s="8" t="n">
        <v>46118.75</v>
      </c>
      <c r="C5567" s="8" t="n">
        <v>46119.25</v>
      </c>
      <c r="D5567" s="9">
        <f>(C5567-B5567)*24</f>
        <v/>
      </c>
      <c r="E5567" s="10">
        <f>IF(AND(HOUR(B5567)&gt;=6,HOUR(B5567)&lt;18),"Day Shift","Night Shift")</f>
        <v/>
      </c>
      <c r="F5567" s="11">
        <f>INT(B5567)</f>
        <v/>
      </c>
      <c r="G5567" s="11">
        <f>INT(C5567)</f>
        <v/>
      </c>
    </row>
    <row r="5568">
      <c r="A5568" s="2" t="inlineStr">
        <is>
          <t>EXD61;EXD73</t>
        </is>
      </c>
      <c r="B5568" s="3" t="n">
        <v>46119.25</v>
      </c>
      <c r="C5568" s="3" t="n">
        <v>46119.75</v>
      </c>
      <c r="D5568" s="4">
        <f>(C5568-B5568)*24</f>
        <v/>
      </c>
      <c r="E5568" s="5">
        <f>IF(AND(HOUR(B5568)&gt;=6,HOUR(B5568)&lt;18),"Day Shift","Night Shift")</f>
        <v/>
      </c>
      <c r="F5568" s="6">
        <f>INT(B5568)</f>
        <v/>
      </c>
      <c r="G5568" s="6">
        <f>INT(C5568)</f>
        <v/>
      </c>
    </row>
    <row r="5569">
      <c r="A5569" s="7" t="inlineStr">
        <is>
          <t>EXD61;EXD73</t>
        </is>
      </c>
      <c r="B5569" s="8" t="n">
        <v>46119.75</v>
      </c>
      <c r="C5569" s="8" t="n">
        <v>46120.25</v>
      </c>
      <c r="D5569" s="9">
        <f>(C5569-B5569)*24</f>
        <v/>
      </c>
      <c r="E5569" s="10">
        <f>IF(AND(HOUR(B5569)&gt;=6,HOUR(B5569)&lt;18),"Day Shift","Night Shift")</f>
        <v/>
      </c>
      <c r="F5569" s="11">
        <f>INT(B5569)</f>
        <v/>
      </c>
      <c r="G5569" s="11">
        <f>INT(C5569)</f>
        <v/>
      </c>
    </row>
    <row r="5570">
      <c r="A5570" s="2" t="inlineStr">
        <is>
          <t>EXD61;EXD73</t>
        </is>
      </c>
      <c r="B5570" s="3" t="n">
        <v>46120.25</v>
      </c>
      <c r="C5570" s="3" t="n">
        <v>46120.75</v>
      </c>
      <c r="D5570" s="4">
        <f>(C5570-B5570)*24</f>
        <v/>
      </c>
      <c r="E5570" s="5">
        <f>IF(AND(HOUR(B5570)&gt;=6,HOUR(B5570)&lt;18),"Day Shift","Night Shift")</f>
        <v/>
      </c>
      <c r="F5570" s="6">
        <f>INT(B5570)</f>
        <v/>
      </c>
      <c r="G5570" s="6">
        <f>INT(C5570)</f>
        <v/>
      </c>
    </row>
    <row r="5571">
      <c r="A5571" s="7" t="inlineStr">
        <is>
          <t>EXD61;EXD73</t>
        </is>
      </c>
      <c r="B5571" s="8" t="n">
        <v>46120.75</v>
      </c>
      <c r="C5571" s="8" t="n">
        <v>46121.25</v>
      </c>
      <c r="D5571" s="9">
        <f>(C5571-B5571)*24</f>
        <v/>
      </c>
      <c r="E5571" s="10">
        <f>IF(AND(HOUR(B5571)&gt;=6,HOUR(B5571)&lt;18),"Day Shift","Night Shift")</f>
        <v/>
      </c>
      <c r="F5571" s="11">
        <f>INT(B5571)</f>
        <v/>
      </c>
      <c r="G5571" s="11">
        <f>INT(C5571)</f>
        <v/>
      </c>
    </row>
    <row r="5572">
      <c r="A5572" s="2" t="inlineStr">
        <is>
          <t>EXD61;EXD73</t>
        </is>
      </c>
      <c r="B5572" s="3" t="n">
        <v>46121.25</v>
      </c>
      <c r="C5572" s="3" t="n">
        <v>46121.75</v>
      </c>
      <c r="D5572" s="4">
        <f>(C5572-B5572)*24</f>
        <v/>
      </c>
      <c r="E5572" s="5">
        <f>IF(AND(HOUR(B5572)&gt;=6,HOUR(B5572)&lt;18),"Day Shift","Night Shift")</f>
        <v/>
      </c>
      <c r="F5572" s="6">
        <f>INT(B5572)</f>
        <v/>
      </c>
      <c r="G5572" s="6">
        <f>INT(C5572)</f>
        <v/>
      </c>
    </row>
    <row r="5573">
      <c r="A5573" s="7" t="inlineStr">
        <is>
          <t>EXD61;EXD73</t>
        </is>
      </c>
      <c r="B5573" s="8" t="n">
        <v>46121.75</v>
      </c>
      <c r="C5573" s="8" t="n">
        <v>46122.25</v>
      </c>
      <c r="D5573" s="9">
        <f>(C5573-B5573)*24</f>
        <v/>
      </c>
      <c r="E5573" s="10">
        <f>IF(AND(HOUR(B5573)&gt;=6,HOUR(B5573)&lt;18),"Day Shift","Night Shift")</f>
        <v/>
      </c>
      <c r="F5573" s="11">
        <f>INT(B5573)</f>
        <v/>
      </c>
      <c r="G5573" s="11">
        <f>INT(C5573)</f>
        <v/>
      </c>
    </row>
    <row r="5574">
      <c r="A5574" s="2" t="inlineStr">
        <is>
          <t>EXD61;EXD73</t>
        </is>
      </c>
      <c r="B5574" s="3" t="n">
        <v>46122.25</v>
      </c>
      <c r="C5574" s="3" t="n">
        <v>46122.75</v>
      </c>
      <c r="D5574" s="4">
        <f>(C5574-B5574)*24</f>
        <v/>
      </c>
      <c r="E5574" s="5">
        <f>IF(AND(HOUR(B5574)&gt;=6,HOUR(B5574)&lt;18),"Day Shift","Night Shift")</f>
        <v/>
      </c>
      <c r="F5574" s="6">
        <f>INT(B5574)</f>
        <v/>
      </c>
      <c r="G5574" s="6">
        <f>INT(C5574)</f>
        <v/>
      </c>
    </row>
    <row r="5575">
      <c r="A5575" s="7" t="inlineStr">
        <is>
          <t>EXD61;EXD73</t>
        </is>
      </c>
      <c r="B5575" s="8" t="n">
        <v>46122.75</v>
      </c>
      <c r="C5575" s="8" t="n">
        <v>46123.25</v>
      </c>
      <c r="D5575" s="9">
        <f>(C5575-B5575)*24</f>
        <v/>
      </c>
      <c r="E5575" s="10">
        <f>IF(AND(HOUR(B5575)&gt;=6,HOUR(B5575)&lt;18),"Day Shift","Night Shift")</f>
        <v/>
      </c>
      <c r="F5575" s="11">
        <f>INT(B5575)</f>
        <v/>
      </c>
      <c r="G5575" s="11">
        <f>INT(C5575)</f>
        <v/>
      </c>
    </row>
    <row r="5576">
      <c r="A5576" s="2" t="inlineStr">
        <is>
          <t>EXD61;EXD73</t>
        </is>
      </c>
      <c r="B5576" s="3" t="n">
        <v>46123.25</v>
      </c>
      <c r="C5576" s="3" t="n">
        <v>46123.75</v>
      </c>
      <c r="D5576" s="4">
        <f>(C5576-B5576)*24</f>
        <v/>
      </c>
      <c r="E5576" s="5">
        <f>IF(AND(HOUR(B5576)&gt;=6,HOUR(B5576)&lt;18),"Day Shift","Night Shift")</f>
        <v/>
      </c>
      <c r="F5576" s="6">
        <f>INT(B5576)</f>
        <v/>
      </c>
      <c r="G5576" s="6">
        <f>INT(C5576)</f>
        <v/>
      </c>
    </row>
    <row r="5577">
      <c r="A5577" s="7" t="inlineStr">
        <is>
          <t>EXD61;EXD73</t>
        </is>
      </c>
      <c r="B5577" s="8" t="n">
        <v>46123.75</v>
      </c>
      <c r="C5577" s="8" t="n">
        <v>46124.25</v>
      </c>
      <c r="D5577" s="9">
        <f>(C5577-B5577)*24</f>
        <v/>
      </c>
      <c r="E5577" s="10">
        <f>IF(AND(HOUR(B5577)&gt;=6,HOUR(B5577)&lt;18),"Day Shift","Night Shift")</f>
        <v/>
      </c>
      <c r="F5577" s="11">
        <f>INT(B5577)</f>
        <v/>
      </c>
      <c r="G5577" s="11">
        <f>INT(C5577)</f>
        <v/>
      </c>
    </row>
    <row r="5578">
      <c r="A5578" s="2" t="inlineStr">
        <is>
          <t>EXD61;EXD73</t>
        </is>
      </c>
      <c r="B5578" s="3" t="n">
        <v>46124.25</v>
      </c>
      <c r="C5578" s="3" t="n">
        <v>46124.75</v>
      </c>
      <c r="D5578" s="4">
        <f>(C5578-B5578)*24</f>
        <v/>
      </c>
      <c r="E5578" s="5">
        <f>IF(AND(HOUR(B5578)&gt;=6,HOUR(B5578)&lt;18),"Day Shift","Night Shift")</f>
        <v/>
      </c>
      <c r="F5578" s="6">
        <f>INT(B5578)</f>
        <v/>
      </c>
      <c r="G5578" s="6">
        <f>INT(C5578)</f>
        <v/>
      </c>
    </row>
    <row r="5579">
      <c r="A5579" s="7" t="inlineStr">
        <is>
          <t>EXD61;EXD73</t>
        </is>
      </c>
      <c r="B5579" s="8" t="n">
        <v>46124.75</v>
      </c>
      <c r="C5579" s="8" t="n">
        <v>46125.25</v>
      </c>
      <c r="D5579" s="9">
        <f>(C5579-B5579)*24</f>
        <v/>
      </c>
      <c r="E5579" s="10">
        <f>IF(AND(HOUR(B5579)&gt;=6,HOUR(B5579)&lt;18),"Day Shift","Night Shift")</f>
        <v/>
      </c>
      <c r="F5579" s="11">
        <f>INT(B5579)</f>
        <v/>
      </c>
      <c r="G5579" s="11">
        <f>INT(C5579)</f>
        <v/>
      </c>
    </row>
    <row r="5580">
      <c r="A5580" s="2" t="inlineStr">
        <is>
          <t>EXD61;EXD73</t>
        </is>
      </c>
      <c r="B5580" s="3" t="n">
        <v>46125.25</v>
      </c>
      <c r="C5580" s="3" t="n">
        <v>46125.75</v>
      </c>
      <c r="D5580" s="4">
        <f>(C5580-B5580)*24</f>
        <v/>
      </c>
      <c r="E5580" s="5">
        <f>IF(AND(HOUR(B5580)&gt;=6,HOUR(B5580)&lt;18),"Day Shift","Night Shift")</f>
        <v/>
      </c>
      <c r="F5580" s="6">
        <f>INT(B5580)</f>
        <v/>
      </c>
      <c r="G5580" s="6">
        <f>INT(C5580)</f>
        <v/>
      </c>
    </row>
    <row r="5581">
      <c r="A5581" s="7" t="inlineStr">
        <is>
          <t>EXD61;EXD73</t>
        </is>
      </c>
      <c r="B5581" s="8" t="n">
        <v>46125.75</v>
      </c>
      <c r="C5581" s="8" t="n">
        <v>46126.25</v>
      </c>
      <c r="D5581" s="9">
        <f>(C5581-B5581)*24</f>
        <v/>
      </c>
      <c r="E5581" s="10">
        <f>IF(AND(HOUR(B5581)&gt;=6,HOUR(B5581)&lt;18),"Day Shift","Night Shift")</f>
        <v/>
      </c>
      <c r="F5581" s="11">
        <f>INT(B5581)</f>
        <v/>
      </c>
      <c r="G5581" s="11">
        <f>INT(C5581)</f>
        <v/>
      </c>
    </row>
    <row r="5582">
      <c r="A5582" s="2" t="inlineStr">
        <is>
          <t>EXD61;EXD73</t>
        </is>
      </c>
      <c r="B5582" s="3" t="n">
        <v>46126.25</v>
      </c>
      <c r="C5582" s="3" t="n">
        <v>46126.75</v>
      </c>
      <c r="D5582" s="4">
        <f>(C5582-B5582)*24</f>
        <v/>
      </c>
      <c r="E5582" s="5">
        <f>IF(AND(HOUR(B5582)&gt;=6,HOUR(B5582)&lt;18),"Day Shift","Night Shift")</f>
        <v/>
      </c>
      <c r="F5582" s="6">
        <f>INT(B5582)</f>
        <v/>
      </c>
      <c r="G5582" s="6">
        <f>INT(C5582)</f>
        <v/>
      </c>
    </row>
    <row r="5583">
      <c r="A5583" s="7" t="inlineStr">
        <is>
          <t>EXD61;EXD73</t>
        </is>
      </c>
      <c r="B5583" s="8" t="n">
        <v>46126.75</v>
      </c>
      <c r="C5583" s="8" t="n">
        <v>46127.25</v>
      </c>
      <c r="D5583" s="9">
        <f>(C5583-B5583)*24</f>
        <v/>
      </c>
      <c r="E5583" s="10">
        <f>IF(AND(HOUR(B5583)&gt;=6,HOUR(B5583)&lt;18),"Day Shift","Night Shift")</f>
        <v/>
      </c>
      <c r="F5583" s="11">
        <f>INT(B5583)</f>
        <v/>
      </c>
      <c r="G5583" s="11">
        <f>INT(C5583)</f>
        <v/>
      </c>
    </row>
    <row r="5584">
      <c r="A5584" s="2" t="inlineStr">
        <is>
          <t>EXD61;EXD73</t>
        </is>
      </c>
      <c r="B5584" s="3" t="n">
        <v>46127.25</v>
      </c>
      <c r="C5584" s="3" t="n">
        <v>46127.75</v>
      </c>
      <c r="D5584" s="4">
        <f>(C5584-B5584)*24</f>
        <v/>
      </c>
      <c r="E5584" s="5">
        <f>IF(AND(HOUR(B5584)&gt;=6,HOUR(B5584)&lt;18),"Day Shift","Night Shift")</f>
        <v/>
      </c>
      <c r="F5584" s="6">
        <f>INT(B5584)</f>
        <v/>
      </c>
      <c r="G5584" s="6">
        <f>INT(C5584)</f>
        <v/>
      </c>
    </row>
    <row r="5585">
      <c r="A5585" s="7" t="inlineStr">
        <is>
          <t>EXD61;EXD73</t>
        </is>
      </c>
      <c r="B5585" s="8" t="n">
        <v>46127.75</v>
      </c>
      <c r="C5585" s="8" t="n">
        <v>46128.25</v>
      </c>
      <c r="D5585" s="9">
        <f>(C5585-B5585)*24</f>
        <v/>
      </c>
      <c r="E5585" s="10">
        <f>IF(AND(HOUR(B5585)&gt;=6,HOUR(B5585)&lt;18),"Day Shift","Night Shift")</f>
        <v/>
      </c>
      <c r="F5585" s="11">
        <f>INT(B5585)</f>
        <v/>
      </c>
      <c r="G5585" s="11">
        <f>INT(C5585)</f>
        <v/>
      </c>
    </row>
    <row r="5586">
      <c r="A5586" s="2" t="inlineStr">
        <is>
          <t>EXD61;EXD73</t>
        </is>
      </c>
      <c r="B5586" s="3" t="n">
        <v>46128.25</v>
      </c>
      <c r="C5586" s="3" t="n">
        <v>46128.75</v>
      </c>
      <c r="D5586" s="4">
        <f>(C5586-B5586)*24</f>
        <v/>
      </c>
      <c r="E5586" s="5">
        <f>IF(AND(HOUR(B5586)&gt;=6,HOUR(B5586)&lt;18),"Day Shift","Night Shift")</f>
        <v/>
      </c>
      <c r="F5586" s="6">
        <f>INT(B5586)</f>
        <v/>
      </c>
      <c r="G5586" s="6">
        <f>INT(C5586)</f>
        <v/>
      </c>
    </row>
    <row r="5587">
      <c r="A5587" s="7" t="inlineStr">
        <is>
          <t>EXD61;EXD73</t>
        </is>
      </c>
      <c r="B5587" s="8" t="n">
        <v>46128.75</v>
      </c>
      <c r="C5587" s="8" t="n">
        <v>46129.25</v>
      </c>
      <c r="D5587" s="9">
        <f>(C5587-B5587)*24</f>
        <v/>
      </c>
      <c r="E5587" s="10">
        <f>IF(AND(HOUR(B5587)&gt;=6,HOUR(B5587)&lt;18),"Day Shift","Night Shift")</f>
        <v/>
      </c>
      <c r="F5587" s="11">
        <f>INT(B5587)</f>
        <v/>
      </c>
      <c r="G5587" s="11">
        <f>INT(C5587)</f>
        <v/>
      </c>
    </row>
    <row r="5588">
      <c r="A5588" s="2" t="inlineStr">
        <is>
          <t>EXD61;EXD73</t>
        </is>
      </c>
      <c r="B5588" s="3" t="n">
        <v>46129.25</v>
      </c>
      <c r="C5588" s="3" t="n">
        <v>46129.75</v>
      </c>
      <c r="D5588" s="4">
        <f>(C5588-B5588)*24</f>
        <v/>
      </c>
      <c r="E5588" s="5">
        <f>IF(AND(HOUR(B5588)&gt;=6,HOUR(B5588)&lt;18),"Day Shift","Night Shift")</f>
        <v/>
      </c>
      <c r="F5588" s="6">
        <f>INT(B5588)</f>
        <v/>
      </c>
      <c r="G5588" s="6">
        <f>INT(C5588)</f>
        <v/>
      </c>
    </row>
    <row r="5589">
      <c r="A5589" s="7" t="inlineStr">
        <is>
          <t>EXD61;EXD73</t>
        </is>
      </c>
      <c r="B5589" s="8" t="n">
        <v>46129.75</v>
      </c>
      <c r="C5589" s="8" t="n">
        <v>46130.25</v>
      </c>
      <c r="D5589" s="9">
        <f>(C5589-B5589)*24</f>
        <v/>
      </c>
      <c r="E5589" s="10">
        <f>IF(AND(HOUR(B5589)&gt;=6,HOUR(B5589)&lt;18),"Day Shift","Night Shift")</f>
        <v/>
      </c>
      <c r="F5589" s="11">
        <f>INT(B5589)</f>
        <v/>
      </c>
      <c r="G5589" s="11">
        <f>INT(C5589)</f>
        <v/>
      </c>
    </row>
    <row r="5590">
      <c r="A5590" s="2" t="inlineStr">
        <is>
          <t>EXD61;EXD73</t>
        </is>
      </c>
      <c r="B5590" s="3" t="n">
        <v>46130.25</v>
      </c>
      <c r="C5590" s="3" t="n">
        <v>46130.75</v>
      </c>
      <c r="D5590" s="4">
        <f>(C5590-B5590)*24</f>
        <v/>
      </c>
      <c r="E5590" s="5">
        <f>IF(AND(HOUR(B5590)&gt;=6,HOUR(B5590)&lt;18),"Day Shift","Night Shift")</f>
        <v/>
      </c>
      <c r="F5590" s="6">
        <f>INT(B5590)</f>
        <v/>
      </c>
      <c r="G5590" s="6">
        <f>INT(C5590)</f>
        <v/>
      </c>
    </row>
    <row r="5591">
      <c r="A5591" s="7" t="inlineStr">
        <is>
          <t>EXD61;EXD73</t>
        </is>
      </c>
      <c r="B5591" s="8" t="n">
        <v>46130.75</v>
      </c>
      <c r="C5591" s="8" t="n">
        <v>46131.25</v>
      </c>
      <c r="D5591" s="9">
        <f>(C5591-B5591)*24</f>
        <v/>
      </c>
      <c r="E5591" s="10">
        <f>IF(AND(HOUR(B5591)&gt;=6,HOUR(B5591)&lt;18),"Day Shift","Night Shift")</f>
        <v/>
      </c>
      <c r="F5591" s="11">
        <f>INT(B5591)</f>
        <v/>
      </c>
      <c r="G5591" s="11">
        <f>INT(C5591)</f>
        <v/>
      </c>
    </row>
    <row r="5592">
      <c r="A5592" s="2" t="inlineStr">
        <is>
          <t>EXD61;EXD73</t>
        </is>
      </c>
      <c r="B5592" s="3" t="n">
        <v>46131.25</v>
      </c>
      <c r="C5592" s="3" t="n">
        <v>46131.75</v>
      </c>
      <c r="D5592" s="4">
        <f>(C5592-B5592)*24</f>
        <v/>
      </c>
      <c r="E5592" s="5">
        <f>IF(AND(HOUR(B5592)&gt;=6,HOUR(B5592)&lt;18),"Day Shift","Night Shift")</f>
        <v/>
      </c>
      <c r="F5592" s="6">
        <f>INT(B5592)</f>
        <v/>
      </c>
      <c r="G5592" s="6">
        <f>INT(C5592)</f>
        <v/>
      </c>
    </row>
    <row r="5593">
      <c r="A5593" s="7" t="inlineStr">
        <is>
          <t>EXD61;EXD73</t>
        </is>
      </c>
      <c r="B5593" s="8" t="n">
        <v>46131.75</v>
      </c>
      <c r="C5593" s="8" t="n">
        <v>46132.25</v>
      </c>
      <c r="D5593" s="9">
        <f>(C5593-B5593)*24</f>
        <v/>
      </c>
      <c r="E5593" s="10">
        <f>IF(AND(HOUR(B5593)&gt;=6,HOUR(B5593)&lt;18),"Day Shift","Night Shift")</f>
        <v/>
      </c>
      <c r="F5593" s="11">
        <f>INT(B5593)</f>
        <v/>
      </c>
      <c r="G5593" s="11">
        <f>INT(C5593)</f>
        <v/>
      </c>
    </row>
    <row r="5594">
      <c r="A5594" s="2" t="inlineStr">
        <is>
          <t>EXD61;EXD73</t>
        </is>
      </c>
      <c r="B5594" s="3" t="n">
        <v>46132.25</v>
      </c>
      <c r="C5594" s="3" t="n">
        <v>46132.75</v>
      </c>
      <c r="D5594" s="4">
        <f>(C5594-B5594)*24</f>
        <v/>
      </c>
      <c r="E5594" s="5">
        <f>IF(AND(HOUR(B5594)&gt;=6,HOUR(B5594)&lt;18),"Day Shift","Night Shift")</f>
        <v/>
      </c>
      <c r="F5594" s="6">
        <f>INT(B5594)</f>
        <v/>
      </c>
      <c r="G5594" s="6">
        <f>INT(C5594)</f>
        <v/>
      </c>
    </row>
    <row r="5595">
      <c r="A5595" s="7" t="inlineStr">
        <is>
          <t>EXD61;EXD73</t>
        </is>
      </c>
      <c r="B5595" s="8" t="n">
        <v>46132.75</v>
      </c>
      <c r="C5595" s="8" t="n">
        <v>46133.25</v>
      </c>
      <c r="D5595" s="9">
        <f>(C5595-B5595)*24</f>
        <v/>
      </c>
      <c r="E5595" s="10">
        <f>IF(AND(HOUR(B5595)&gt;=6,HOUR(B5595)&lt;18),"Day Shift","Night Shift")</f>
        <v/>
      </c>
      <c r="F5595" s="11">
        <f>INT(B5595)</f>
        <v/>
      </c>
      <c r="G5595" s="11">
        <f>INT(C5595)</f>
        <v/>
      </c>
    </row>
    <row r="5596">
      <c r="A5596" s="2" t="inlineStr">
        <is>
          <t>EXD61;EXD73</t>
        </is>
      </c>
      <c r="B5596" s="3" t="n">
        <v>46133.25</v>
      </c>
      <c r="C5596" s="3" t="n">
        <v>46133.75</v>
      </c>
      <c r="D5596" s="4">
        <f>(C5596-B5596)*24</f>
        <v/>
      </c>
      <c r="E5596" s="5">
        <f>IF(AND(HOUR(B5596)&gt;=6,HOUR(B5596)&lt;18),"Day Shift","Night Shift")</f>
        <v/>
      </c>
      <c r="F5596" s="6">
        <f>INT(B5596)</f>
        <v/>
      </c>
      <c r="G5596" s="6">
        <f>INT(C5596)</f>
        <v/>
      </c>
    </row>
    <row r="5597">
      <c r="A5597" s="7" t="inlineStr">
        <is>
          <t>EXD61;EXD73</t>
        </is>
      </c>
      <c r="B5597" s="8" t="n">
        <v>46133.75</v>
      </c>
      <c r="C5597" s="8" t="n">
        <v>46134.25</v>
      </c>
      <c r="D5597" s="9">
        <f>(C5597-B5597)*24</f>
        <v/>
      </c>
      <c r="E5597" s="10">
        <f>IF(AND(HOUR(B5597)&gt;=6,HOUR(B5597)&lt;18),"Day Shift","Night Shift")</f>
        <v/>
      </c>
      <c r="F5597" s="11">
        <f>INT(B5597)</f>
        <v/>
      </c>
      <c r="G5597" s="11">
        <f>INT(C5597)</f>
        <v/>
      </c>
    </row>
    <row r="5598">
      <c r="A5598" s="2" t="inlineStr">
        <is>
          <t>EXD61;EXD73</t>
        </is>
      </c>
      <c r="B5598" s="3" t="n">
        <v>46134.25</v>
      </c>
      <c r="C5598" s="3" t="n">
        <v>46134.75</v>
      </c>
      <c r="D5598" s="4">
        <f>(C5598-B5598)*24</f>
        <v/>
      </c>
      <c r="E5598" s="5">
        <f>IF(AND(HOUR(B5598)&gt;=6,HOUR(B5598)&lt;18),"Day Shift","Night Shift")</f>
        <v/>
      </c>
      <c r="F5598" s="6">
        <f>INT(B5598)</f>
        <v/>
      </c>
      <c r="G5598" s="6">
        <f>INT(C5598)</f>
        <v/>
      </c>
    </row>
    <row r="5599">
      <c r="A5599" s="7" t="inlineStr">
        <is>
          <t>EXD61;EXD73</t>
        </is>
      </c>
      <c r="B5599" s="8" t="n">
        <v>46134.75</v>
      </c>
      <c r="C5599" s="8" t="n">
        <v>46135.25</v>
      </c>
      <c r="D5599" s="9">
        <f>(C5599-B5599)*24</f>
        <v/>
      </c>
      <c r="E5599" s="10">
        <f>IF(AND(HOUR(B5599)&gt;=6,HOUR(B5599)&lt;18),"Day Shift","Night Shift")</f>
        <v/>
      </c>
      <c r="F5599" s="11">
        <f>INT(B5599)</f>
        <v/>
      </c>
      <c r="G5599" s="11">
        <f>INT(C5599)</f>
        <v/>
      </c>
    </row>
    <row r="5600">
      <c r="A5600" s="2" t="inlineStr">
        <is>
          <t>EXD61;EXD73</t>
        </is>
      </c>
      <c r="B5600" s="3" t="n">
        <v>46135.25</v>
      </c>
      <c r="C5600" s="3" t="n">
        <v>46135.75</v>
      </c>
      <c r="D5600" s="4">
        <f>(C5600-B5600)*24</f>
        <v/>
      </c>
      <c r="E5600" s="5">
        <f>IF(AND(HOUR(B5600)&gt;=6,HOUR(B5600)&lt;18),"Day Shift","Night Shift")</f>
        <v/>
      </c>
      <c r="F5600" s="6">
        <f>INT(B5600)</f>
        <v/>
      </c>
      <c r="G5600" s="6">
        <f>INT(C5600)</f>
        <v/>
      </c>
    </row>
    <row r="5601">
      <c r="A5601" s="7" t="inlineStr">
        <is>
          <t>EXD61;EXD73</t>
        </is>
      </c>
      <c r="B5601" s="8" t="n">
        <v>46135.75</v>
      </c>
      <c r="C5601" s="8" t="n">
        <v>46136.25</v>
      </c>
      <c r="D5601" s="9">
        <f>(C5601-B5601)*24</f>
        <v/>
      </c>
      <c r="E5601" s="10">
        <f>IF(AND(HOUR(B5601)&gt;=6,HOUR(B5601)&lt;18),"Day Shift","Night Shift")</f>
        <v/>
      </c>
      <c r="F5601" s="11">
        <f>INT(B5601)</f>
        <v/>
      </c>
      <c r="G5601" s="11">
        <f>INT(C5601)</f>
        <v/>
      </c>
    </row>
    <row r="5602">
      <c r="A5602" s="2" t="inlineStr">
        <is>
          <t>EXD61;EXD73</t>
        </is>
      </c>
      <c r="B5602" s="3" t="n">
        <v>46136.25</v>
      </c>
      <c r="C5602" s="3" t="n">
        <v>46136.75</v>
      </c>
      <c r="D5602" s="4">
        <f>(C5602-B5602)*24</f>
        <v/>
      </c>
      <c r="E5602" s="5">
        <f>IF(AND(HOUR(B5602)&gt;=6,HOUR(B5602)&lt;18),"Day Shift","Night Shift")</f>
        <v/>
      </c>
      <c r="F5602" s="6">
        <f>INT(B5602)</f>
        <v/>
      </c>
      <c r="G5602" s="6">
        <f>INT(C5602)</f>
        <v/>
      </c>
    </row>
    <row r="5603">
      <c r="A5603" s="7" t="inlineStr">
        <is>
          <t>EXD61;EXD73</t>
        </is>
      </c>
      <c r="B5603" s="8" t="n">
        <v>46136.75</v>
      </c>
      <c r="C5603" s="8" t="n">
        <v>46137.25</v>
      </c>
      <c r="D5603" s="9">
        <f>(C5603-B5603)*24</f>
        <v/>
      </c>
      <c r="E5603" s="10">
        <f>IF(AND(HOUR(B5603)&gt;=6,HOUR(B5603)&lt;18),"Day Shift","Night Shift")</f>
        <v/>
      </c>
      <c r="F5603" s="11">
        <f>INT(B5603)</f>
        <v/>
      </c>
      <c r="G5603" s="11">
        <f>INT(C5603)</f>
        <v/>
      </c>
    </row>
    <row r="5604">
      <c r="A5604" s="2" t="inlineStr">
        <is>
          <t>EXD61;EXD73</t>
        </is>
      </c>
      <c r="B5604" s="3" t="n">
        <v>46137.25</v>
      </c>
      <c r="C5604" s="3" t="n">
        <v>46137.75</v>
      </c>
      <c r="D5604" s="4">
        <f>(C5604-B5604)*24</f>
        <v/>
      </c>
      <c r="E5604" s="5">
        <f>IF(AND(HOUR(B5604)&gt;=6,HOUR(B5604)&lt;18),"Day Shift","Night Shift")</f>
        <v/>
      </c>
      <c r="F5604" s="6">
        <f>INT(B5604)</f>
        <v/>
      </c>
      <c r="G5604" s="6">
        <f>INT(C5604)</f>
        <v/>
      </c>
    </row>
    <row r="5605">
      <c r="A5605" s="7" t="inlineStr">
        <is>
          <t>EXD61;EXD73</t>
        </is>
      </c>
      <c r="B5605" s="8" t="n">
        <v>46137.75</v>
      </c>
      <c r="C5605" s="8" t="n">
        <v>46138.25</v>
      </c>
      <c r="D5605" s="9">
        <f>(C5605-B5605)*24</f>
        <v/>
      </c>
      <c r="E5605" s="10">
        <f>IF(AND(HOUR(B5605)&gt;=6,HOUR(B5605)&lt;18),"Day Shift","Night Shift")</f>
        <v/>
      </c>
      <c r="F5605" s="11">
        <f>INT(B5605)</f>
        <v/>
      </c>
      <c r="G5605" s="11">
        <f>INT(C5605)</f>
        <v/>
      </c>
    </row>
    <row r="5606">
      <c r="A5606" s="2" t="inlineStr">
        <is>
          <t>EXD61;EXD73</t>
        </is>
      </c>
      <c r="B5606" s="3" t="n">
        <v>46138.25</v>
      </c>
      <c r="C5606" s="3" t="n">
        <v>46138.75</v>
      </c>
      <c r="D5606" s="4">
        <f>(C5606-B5606)*24</f>
        <v/>
      </c>
      <c r="E5606" s="5">
        <f>IF(AND(HOUR(B5606)&gt;=6,HOUR(B5606)&lt;18),"Day Shift","Night Shift")</f>
        <v/>
      </c>
      <c r="F5606" s="6">
        <f>INT(B5606)</f>
        <v/>
      </c>
      <c r="G5606" s="6">
        <f>INT(C5606)</f>
        <v/>
      </c>
    </row>
    <row r="5607">
      <c r="A5607" s="7" t="inlineStr">
        <is>
          <t>EXD61;EXD73</t>
        </is>
      </c>
      <c r="B5607" s="8" t="n">
        <v>46138.75</v>
      </c>
      <c r="C5607" s="8" t="n">
        <v>46139.25</v>
      </c>
      <c r="D5607" s="9">
        <f>(C5607-B5607)*24</f>
        <v/>
      </c>
      <c r="E5607" s="10">
        <f>IF(AND(HOUR(B5607)&gt;=6,HOUR(B5607)&lt;18),"Day Shift","Night Shift")</f>
        <v/>
      </c>
      <c r="F5607" s="11">
        <f>INT(B5607)</f>
        <v/>
      </c>
      <c r="G5607" s="11">
        <f>INT(C5607)</f>
        <v/>
      </c>
    </row>
    <row r="5608">
      <c r="A5608" s="2" t="inlineStr">
        <is>
          <t>EXD61;EXD73</t>
        </is>
      </c>
      <c r="B5608" s="3" t="n">
        <v>46139.25</v>
      </c>
      <c r="C5608" s="3" t="n">
        <v>46139.75</v>
      </c>
      <c r="D5608" s="4">
        <f>(C5608-B5608)*24</f>
        <v/>
      </c>
      <c r="E5608" s="5">
        <f>IF(AND(HOUR(B5608)&gt;=6,HOUR(B5608)&lt;18),"Day Shift","Night Shift")</f>
        <v/>
      </c>
      <c r="F5608" s="6">
        <f>INT(B5608)</f>
        <v/>
      </c>
      <c r="G5608" s="6">
        <f>INT(C5608)</f>
        <v/>
      </c>
    </row>
    <row r="5609">
      <c r="A5609" s="7" t="inlineStr">
        <is>
          <t>EXD61;EXD73</t>
        </is>
      </c>
      <c r="B5609" s="8" t="n">
        <v>46139.75</v>
      </c>
      <c r="C5609" s="8" t="n">
        <v>46140.25</v>
      </c>
      <c r="D5609" s="9">
        <f>(C5609-B5609)*24</f>
        <v/>
      </c>
      <c r="E5609" s="10">
        <f>IF(AND(HOUR(B5609)&gt;=6,HOUR(B5609)&lt;18),"Day Shift","Night Shift")</f>
        <v/>
      </c>
      <c r="F5609" s="11">
        <f>INT(B5609)</f>
        <v/>
      </c>
      <c r="G5609" s="11">
        <f>INT(C5609)</f>
        <v/>
      </c>
    </row>
    <row r="5610">
      <c r="A5610" s="2" t="inlineStr">
        <is>
          <t>EXD61;EXD73</t>
        </is>
      </c>
      <c r="B5610" s="3" t="n">
        <v>46140.25</v>
      </c>
      <c r="C5610" s="3" t="n">
        <v>46140.75</v>
      </c>
      <c r="D5610" s="4">
        <f>(C5610-B5610)*24</f>
        <v/>
      </c>
      <c r="E5610" s="5">
        <f>IF(AND(HOUR(B5610)&gt;=6,HOUR(B5610)&lt;18),"Day Shift","Night Shift")</f>
        <v/>
      </c>
      <c r="F5610" s="6">
        <f>INT(B5610)</f>
        <v/>
      </c>
      <c r="G5610" s="6">
        <f>INT(C5610)</f>
        <v/>
      </c>
    </row>
    <row r="5611">
      <c r="A5611" s="7" t="inlineStr">
        <is>
          <t>EXD61;EXD73</t>
        </is>
      </c>
      <c r="B5611" s="8" t="n">
        <v>46140.75</v>
      </c>
      <c r="C5611" s="8" t="n">
        <v>46141.25</v>
      </c>
      <c r="D5611" s="9">
        <f>(C5611-B5611)*24</f>
        <v/>
      </c>
      <c r="E5611" s="10">
        <f>IF(AND(HOUR(B5611)&gt;=6,HOUR(B5611)&lt;18),"Day Shift","Night Shift")</f>
        <v/>
      </c>
      <c r="F5611" s="11">
        <f>INT(B5611)</f>
        <v/>
      </c>
      <c r="G5611" s="11">
        <f>INT(C5611)</f>
        <v/>
      </c>
    </row>
    <row r="5612">
      <c r="A5612" s="2" t="inlineStr">
        <is>
          <t>EXD61;EXD73</t>
        </is>
      </c>
      <c r="B5612" s="3" t="n">
        <v>46141.25</v>
      </c>
      <c r="C5612" s="3" t="n">
        <v>46141.75</v>
      </c>
      <c r="D5612" s="4">
        <f>(C5612-B5612)*24</f>
        <v/>
      </c>
      <c r="E5612" s="5">
        <f>IF(AND(HOUR(B5612)&gt;=6,HOUR(B5612)&lt;18),"Day Shift","Night Shift")</f>
        <v/>
      </c>
      <c r="F5612" s="6">
        <f>INT(B5612)</f>
        <v/>
      </c>
      <c r="G5612" s="6">
        <f>INT(C5612)</f>
        <v/>
      </c>
    </row>
    <row r="5613">
      <c r="A5613" s="7" t="inlineStr">
        <is>
          <t>EXD61;EXD73</t>
        </is>
      </c>
      <c r="B5613" s="8" t="n">
        <v>46141.75</v>
      </c>
      <c r="C5613" s="8" t="n">
        <v>46142.25</v>
      </c>
      <c r="D5613" s="9">
        <f>(C5613-B5613)*24</f>
        <v/>
      </c>
      <c r="E5613" s="10">
        <f>IF(AND(HOUR(B5613)&gt;=6,HOUR(B5613)&lt;18),"Day Shift","Night Shift")</f>
        <v/>
      </c>
      <c r="F5613" s="11">
        <f>INT(B5613)</f>
        <v/>
      </c>
      <c r="G5613" s="11">
        <f>INT(C5613)</f>
        <v/>
      </c>
    </row>
    <row r="5614">
      <c r="A5614" s="2" t="inlineStr">
        <is>
          <t>EXD61;EXD73</t>
        </is>
      </c>
      <c r="B5614" s="3" t="n">
        <v>46142.25</v>
      </c>
      <c r="C5614" s="3" t="n">
        <v>46142.75</v>
      </c>
      <c r="D5614" s="4">
        <f>(C5614-B5614)*24</f>
        <v/>
      </c>
      <c r="E5614" s="5">
        <f>IF(AND(HOUR(B5614)&gt;=6,HOUR(B5614)&lt;18),"Day Shift","Night Shift")</f>
        <v/>
      </c>
      <c r="F5614" s="6">
        <f>INT(B5614)</f>
        <v/>
      </c>
      <c r="G5614" s="6">
        <f>INT(C5614)</f>
        <v/>
      </c>
    </row>
    <row r="5615">
      <c r="A5615" s="7" t="inlineStr">
        <is>
          <t>EXD61;EXD73</t>
        </is>
      </c>
      <c r="B5615" s="8" t="n">
        <v>46142.75</v>
      </c>
      <c r="C5615" s="8" t="n">
        <v>46143.25</v>
      </c>
      <c r="D5615" s="9">
        <f>(C5615-B5615)*24</f>
        <v/>
      </c>
      <c r="E5615" s="10">
        <f>IF(AND(HOUR(B5615)&gt;=6,HOUR(B5615)&lt;18),"Day Shift","Night Shift")</f>
        <v/>
      </c>
      <c r="F5615" s="11">
        <f>INT(B5615)</f>
        <v/>
      </c>
      <c r="G5615" s="11">
        <f>INT(C5615)</f>
        <v/>
      </c>
    </row>
    <row r="5616">
      <c r="A5616" s="2" t="inlineStr">
        <is>
          <t>EXD61;EXD73</t>
        </is>
      </c>
      <c r="B5616" s="3" t="n">
        <v>46143.25</v>
      </c>
      <c r="C5616" s="3" t="n">
        <v>46143.75</v>
      </c>
      <c r="D5616" s="4">
        <f>(C5616-B5616)*24</f>
        <v/>
      </c>
      <c r="E5616" s="5">
        <f>IF(AND(HOUR(B5616)&gt;=6,HOUR(B5616)&lt;18),"Day Shift","Night Shift")</f>
        <v/>
      </c>
      <c r="F5616" s="6">
        <f>INT(B5616)</f>
        <v/>
      </c>
      <c r="G5616" s="6">
        <f>INT(C5616)</f>
        <v/>
      </c>
    </row>
    <row r="5617">
      <c r="A5617" s="7" t="inlineStr">
        <is>
          <t>EXD61;EXD73</t>
        </is>
      </c>
      <c r="B5617" s="8" t="n">
        <v>46143.75</v>
      </c>
      <c r="C5617" s="8" t="n">
        <v>46144.25</v>
      </c>
      <c r="D5617" s="9">
        <f>(C5617-B5617)*24</f>
        <v/>
      </c>
      <c r="E5617" s="10">
        <f>IF(AND(HOUR(B5617)&gt;=6,HOUR(B5617)&lt;18),"Day Shift","Night Shift")</f>
        <v/>
      </c>
      <c r="F5617" s="11">
        <f>INT(B5617)</f>
        <v/>
      </c>
      <c r="G5617" s="11">
        <f>INT(C5617)</f>
        <v/>
      </c>
    </row>
    <row r="5618">
      <c r="A5618" s="2" t="inlineStr">
        <is>
          <t>EXD61;EXD73</t>
        </is>
      </c>
      <c r="B5618" s="3" t="n">
        <v>46144.25</v>
      </c>
      <c r="C5618" s="3" t="n">
        <v>46144.75</v>
      </c>
      <c r="D5618" s="4">
        <f>(C5618-B5618)*24</f>
        <v/>
      </c>
      <c r="E5618" s="5">
        <f>IF(AND(HOUR(B5618)&gt;=6,HOUR(B5618)&lt;18),"Day Shift","Night Shift")</f>
        <v/>
      </c>
      <c r="F5618" s="6">
        <f>INT(B5618)</f>
        <v/>
      </c>
      <c r="G5618" s="6">
        <f>INT(C5618)</f>
        <v/>
      </c>
    </row>
    <row r="5619">
      <c r="A5619" s="7" t="inlineStr">
        <is>
          <t>EXD61;EXD73</t>
        </is>
      </c>
      <c r="B5619" s="8" t="n">
        <v>46144.75</v>
      </c>
      <c r="C5619" s="8" t="n">
        <v>46145.25</v>
      </c>
      <c r="D5619" s="9">
        <f>(C5619-B5619)*24</f>
        <v/>
      </c>
      <c r="E5619" s="10">
        <f>IF(AND(HOUR(B5619)&gt;=6,HOUR(B5619)&lt;18),"Day Shift","Night Shift")</f>
        <v/>
      </c>
      <c r="F5619" s="11">
        <f>INT(B5619)</f>
        <v/>
      </c>
      <c r="G5619" s="11">
        <f>INT(C5619)</f>
        <v/>
      </c>
    </row>
    <row r="5620">
      <c r="A5620" s="2" t="inlineStr">
        <is>
          <t>EXD61;EXD73</t>
        </is>
      </c>
      <c r="B5620" s="3" t="n">
        <v>46145.25</v>
      </c>
      <c r="C5620" s="3" t="n">
        <v>46145.75</v>
      </c>
      <c r="D5620" s="4">
        <f>(C5620-B5620)*24</f>
        <v/>
      </c>
      <c r="E5620" s="5">
        <f>IF(AND(HOUR(B5620)&gt;=6,HOUR(B5620)&lt;18),"Day Shift","Night Shift")</f>
        <v/>
      </c>
      <c r="F5620" s="6">
        <f>INT(B5620)</f>
        <v/>
      </c>
      <c r="G5620" s="6">
        <f>INT(C5620)</f>
        <v/>
      </c>
    </row>
    <row r="5621">
      <c r="A5621" s="7" t="inlineStr">
        <is>
          <t>EXD61;EXD73</t>
        </is>
      </c>
      <c r="B5621" s="8" t="n">
        <v>46145.75</v>
      </c>
      <c r="C5621" s="8" t="n">
        <v>46146.25</v>
      </c>
      <c r="D5621" s="9">
        <f>(C5621-B5621)*24</f>
        <v/>
      </c>
      <c r="E5621" s="10">
        <f>IF(AND(HOUR(B5621)&gt;=6,HOUR(B5621)&lt;18),"Day Shift","Night Shift")</f>
        <v/>
      </c>
      <c r="F5621" s="11">
        <f>INT(B5621)</f>
        <v/>
      </c>
      <c r="G5621" s="11">
        <f>INT(C5621)</f>
        <v/>
      </c>
    </row>
    <row r="5622">
      <c r="A5622" s="2" t="inlineStr">
        <is>
          <t>EXD61;EXD73</t>
        </is>
      </c>
      <c r="B5622" s="3" t="n">
        <v>46146.25</v>
      </c>
      <c r="C5622" s="3" t="n">
        <v>46146.75</v>
      </c>
      <c r="D5622" s="4">
        <f>(C5622-B5622)*24</f>
        <v/>
      </c>
      <c r="E5622" s="5">
        <f>IF(AND(HOUR(B5622)&gt;=6,HOUR(B5622)&lt;18),"Day Shift","Night Shift")</f>
        <v/>
      </c>
      <c r="F5622" s="6">
        <f>INT(B5622)</f>
        <v/>
      </c>
      <c r="G5622" s="6">
        <f>INT(C5622)</f>
        <v/>
      </c>
    </row>
    <row r="5623">
      <c r="A5623" s="7" t="inlineStr">
        <is>
          <t>EXD61;EXD73</t>
        </is>
      </c>
      <c r="B5623" s="8" t="n">
        <v>46146.75</v>
      </c>
      <c r="C5623" s="8" t="n">
        <v>46147.25</v>
      </c>
      <c r="D5623" s="9">
        <f>(C5623-B5623)*24</f>
        <v/>
      </c>
      <c r="E5623" s="10">
        <f>IF(AND(HOUR(B5623)&gt;=6,HOUR(B5623)&lt;18),"Day Shift","Night Shift")</f>
        <v/>
      </c>
      <c r="F5623" s="11">
        <f>INT(B5623)</f>
        <v/>
      </c>
      <c r="G5623" s="11">
        <f>INT(C5623)</f>
        <v/>
      </c>
    </row>
    <row r="5624">
      <c r="A5624" s="2" t="inlineStr">
        <is>
          <t>EXD61;EXD73</t>
        </is>
      </c>
      <c r="B5624" s="3" t="n">
        <v>46147.25</v>
      </c>
      <c r="C5624" s="3" t="n">
        <v>46147.75</v>
      </c>
      <c r="D5624" s="4">
        <f>(C5624-B5624)*24</f>
        <v/>
      </c>
      <c r="E5624" s="5">
        <f>IF(AND(HOUR(B5624)&gt;=6,HOUR(B5624)&lt;18),"Day Shift","Night Shift")</f>
        <v/>
      </c>
      <c r="F5624" s="6">
        <f>INT(B5624)</f>
        <v/>
      </c>
      <c r="G5624" s="6">
        <f>INT(C5624)</f>
        <v/>
      </c>
    </row>
    <row r="5625">
      <c r="A5625" s="7" t="inlineStr">
        <is>
          <t>EXD61;EXD73</t>
        </is>
      </c>
      <c r="B5625" s="8" t="n">
        <v>46147.75</v>
      </c>
      <c r="C5625" s="8" t="n">
        <v>46148.25</v>
      </c>
      <c r="D5625" s="9">
        <f>(C5625-B5625)*24</f>
        <v/>
      </c>
      <c r="E5625" s="10">
        <f>IF(AND(HOUR(B5625)&gt;=6,HOUR(B5625)&lt;18),"Day Shift","Night Shift")</f>
        <v/>
      </c>
      <c r="F5625" s="11">
        <f>INT(B5625)</f>
        <v/>
      </c>
      <c r="G5625" s="11">
        <f>INT(C5625)</f>
        <v/>
      </c>
    </row>
    <row r="5626">
      <c r="A5626" s="2" t="inlineStr">
        <is>
          <t>EXD61;EXD73</t>
        </is>
      </c>
      <c r="B5626" s="3" t="n">
        <v>46148.25</v>
      </c>
      <c r="C5626" s="3" t="n">
        <v>46148.75</v>
      </c>
      <c r="D5626" s="4">
        <f>(C5626-B5626)*24</f>
        <v/>
      </c>
      <c r="E5626" s="5">
        <f>IF(AND(HOUR(B5626)&gt;=6,HOUR(B5626)&lt;18),"Day Shift","Night Shift")</f>
        <v/>
      </c>
      <c r="F5626" s="6">
        <f>INT(B5626)</f>
        <v/>
      </c>
      <c r="G5626" s="6">
        <f>INT(C5626)</f>
        <v/>
      </c>
    </row>
    <row r="5627">
      <c r="A5627" s="7" t="inlineStr">
        <is>
          <t>EXD61;EXD73</t>
        </is>
      </c>
      <c r="B5627" s="8" t="n">
        <v>46148.75</v>
      </c>
      <c r="C5627" s="8" t="n">
        <v>46149.25</v>
      </c>
      <c r="D5627" s="9">
        <f>(C5627-B5627)*24</f>
        <v/>
      </c>
      <c r="E5627" s="10">
        <f>IF(AND(HOUR(B5627)&gt;=6,HOUR(B5627)&lt;18),"Day Shift","Night Shift")</f>
        <v/>
      </c>
      <c r="F5627" s="11">
        <f>INT(B5627)</f>
        <v/>
      </c>
      <c r="G5627" s="11">
        <f>INT(C5627)</f>
        <v/>
      </c>
    </row>
    <row r="5628">
      <c r="A5628" s="2" t="inlineStr">
        <is>
          <t>EXD61;EXD73</t>
        </is>
      </c>
      <c r="B5628" s="3" t="n">
        <v>46149.25</v>
      </c>
      <c r="C5628" s="3" t="n">
        <v>46149.75</v>
      </c>
      <c r="D5628" s="4">
        <f>(C5628-B5628)*24</f>
        <v/>
      </c>
      <c r="E5628" s="5">
        <f>IF(AND(HOUR(B5628)&gt;=6,HOUR(B5628)&lt;18),"Day Shift","Night Shift")</f>
        <v/>
      </c>
      <c r="F5628" s="6">
        <f>INT(B5628)</f>
        <v/>
      </c>
      <c r="G5628" s="6">
        <f>INT(C5628)</f>
        <v/>
      </c>
    </row>
    <row r="5629">
      <c r="A5629" s="7" t="inlineStr">
        <is>
          <t>EXD61;EXD73</t>
        </is>
      </c>
      <c r="B5629" s="8" t="n">
        <v>46149.75</v>
      </c>
      <c r="C5629" s="8" t="n">
        <v>46150.25</v>
      </c>
      <c r="D5629" s="9">
        <f>(C5629-B5629)*24</f>
        <v/>
      </c>
      <c r="E5629" s="10">
        <f>IF(AND(HOUR(B5629)&gt;=6,HOUR(B5629)&lt;18),"Day Shift","Night Shift")</f>
        <v/>
      </c>
      <c r="F5629" s="11">
        <f>INT(B5629)</f>
        <v/>
      </c>
      <c r="G5629" s="11">
        <f>INT(C5629)</f>
        <v/>
      </c>
    </row>
    <row r="5630">
      <c r="A5630" s="2" t="inlineStr">
        <is>
          <t>EXD61;EXD73</t>
        </is>
      </c>
      <c r="B5630" s="3" t="n">
        <v>46150.25</v>
      </c>
      <c r="C5630" s="3" t="n">
        <v>46150.75</v>
      </c>
      <c r="D5630" s="4">
        <f>(C5630-B5630)*24</f>
        <v/>
      </c>
      <c r="E5630" s="5">
        <f>IF(AND(HOUR(B5630)&gt;=6,HOUR(B5630)&lt;18),"Day Shift","Night Shift")</f>
        <v/>
      </c>
      <c r="F5630" s="6">
        <f>INT(B5630)</f>
        <v/>
      </c>
      <c r="G5630" s="6">
        <f>INT(C5630)</f>
        <v/>
      </c>
    </row>
    <row r="5631">
      <c r="A5631" s="7" t="inlineStr">
        <is>
          <t>EXD61;EXD73</t>
        </is>
      </c>
      <c r="B5631" s="8" t="n">
        <v>46150.75</v>
      </c>
      <c r="C5631" s="8" t="n">
        <v>46151.25</v>
      </c>
      <c r="D5631" s="9">
        <f>(C5631-B5631)*24</f>
        <v/>
      </c>
      <c r="E5631" s="10">
        <f>IF(AND(HOUR(B5631)&gt;=6,HOUR(B5631)&lt;18),"Day Shift","Night Shift")</f>
        <v/>
      </c>
      <c r="F5631" s="11">
        <f>INT(B5631)</f>
        <v/>
      </c>
      <c r="G5631" s="11">
        <f>INT(C5631)</f>
        <v/>
      </c>
    </row>
    <row r="5632">
      <c r="A5632" s="2" t="inlineStr">
        <is>
          <t>EXD61;EXD73</t>
        </is>
      </c>
      <c r="B5632" s="3" t="n">
        <v>46151.25</v>
      </c>
      <c r="C5632" s="3" t="n">
        <v>46151.75</v>
      </c>
      <c r="D5632" s="4">
        <f>(C5632-B5632)*24</f>
        <v/>
      </c>
      <c r="E5632" s="5">
        <f>IF(AND(HOUR(B5632)&gt;=6,HOUR(B5632)&lt;18),"Day Shift","Night Shift")</f>
        <v/>
      </c>
      <c r="F5632" s="6">
        <f>INT(B5632)</f>
        <v/>
      </c>
      <c r="G5632" s="6">
        <f>INT(C5632)</f>
        <v/>
      </c>
    </row>
    <row r="5633">
      <c r="A5633" s="7" t="inlineStr">
        <is>
          <t>EXD61;EXD73</t>
        </is>
      </c>
      <c r="B5633" s="8" t="n">
        <v>46151.75</v>
      </c>
      <c r="C5633" s="8" t="n">
        <v>46152.25</v>
      </c>
      <c r="D5633" s="9">
        <f>(C5633-B5633)*24</f>
        <v/>
      </c>
      <c r="E5633" s="10">
        <f>IF(AND(HOUR(B5633)&gt;=6,HOUR(B5633)&lt;18),"Day Shift","Night Shift")</f>
        <v/>
      </c>
      <c r="F5633" s="11">
        <f>INT(B5633)</f>
        <v/>
      </c>
      <c r="G5633" s="11">
        <f>INT(C5633)</f>
        <v/>
      </c>
    </row>
    <row r="5634">
      <c r="A5634" s="2" t="inlineStr">
        <is>
          <t>EXD61;EXD73</t>
        </is>
      </c>
      <c r="B5634" s="3" t="n">
        <v>46152.25</v>
      </c>
      <c r="C5634" s="3" t="n">
        <v>46152.75</v>
      </c>
      <c r="D5634" s="4">
        <f>(C5634-B5634)*24</f>
        <v/>
      </c>
      <c r="E5634" s="5">
        <f>IF(AND(HOUR(B5634)&gt;=6,HOUR(B5634)&lt;18),"Day Shift","Night Shift")</f>
        <v/>
      </c>
      <c r="F5634" s="6">
        <f>INT(B5634)</f>
        <v/>
      </c>
      <c r="G5634" s="6">
        <f>INT(C5634)</f>
        <v/>
      </c>
    </row>
    <row r="5635">
      <c r="A5635" s="7" t="inlineStr">
        <is>
          <t>EXD61;EXD73</t>
        </is>
      </c>
      <c r="B5635" s="8" t="n">
        <v>46152.75</v>
      </c>
      <c r="C5635" s="8" t="n">
        <v>46153.25</v>
      </c>
      <c r="D5635" s="9">
        <f>(C5635-B5635)*24</f>
        <v/>
      </c>
      <c r="E5635" s="10">
        <f>IF(AND(HOUR(B5635)&gt;=6,HOUR(B5635)&lt;18),"Day Shift","Night Shift")</f>
        <v/>
      </c>
      <c r="F5635" s="11">
        <f>INT(B5635)</f>
        <v/>
      </c>
      <c r="G5635" s="11">
        <f>INT(C5635)</f>
        <v/>
      </c>
    </row>
    <row r="5636">
      <c r="A5636" s="2" t="inlineStr">
        <is>
          <t>EXD61;EXD73</t>
        </is>
      </c>
      <c r="B5636" s="3" t="n">
        <v>46153.25</v>
      </c>
      <c r="C5636" s="3" t="n">
        <v>46153.75</v>
      </c>
      <c r="D5636" s="4">
        <f>(C5636-B5636)*24</f>
        <v/>
      </c>
      <c r="E5636" s="5">
        <f>IF(AND(HOUR(B5636)&gt;=6,HOUR(B5636)&lt;18),"Day Shift","Night Shift")</f>
        <v/>
      </c>
      <c r="F5636" s="6">
        <f>INT(B5636)</f>
        <v/>
      </c>
      <c r="G5636" s="6">
        <f>INT(C5636)</f>
        <v/>
      </c>
    </row>
    <row r="5637">
      <c r="A5637" s="7" t="inlineStr">
        <is>
          <t>EXD61;EXD73</t>
        </is>
      </c>
      <c r="B5637" s="8" t="n">
        <v>46153.75</v>
      </c>
      <c r="C5637" s="8" t="n">
        <v>46154.25</v>
      </c>
      <c r="D5637" s="9">
        <f>(C5637-B5637)*24</f>
        <v/>
      </c>
      <c r="E5637" s="10">
        <f>IF(AND(HOUR(B5637)&gt;=6,HOUR(B5637)&lt;18),"Day Shift","Night Shift")</f>
        <v/>
      </c>
      <c r="F5637" s="11">
        <f>INT(B5637)</f>
        <v/>
      </c>
      <c r="G5637" s="11">
        <f>INT(C5637)</f>
        <v/>
      </c>
    </row>
    <row r="5638">
      <c r="A5638" s="2" t="inlineStr">
        <is>
          <t>EXD61;EXD73</t>
        </is>
      </c>
      <c r="B5638" s="3" t="n">
        <v>46154.25</v>
      </c>
      <c r="C5638" s="3" t="n">
        <v>46154.75</v>
      </c>
      <c r="D5638" s="4">
        <f>(C5638-B5638)*24</f>
        <v/>
      </c>
      <c r="E5638" s="5">
        <f>IF(AND(HOUR(B5638)&gt;=6,HOUR(B5638)&lt;18),"Day Shift","Night Shift")</f>
        <v/>
      </c>
      <c r="F5638" s="6">
        <f>INT(B5638)</f>
        <v/>
      </c>
      <c r="G5638" s="6">
        <f>INT(C5638)</f>
        <v/>
      </c>
    </row>
    <row r="5639">
      <c r="A5639" s="7" t="inlineStr">
        <is>
          <t>EXD61;EXD73</t>
        </is>
      </c>
      <c r="B5639" s="8" t="n">
        <v>46154.75</v>
      </c>
      <c r="C5639" s="8" t="n">
        <v>46155.25</v>
      </c>
      <c r="D5639" s="9">
        <f>(C5639-B5639)*24</f>
        <v/>
      </c>
      <c r="E5639" s="10">
        <f>IF(AND(HOUR(B5639)&gt;=6,HOUR(B5639)&lt;18),"Day Shift","Night Shift")</f>
        <v/>
      </c>
      <c r="F5639" s="11">
        <f>INT(B5639)</f>
        <v/>
      </c>
      <c r="G5639" s="11">
        <f>INT(C5639)</f>
        <v/>
      </c>
    </row>
    <row r="5640">
      <c r="A5640" s="2" t="inlineStr">
        <is>
          <t>EXD61;EXD73</t>
        </is>
      </c>
      <c r="B5640" s="3" t="n">
        <v>46155.25</v>
      </c>
      <c r="C5640" s="3" t="n">
        <v>46155.75</v>
      </c>
      <c r="D5640" s="4">
        <f>(C5640-B5640)*24</f>
        <v/>
      </c>
      <c r="E5640" s="5">
        <f>IF(AND(HOUR(B5640)&gt;=6,HOUR(B5640)&lt;18),"Day Shift","Night Shift")</f>
        <v/>
      </c>
      <c r="F5640" s="6">
        <f>INT(B5640)</f>
        <v/>
      </c>
      <c r="G5640" s="6">
        <f>INT(C5640)</f>
        <v/>
      </c>
    </row>
    <row r="5641">
      <c r="A5641" s="7" t="inlineStr">
        <is>
          <t>EXD61;EXD73</t>
        </is>
      </c>
      <c r="B5641" s="8" t="n">
        <v>46155.75</v>
      </c>
      <c r="C5641" s="8" t="n">
        <v>46156.25</v>
      </c>
      <c r="D5641" s="9">
        <f>(C5641-B5641)*24</f>
        <v/>
      </c>
      <c r="E5641" s="10">
        <f>IF(AND(HOUR(B5641)&gt;=6,HOUR(B5641)&lt;18),"Day Shift","Night Shift")</f>
        <v/>
      </c>
      <c r="F5641" s="11">
        <f>INT(B5641)</f>
        <v/>
      </c>
      <c r="G5641" s="11">
        <f>INT(C5641)</f>
        <v/>
      </c>
    </row>
    <row r="5642">
      <c r="A5642" s="2" t="inlineStr">
        <is>
          <t>EXD61;EXD73</t>
        </is>
      </c>
      <c r="B5642" s="3" t="n">
        <v>46156.25</v>
      </c>
      <c r="C5642" s="3" t="n">
        <v>46156.75</v>
      </c>
      <c r="D5642" s="4">
        <f>(C5642-B5642)*24</f>
        <v/>
      </c>
      <c r="E5642" s="5">
        <f>IF(AND(HOUR(B5642)&gt;=6,HOUR(B5642)&lt;18),"Day Shift","Night Shift")</f>
        <v/>
      </c>
      <c r="F5642" s="6">
        <f>INT(B5642)</f>
        <v/>
      </c>
      <c r="G5642" s="6">
        <f>INT(C5642)</f>
        <v/>
      </c>
    </row>
    <row r="5643">
      <c r="A5643" s="7" t="inlineStr">
        <is>
          <t>EXD61;EXD73</t>
        </is>
      </c>
      <c r="B5643" s="8" t="n">
        <v>46156.75</v>
      </c>
      <c r="C5643" s="8" t="n">
        <v>46157.25</v>
      </c>
      <c r="D5643" s="9">
        <f>(C5643-B5643)*24</f>
        <v/>
      </c>
      <c r="E5643" s="10">
        <f>IF(AND(HOUR(B5643)&gt;=6,HOUR(B5643)&lt;18),"Day Shift","Night Shift")</f>
        <v/>
      </c>
      <c r="F5643" s="11">
        <f>INT(B5643)</f>
        <v/>
      </c>
      <c r="G5643" s="11">
        <f>INT(C5643)</f>
        <v/>
      </c>
    </row>
    <row r="5644">
      <c r="A5644" s="2" t="inlineStr">
        <is>
          <t>EXD61;EXD73</t>
        </is>
      </c>
      <c r="B5644" s="3" t="n">
        <v>46157.25</v>
      </c>
      <c r="C5644" s="3" t="n">
        <v>46157.75</v>
      </c>
      <c r="D5644" s="4">
        <f>(C5644-B5644)*24</f>
        <v/>
      </c>
      <c r="E5644" s="5">
        <f>IF(AND(HOUR(B5644)&gt;=6,HOUR(B5644)&lt;18),"Day Shift","Night Shift")</f>
        <v/>
      </c>
      <c r="F5644" s="6">
        <f>INT(B5644)</f>
        <v/>
      </c>
      <c r="G5644" s="6">
        <f>INT(C5644)</f>
        <v/>
      </c>
    </row>
    <row r="5645">
      <c r="A5645" s="7" t="inlineStr">
        <is>
          <t>EXD61;EXD73</t>
        </is>
      </c>
      <c r="B5645" s="8" t="n">
        <v>46157.75</v>
      </c>
      <c r="C5645" s="8" t="n">
        <v>46158.25</v>
      </c>
      <c r="D5645" s="9">
        <f>(C5645-B5645)*24</f>
        <v/>
      </c>
      <c r="E5645" s="10">
        <f>IF(AND(HOUR(B5645)&gt;=6,HOUR(B5645)&lt;18),"Day Shift","Night Shift")</f>
        <v/>
      </c>
      <c r="F5645" s="11">
        <f>INT(B5645)</f>
        <v/>
      </c>
      <c r="G5645" s="11">
        <f>INT(C5645)</f>
        <v/>
      </c>
    </row>
    <row r="5646">
      <c r="A5646" s="2" t="inlineStr">
        <is>
          <t>EXD61;EXD73</t>
        </is>
      </c>
      <c r="B5646" s="3" t="n">
        <v>46158.25</v>
      </c>
      <c r="C5646" s="3" t="n">
        <v>46158.75</v>
      </c>
      <c r="D5646" s="4">
        <f>(C5646-B5646)*24</f>
        <v/>
      </c>
      <c r="E5646" s="5">
        <f>IF(AND(HOUR(B5646)&gt;=6,HOUR(B5646)&lt;18),"Day Shift","Night Shift")</f>
        <v/>
      </c>
      <c r="F5646" s="6">
        <f>INT(B5646)</f>
        <v/>
      </c>
      <c r="G5646" s="6">
        <f>INT(C5646)</f>
        <v/>
      </c>
    </row>
    <row r="5647">
      <c r="A5647" s="7" t="inlineStr">
        <is>
          <t>EXD61;EXD73</t>
        </is>
      </c>
      <c r="B5647" s="8" t="n">
        <v>46158.75</v>
      </c>
      <c r="C5647" s="8" t="n">
        <v>46159.25</v>
      </c>
      <c r="D5647" s="9">
        <f>(C5647-B5647)*24</f>
        <v/>
      </c>
      <c r="E5647" s="10">
        <f>IF(AND(HOUR(B5647)&gt;=6,HOUR(B5647)&lt;18),"Day Shift","Night Shift")</f>
        <v/>
      </c>
      <c r="F5647" s="11">
        <f>INT(B5647)</f>
        <v/>
      </c>
      <c r="G5647" s="11">
        <f>INT(C5647)</f>
        <v/>
      </c>
    </row>
    <row r="5648">
      <c r="A5648" s="2" t="inlineStr">
        <is>
          <t>EXD61;EXD73</t>
        </is>
      </c>
      <c r="B5648" s="3" t="n">
        <v>46159.25</v>
      </c>
      <c r="C5648" s="3" t="n">
        <v>46159.75</v>
      </c>
      <c r="D5648" s="4">
        <f>(C5648-B5648)*24</f>
        <v/>
      </c>
      <c r="E5648" s="5">
        <f>IF(AND(HOUR(B5648)&gt;=6,HOUR(B5648)&lt;18),"Day Shift","Night Shift")</f>
        <v/>
      </c>
      <c r="F5648" s="6">
        <f>INT(B5648)</f>
        <v/>
      </c>
      <c r="G5648" s="6">
        <f>INT(C5648)</f>
        <v/>
      </c>
    </row>
    <row r="5649">
      <c r="A5649" s="7" t="inlineStr">
        <is>
          <t>EXD61;EXD73</t>
        </is>
      </c>
      <c r="B5649" s="8" t="n">
        <v>46159.75</v>
      </c>
      <c r="C5649" s="8" t="n">
        <v>46160.25</v>
      </c>
      <c r="D5649" s="9">
        <f>(C5649-B5649)*24</f>
        <v/>
      </c>
      <c r="E5649" s="10">
        <f>IF(AND(HOUR(B5649)&gt;=6,HOUR(B5649)&lt;18),"Day Shift","Night Shift")</f>
        <v/>
      </c>
      <c r="F5649" s="11">
        <f>INT(B5649)</f>
        <v/>
      </c>
      <c r="G5649" s="11">
        <f>INT(C5649)</f>
        <v/>
      </c>
    </row>
    <row r="5650">
      <c r="A5650" s="2" t="inlineStr">
        <is>
          <t>EXD61;EXD73</t>
        </is>
      </c>
      <c r="B5650" s="3" t="n">
        <v>46160.25</v>
      </c>
      <c r="C5650" s="3" t="n">
        <v>46160.75</v>
      </c>
      <c r="D5650" s="4">
        <f>(C5650-B5650)*24</f>
        <v/>
      </c>
      <c r="E5650" s="5">
        <f>IF(AND(HOUR(B5650)&gt;=6,HOUR(B5650)&lt;18),"Day Shift","Night Shift")</f>
        <v/>
      </c>
      <c r="F5650" s="6">
        <f>INT(B5650)</f>
        <v/>
      </c>
      <c r="G5650" s="6">
        <f>INT(C5650)</f>
        <v/>
      </c>
    </row>
    <row r="5651">
      <c r="A5651" s="7" t="inlineStr">
        <is>
          <t>EXD61;EXD73</t>
        </is>
      </c>
      <c r="B5651" s="8" t="n">
        <v>46160.75</v>
      </c>
      <c r="C5651" s="8" t="n">
        <v>46161.25</v>
      </c>
      <c r="D5651" s="9">
        <f>(C5651-B5651)*24</f>
        <v/>
      </c>
      <c r="E5651" s="10">
        <f>IF(AND(HOUR(B5651)&gt;=6,HOUR(B5651)&lt;18),"Day Shift","Night Shift")</f>
        <v/>
      </c>
      <c r="F5651" s="11">
        <f>INT(B5651)</f>
        <v/>
      </c>
      <c r="G5651" s="11">
        <f>INT(C5651)</f>
        <v/>
      </c>
    </row>
    <row r="5652">
      <c r="A5652" s="2" t="inlineStr">
        <is>
          <t>EXD61;EXD73</t>
        </is>
      </c>
      <c r="B5652" s="3" t="n">
        <v>46161.25</v>
      </c>
      <c r="C5652" s="3" t="n">
        <v>46161.75</v>
      </c>
      <c r="D5652" s="4">
        <f>(C5652-B5652)*24</f>
        <v/>
      </c>
      <c r="E5652" s="5">
        <f>IF(AND(HOUR(B5652)&gt;=6,HOUR(B5652)&lt;18),"Day Shift","Night Shift")</f>
        <v/>
      </c>
      <c r="F5652" s="6">
        <f>INT(B5652)</f>
        <v/>
      </c>
      <c r="G5652" s="6">
        <f>INT(C5652)</f>
        <v/>
      </c>
    </row>
    <row r="5653">
      <c r="A5653" s="7" t="inlineStr">
        <is>
          <t>EXD61;EXD73</t>
        </is>
      </c>
      <c r="B5653" s="8" t="n">
        <v>46161.75</v>
      </c>
      <c r="C5653" s="8" t="n">
        <v>46162.25</v>
      </c>
      <c r="D5653" s="9">
        <f>(C5653-B5653)*24</f>
        <v/>
      </c>
      <c r="E5653" s="10">
        <f>IF(AND(HOUR(B5653)&gt;=6,HOUR(B5653)&lt;18),"Day Shift","Night Shift")</f>
        <v/>
      </c>
      <c r="F5653" s="11">
        <f>INT(B5653)</f>
        <v/>
      </c>
      <c r="G5653" s="11">
        <f>INT(C5653)</f>
        <v/>
      </c>
    </row>
    <row r="5654">
      <c r="A5654" s="2" t="inlineStr">
        <is>
          <t>EXD61;EXD73</t>
        </is>
      </c>
      <c r="B5654" s="3" t="n">
        <v>46162.25</v>
      </c>
      <c r="C5654" s="3" t="n">
        <v>46162.75</v>
      </c>
      <c r="D5654" s="4">
        <f>(C5654-B5654)*24</f>
        <v/>
      </c>
      <c r="E5654" s="5">
        <f>IF(AND(HOUR(B5654)&gt;=6,HOUR(B5654)&lt;18),"Day Shift","Night Shift")</f>
        <v/>
      </c>
      <c r="F5654" s="6">
        <f>INT(B5654)</f>
        <v/>
      </c>
      <c r="G5654" s="6">
        <f>INT(C5654)</f>
        <v/>
      </c>
    </row>
    <row r="5655">
      <c r="A5655" s="7" t="inlineStr">
        <is>
          <t>EXD61;EXD73</t>
        </is>
      </c>
      <c r="B5655" s="8" t="n">
        <v>46162.75</v>
      </c>
      <c r="C5655" s="8" t="n">
        <v>46163.25</v>
      </c>
      <c r="D5655" s="9">
        <f>(C5655-B5655)*24</f>
        <v/>
      </c>
      <c r="E5655" s="10">
        <f>IF(AND(HOUR(B5655)&gt;=6,HOUR(B5655)&lt;18),"Day Shift","Night Shift")</f>
        <v/>
      </c>
      <c r="F5655" s="11">
        <f>INT(B5655)</f>
        <v/>
      </c>
      <c r="G5655" s="11">
        <f>INT(C5655)</f>
        <v/>
      </c>
    </row>
    <row r="5656">
      <c r="A5656" s="2" t="inlineStr">
        <is>
          <t>EXD61;EXD73</t>
        </is>
      </c>
      <c r="B5656" s="3" t="n">
        <v>46163.25</v>
      </c>
      <c r="C5656" s="3" t="n">
        <v>46163.75</v>
      </c>
      <c r="D5656" s="4">
        <f>(C5656-B5656)*24</f>
        <v/>
      </c>
      <c r="E5656" s="5">
        <f>IF(AND(HOUR(B5656)&gt;=6,HOUR(B5656)&lt;18),"Day Shift","Night Shift")</f>
        <v/>
      </c>
      <c r="F5656" s="6">
        <f>INT(B5656)</f>
        <v/>
      </c>
      <c r="G5656" s="6">
        <f>INT(C5656)</f>
        <v/>
      </c>
    </row>
    <row r="5657">
      <c r="A5657" s="7" t="inlineStr">
        <is>
          <t>EXD61;EXD73</t>
        </is>
      </c>
      <c r="B5657" s="8" t="n">
        <v>46163.75</v>
      </c>
      <c r="C5657" s="8" t="n">
        <v>46164.25</v>
      </c>
      <c r="D5657" s="9">
        <f>(C5657-B5657)*24</f>
        <v/>
      </c>
      <c r="E5657" s="10">
        <f>IF(AND(HOUR(B5657)&gt;=6,HOUR(B5657)&lt;18),"Day Shift","Night Shift")</f>
        <v/>
      </c>
      <c r="F5657" s="11">
        <f>INT(B5657)</f>
        <v/>
      </c>
      <c r="G5657" s="11">
        <f>INT(C5657)</f>
        <v/>
      </c>
    </row>
    <row r="5658">
      <c r="A5658" s="2" t="inlineStr">
        <is>
          <t>EXD61;EXD73</t>
        </is>
      </c>
      <c r="B5658" s="3" t="n">
        <v>46164.25</v>
      </c>
      <c r="C5658" s="3" t="n">
        <v>46164.75</v>
      </c>
      <c r="D5658" s="4">
        <f>(C5658-B5658)*24</f>
        <v/>
      </c>
      <c r="E5658" s="5">
        <f>IF(AND(HOUR(B5658)&gt;=6,HOUR(B5658)&lt;18),"Day Shift","Night Shift")</f>
        <v/>
      </c>
      <c r="F5658" s="6">
        <f>INT(B5658)</f>
        <v/>
      </c>
      <c r="G5658" s="6">
        <f>INT(C5658)</f>
        <v/>
      </c>
    </row>
    <row r="5659">
      <c r="A5659" s="7" t="inlineStr">
        <is>
          <t>EXD61;EXD73</t>
        </is>
      </c>
      <c r="B5659" s="8" t="n">
        <v>46164.75</v>
      </c>
      <c r="C5659" s="8" t="n">
        <v>46165.25</v>
      </c>
      <c r="D5659" s="9">
        <f>(C5659-B5659)*24</f>
        <v/>
      </c>
      <c r="E5659" s="10">
        <f>IF(AND(HOUR(B5659)&gt;=6,HOUR(B5659)&lt;18),"Day Shift","Night Shift")</f>
        <v/>
      </c>
      <c r="F5659" s="11">
        <f>INT(B5659)</f>
        <v/>
      </c>
      <c r="G5659" s="11">
        <f>INT(C5659)</f>
        <v/>
      </c>
    </row>
    <row r="5660">
      <c r="A5660" s="2" t="inlineStr">
        <is>
          <t>EXD61;EXD73</t>
        </is>
      </c>
      <c r="B5660" s="3" t="n">
        <v>46165.25</v>
      </c>
      <c r="C5660" s="3" t="n">
        <v>46165.75</v>
      </c>
      <c r="D5660" s="4">
        <f>(C5660-B5660)*24</f>
        <v/>
      </c>
      <c r="E5660" s="5">
        <f>IF(AND(HOUR(B5660)&gt;=6,HOUR(B5660)&lt;18),"Day Shift","Night Shift")</f>
        <v/>
      </c>
      <c r="F5660" s="6">
        <f>INT(B5660)</f>
        <v/>
      </c>
      <c r="G5660" s="6">
        <f>INT(C5660)</f>
        <v/>
      </c>
    </row>
    <row r="5661">
      <c r="A5661" s="7" t="inlineStr">
        <is>
          <t>EXD61;EXD73</t>
        </is>
      </c>
      <c r="B5661" s="8" t="n">
        <v>46165.75</v>
      </c>
      <c r="C5661" s="8" t="n">
        <v>46166.25</v>
      </c>
      <c r="D5661" s="9">
        <f>(C5661-B5661)*24</f>
        <v/>
      </c>
      <c r="E5661" s="10">
        <f>IF(AND(HOUR(B5661)&gt;=6,HOUR(B5661)&lt;18),"Day Shift","Night Shift")</f>
        <v/>
      </c>
      <c r="F5661" s="11">
        <f>INT(B5661)</f>
        <v/>
      </c>
      <c r="G5661" s="11">
        <f>INT(C5661)</f>
        <v/>
      </c>
    </row>
    <row r="5662">
      <c r="A5662" s="2" t="inlineStr">
        <is>
          <t>EXD61;EXD73</t>
        </is>
      </c>
      <c r="B5662" s="3" t="n">
        <v>46166.25</v>
      </c>
      <c r="C5662" s="3" t="n">
        <v>46166.75</v>
      </c>
      <c r="D5662" s="4">
        <f>(C5662-B5662)*24</f>
        <v/>
      </c>
      <c r="E5662" s="5">
        <f>IF(AND(HOUR(B5662)&gt;=6,HOUR(B5662)&lt;18),"Day Shift","Night Shift")</f>
        <v/>
      </c>
      <c r="F5662" s="6">
        <f>INT(B5662)</f>
        <v/>
      </c>
      <c r="G5662" s="6">
        <f>INT(C5662)</f>
        <v/>
      </c>
    </row>
    <row r="5663">
      <c r="A5663" s="7" t="inlineStr">
        <is>
          <t>EXD61;EXD73</t>
        </is>
      </c>
      <c r="B5663" s="8" t="n">
        <v>46166.75</v>
      </c>
      <c r="C5663" s="8" t="n">
        <v>46167.25</v>
      </c>
      <c r="D5663" s="9">
        <f>(C5663-B5663)*24</f>
        <v/>
      </c>
      <c r="E5663" s="10">
        <f>IF(AND(HOUR(B5663)&gt;=6,HOUR(B5663)&lt;18),"Day Shift","Night Shift")</f>
        <v/>
      </c>
      <c r="F5663" s="11">
        <f>INT(B5663)</f>
        <v/>
      </c>
      <c r="G5663" s="11">
        <f>INT(C5663)</f>
        <v/>
      </c>
    </row>
    <row r="5664">
      <c r="A5664" s="2" t="inlineStr">
        <is>
          <t>EXD61;EXD73</t>
        </is>
      </c>
      <c r="B5664" s="3" t="n">
        <v>46167.25</v>
      </c>
      <c r="C5664" s="3" t="n">
        <v>46167.75</v>
      </c>
      <c r="D5664" s="4">
        <f>(C5664-B5664)*24</f>
        <v/>
      </c>
      <c r="E5664" s="5">
        <f>IF(AND(HOUR(B5664)&gt;=6,HOUR(B5664)&lt;18),"Day Shift","Night Shift")</f>
        <v/>
      </c>
      <c r="F5664" s="6">
        <f>INT(B5664)</f>
        <v/>
      </c>
      <c r="G5664" s="6">
        <f>INT(C5664)</f>
        <v/>
      </c>
    </row>
    <row r="5665">
      <c r="A5665" s="7" t="inlineStr">
        <is>
          <t>EXD61;EXD73</t>
        </is>
      </c>
      <c r="B5665" s="8" t="n">
        <v>46167.75</v>
      </c>
      <c r="C5665" s="8" t="n">
        <v>46168.25</v>
      </c>
      <c r="D5665" s="9">
        <f>(C5665-B5665)*24</f>
        <v/>
      </c>
      <c r="E5665" s="10">
        <f>IF(AND(HOUR(B5665)&gt;=6,HOUR(B5665)&lt;18),"Day Shift","Night Shift")</f>
        <v/>
      </c>
      <c r="F5665" s="11">
        <f>INT(B5665)</f>
        <v/>
      </c>
      <c r="G5665" s="11">
        <f>INT(C5665)</f>
        <v/>
      </c>
    </row>
    <row r="5666">
      <c r="A5666" s="2" t="inlineStr">
        <is>
          <t>EXD61;EXD73</t>
        </is>
      </c>
      <c r="B5666" s="3" t="n">
        <v>46168.25</v>
      </c>
      <c r="C5666" s="3" t="n">
        <v>46168.75</v>
      </c>
      <c r="D5666" s="4">
        <f>(C5666-B5666)*24</f>
        <v/>
      </c>
      <c r="E5666" s="5">
        <f>IF(AND(HOUR(B5666)&gt;=6,HOUR(B5666)&lt;18),"Day Shift","Night Shift")</f>
        <v/>
      </c>
      <c r="F5666" s="6">
        <f>INT(B5666)</f>
        <v/>
      </c>
      <c r="G5666" s="6">
        <f>INT(C5666)</f>
        <v/>
      </c>
    </row>
    <row r="5667">
      <c r="A5667" s="7" t="inlineStr">
        <is>
          <t>EXD61;EXD73</t>
        </is>
      </c>
      <c r="B5667" s="8" t="n">
        <v>46168.75</v>
      </c>
      <c r="C5667" s="8" t="n">
        <v>46169.25</v>
      </c>
      <c r="D5667" s="9">
        <f>(C5667-B5667)*24</f>
        <v/>
      </c>
      <c r="E5667" s="10">
        <f>IF(AND(HOUR(B5667)&gt;=6,HOUR(B5667)&lt;18),"Day Shift","Night Shift")</f>
        <v/>
      </c>
      <c r="F5667" s="11">
        <f>INT(B5667)</f>
        <v/>
      </c>
      <c r="G5667" s="11">
        <f>INT(C5667)</f>
        <v/>
      </c>
    </row>
    <row r="5668">
      <c r="A5668" s="2" t="inlineStr">
        <is>
          <t>EXD61;EXD73</t>
        </is>
      </c>
      <c r="B5668" s="3" t="n">
        <v>46169.25</v>
      </c>
      <c r="C5668" s="3" t="n">
        <v>46169.75</v>
      </c>
      <c r="D5668" s="4">
        <f>(C5668-B5668)*24</f>
        <v/>
      </c>
      <c r="E5668" s="5">
        <f>IF(AND(HOUR(B5668)&gt;=6,HOUR(B5668)&lt;18),"Day Shift","Night Shift")</f>
        <v/>
      </c>
      <c r="F5668" s="6">
        <f>INT(B5668)</f>
        <v/>
      </c>
      <c r="G5668" s="6">
        <f>INT(C5668)</f>
        <v/>
      </c>
    </row>
    <row r="5669">
      <c r="A5669" s="7" t="inlineStr">
        <is>
          <t>EXD61;EXD73</t>
        </is>
      </c>
      <c r="B5669" s="8" t="n">
        <v>46169.75</v>
      </c>
      <c r="C5669" s="8" t="n">
        <v>46170.25</v>
      </c>
      <c r="D5669" s="9">
        <f>(C5669-B5669)*24</f>
        <v/>
      </c>
      <c r="E5669" s="10">
        <f>IF(AND(HOUR(B5669)&gt;=6,HOUR(B5669)&lt;18),"Day Shift","Night Shift")</f>
        <v/>
      </c>
      <c r="F5669" s="11">
        <f>INT(B5669)</f>
        <v/>
      </c>
      <c r="G5669" s="11">
        <f>INT(C5669)</f>
        <v/>
      </c>
    </row>
    <row r="5670">
      <c r="A5670" s="2" t="inlineStr">
        <is>
          <t>EXD61;EXD73</t>
        </is>
      </c>
      <c r="B5670" s="3" t="n">
        <v>46170.25</v>
      </c>
      <c r="C5670" s="3" t="n">
        <v>46170.75</v>
      </c>
      <c r="D5670" s="4">
        <f>(C5670-B5670)*24</f>
        <v/>
      </c>
      <c r="E5670" s="5">
        <f>IF(AND(HOUR(B5670)&gt;=6,HOUR(B5670)&lt;18),"Day Shift","Night Shift")</f>
        <v/>
      </c>
      <c r="F5670" s="6">
        <f>INT(B5670)</f>
        <v/>
      </c>
      <c r="G5670" s="6">
        <f>INT(C5670)</f>
        <v/>
      </c>
    </row>
    <row r="5671">
      <c r="A5671" s="7" t="inlineStr">
        <is>
          <t>EXD61;EXD73</t>
        </is>
      </c>
      <c r="B5671" s="8" t="n">
        <v>46170.75</v>
      </c>
      <c r="C5671" s="8" t="n">
        <v>46171.25</v>
      </c>
      <c r="D5671" s="9">
        <f>(C5671-B5671)*24</f>
        <v/>
      </c>
      <c r="E5671" s="10">
        <f>IF(AND(HOUR(B5671)&gt;=6,HOUR(B5671)&lt;18),"Day Shift","Night Shift")</f>
        <v/>
      </c>
      <c r="F5671" s="11">
        <f>INT(B5671)</f>
        <v/>
      </c>
      <c r="G5671" s="11">
        <f>INT(C5671)</f>
        <v/>
      </c>
    </row>
    <row r="5672">
      <c r="A5672" s="2" t="inlineStr">
        <is>
          <t>EXD61;EXD73</t>
        </is>
      </c>
      <c r="B5672" s="3" t="n">
        <v>46171.25</v>
      </c>
      <c r="C5672" s="3" t="n">
        <v>46171.75</v>
      </c>
      <c r="D5672" s="4">
        <f>(C5672-B5672)*24</f>
        <v/>
      </c>
      <c r="E5672" s="5">
        <f>IF(AND(HOUR(B5672)&gt;=6,HOUR(B5672)&lt;18),"Day Shift","Night Shift")</f>
        <v/>
      </c>
      <c r="F5672" s="6">
        <f>INT(B5672)</f>
        <v/>
      </c>
      <c r="G5672" s="6">
        <f>INT(C5672)</f>
        <v/>
      </c>
    </row>
    <row r="5673">
      <c r="A5673" s="7" t="inlineStr">
        <is>
          <t>EXD61;EXD73</t>
        </is>
      </c>
      <c r="B5673" s="8" t="n">
        <v>46171.75</v>
      </c>
      <c r="C5673" s="8" t="n">
        <v>46172.25</v>
      </c>
      <c r="D5673" s="9">
        <f>(C5673-B5673)*24</f>
        <v/>
      </c>
      <c r="E5673" s="10">
        <f>IF(AND(HOUR(B5673)&gt;=6,HOUR(B5673)&lt;18),"Day Shift","Night Shift")</f>
        <v/>
      </c>
      <c r="F5673" s="11">
        <f>INT(B5673)</f>
        <v/>
      </c>
      <c r="G5673" s="11">
        <f>INT(C5673)</f>
        <v/>
      </c>
    </row>
    <row r="5674">
      <c r="A5674" s="2" t="inlineStr">
        <is>
          <t>EXD61;EXD73</t>
        </is>
      </c>
      <c r="B5674" s="3" t="n">
        <v>46172.25</v>
      </c>
      <c r="C5674" s="3" t="n">
        <v>46172.75</v>
      </c>
      <c r="D5674" s="4">
        <f>(C5674-B5674)*24</f>
        <v/>
      </c>
      <c r="E5674" s="5">
        <f>IF(AND(HOUR(B5674)&gt;=6,HOUR(B5674)&lt;18),"Day Shift","Night Shift")</f>
        <v/>
      </c>
      <c r="F5674" s="6">
        <f>INT(B5674)</f>
        <v/>
      </c>
      <c r="G5674" s="6">
        <f>INT(C5674)</f>
        <v/>
      </c>
    </row>
    <row r="5675">
      <c r="A5675" s="7" t="inlineStr">
        <is>
          <t>EXD61;EXD73</t>
        </is>
      </c>
      <c r="B5675" s="8" t="n">
        <v>46172.75</v>
      </c>
      <c r="C5675" s="8" t="n">
        <v>46173.25</v>
      </c>
      <c r="D5675" s="9">
        <f>(C5675-B5675)*24</f>
        <v/>
      </c>
      <c r="E5675" s="10">
        <f>IF(AND(HOUR(B5675)&gt;=6,HOUR(B5675)&lt;18),"Day Shift","Night Shift")</f>
        <v/>
      </c>
      <c r="F5675" s="11">
        <f>INT(B5675)</f>
        <v/>
      </c>
      <c r="G5675" s="11">
        <f>INT(C5675)</f>
        <v/>
      </c>
    </row>
    <row r="5676">
      <c r="A5676" s="2" t="inlineStr">
        <is>
          <t>EXD61;EXD73</t>
        </is>
      </c>
      <c r="B5676" s="3" t="n">
        <v>46173.25</v>
      </c>
      <c r="C5676" s="3" t="n">
        <v>46173.75</v>
      </c>
      <c r="D5676" s="4">
        <f>(C5676-B5676)*24</f>
        <v/>
      </c>
      <c r="E5676" s="5">
        <f>IF(AND(HOUR(B5676)&gt;=6,HOUR(B5676)&lt;18),"Day Shift","Night Shift")</f>
        <v/>
      </c>
      <c r="F5676" s="6">
        <f>INT(B5676)</f>
        <v/>
      </c>
      <c r="G5676" s="6">
        <f>INT(C5676)</f>
        <v/>
      </c>
    </row>
    <row r="5677">
      <c r="A5677" s="7" t="inlineStr">
        <is>
          <t>EXD61;EXD73</t>
        </is>
      </c>
      <c r="B5677" s="8" t="n">
        <v>46173.75</v>
      </c>
      <c r="C5677" s="8" t="n">
        <v>46174.25</v>
      </c>
      <c r="D5677" s="9">
        <f>(C5677-B5677)*24</f>
        <v/>
      </c>
      <c r="E5677" s="10">
        <f>IF(AND(HOUR(B5677)&gt;=6,HOUR(B5677)&lt;18),"Day Shift","Night Shift")</f>
        <v/>
      </c>
      <c r="F5677" s="11">
        <f>INT(B5677)</f>
        <v/>
      </c>
      <c r="G5677" s="11">
        <f>INT(C5677)</f>
        <v/>
      </c>
    </row>
    <row r="5678">
      <c r="A5678" s="2" t="inlineStr">
        <is>
          <t>EXD61;EXD73</t>
        </is>
      </c>
      <c r="B5678" s="3" t="n">
        <v>46174.25</v>
      </c>
      <c r="C5678" s="3" t="n">
        <v>46174.75</v>
      </c>
      <c r="D5678" s="4">
        <f>(C5678-B5678)*24</f>
        <v/>
      </c>
      <c r="E5678" s="5">
        <f>IF(AND(HOUR(B5678)&gt;=6,HOUR(B5678)&lt;18),"Day Shift","Night Shift")</f>
        <v/>
      </c>
      <c r="F5678" s="6">
        <f>INT(B5678)</f>
        <v/>
      </c>
      <c r="G5678" s="6">
        <f>INT(C5678)</f>
        <v/>
      </c>
    </row>
    <row r="5679">
      <c r="A5679" s="7" t="inlineStr">
        <is>
          <t>EXD61;EXD73</t>
        </is>
      </c>
      <c r="B5679" s="8" t="n">
        <v>46174.75</v>
      </c>
      <c r="C5679" s="8" t="n">
        <v>46175.25</v>
      </c>
      <c r="D5679" s="9">
        <f>(C5679-B5679)*24</f>
        <v/>
      </c>
      <c r="E5679" s="10">
        <f>IF(AND(HOUR(B5679)&gt;=6,HOUR(B5679)&lt;18),"Day Shift","Night Shift")</f>
        <v/>
      </c>
      <c r="F5679" s="11">
        <f>INT(B5679)</f>
        <v/>
      </c>
      <c r="G5679" s="11">
        <f>INT(C5679)</f>
        <v/>
      </c>
    </row>
    <row r="5680">
      <c r="A5680" s="2" t="inlineStr">
        <is>
          <t>EXD61;EXD73</t>
        </is>
      </c>
      <c r="B5680" s="3" t="n">
        <v>46175.25</v>
      </c>
      <c r="C5680" s="3" t="n">
        <v>46175.75</v>
      </c>
      <c r="D5680" s="4">
        <f>(C5680-B5680)*24</f>
        <v/>
      </c>
      <c r="E5680" s="5">
        <f>IF(AND(HOUR(B5680)&gt;=6,HOUR(B5680)&lt;18),"Day Shift","Night Shift")</f>
        <v/>
      </c>
      <c r="F5680" s="6">
        <f>INT(B5680)</f>
        <v/>
      </c>
      <c r="G5680" s="6">
        <f>INT(C5680)</f>
        <v/>
      </c>
    </row>
    <row r="5681">
      <c r="A5681" s="7" t="inlineStr">
        <is>
          <t>EXD61;EXD73</t>
        </is>
      </c>
      <c r="B5681" s="8" t="n">
        <v>46175.75</v>
      </c>
      <c r="C5681" s="8" t="n">
        <v>46176.25</v>
      </c>
      <c r="D5681" s="9">
        <f>(C5681-B5681)*24</f>
        <v/>
      </c>
      <c r="E5681" s="10">
        <f>IF(AND(HOUR(B5681)&gt;=6,HOUR(B5681)&lt;18),"Day Shift","Night Shift")</f>
        <v/>
      </c>
      <c r="F5681" s="11">
        <f>INT(B5681)</f>
        <v/>
      </c>
      <c r="G5681" s="11">
        <f>INT(C5681)</f>
        <v/>
      </c>
    </row>
    <row r="5682">
      <c r="A5682" s="2" t="inlineStr">
        <is>
          <t>EXD61;EXD73</t>
        </is>
      </c>
      <c r="B5682" s="3" t="n">
        <v>46176.25</v>
      </c>
      <c r="C5682" s="3" t="n">
        <v>46176.75</v>
      </c>
      <c r="D5682" s="4">
        <f>(C5682-B5682)*24</f>
        <v/>
      </c>
      <c r="E5682" s="5">
        <f>IF(AND(HOUR(B5682)&gt;=6,HOUR(B5682)&lt;18),"Day Shift","Night Shift")</f>
        <v/>
      </c>
      <c r="F5682" s="6">
        <f>INT(B5682)</f>
        <v/>
      </c>
      <c r="G5682" s="6">
        <f>INT(C5682)</f>
        <v/>
      </c>
    </row>
    <row r="5683">
      <c r="A5683" s="7" t="inlineStr">
        <is>
          <t>EXD61;EXD73</t>
        </is>
      </c>
      <c r="B5683" s="8" t="n">
        <v>46176.75</v>
      </c>
      <c r="C5683" s="8" t="n">
        <v>46176.79690972222</v>
      </c>
      <c r="D5683" s="9">
        <f>(C5683-B5683)*24</f>
        <v/>
      </c>
      <c r="E5683" s="10">
        <f>IF(AND(HOUR(B5683)&gt;=6,HOUR(B5683)&lt;18),"Day Shift","Night Shift")</f>
        <v/>
      </c>
      <c r="F5683" s="11">
        <f>INT(B5683)</f>
        <v/>
      </c>
      <c r="G5683" s="11">
        <f>INT(C5683)</f>
        <v/>
      </c>
    </row>
    <row r="5684">
      <c r="A5684" s="7" t="inlineStr">
        <is>
          <t>EXD52;LDW262</t>
        </is>
      </c>
      <c r="B5684" s="8" t="n">
        <v>46113.90743055556</v>
      </c>
      <c r="C5684" s="8" t="n">
        <v>46114.25</v>
      </c>
      <c r="D5684" s="9">
        <f>(C5684-B5684)*24</f>
        <v/>
      </c>
      <c r="E5684" s="10">
        <f>IF(AND(HOUR(B5684)&gt;=6,HOUR(B5684)&lt;18),"Day Shift","Night Shift")</f>
        <v/>
      </c>
      <c r="F5684" s="11">
        <f>INT(B5684)</f>
        <v/>
      </c>
      <c r="G5684" s="11">
        <f>INT(C5684)</f>
        <v/>
      </c>
    </row>
    <row r="5685">
      <c r="A5685" s="2" t="inlineStr">
        <is>
          <t>EXD52;LDW262</t>
        </is>
      </c>
      <c r="B5685" s="3" t="n">
        <v>46114.25</v>
      </c>
      <c r="C5685" s="3" t="n">
        <v>46114.25726851852</v>
      </c>
      <c r="D5685" s="4">
        <f>(C5685-B5685)*24</f>
        <v/>
      </c>
      <c r="E5685" s="5">
        <f>IF(AND(HOUR(B5685)&gt;=6,HOUR(B5685)&lt;18),"Day Shift","Night Shift")</f>
        <v/>
      </c>
      <c r="F5685" s="6">
        <f>INT(B5685)</f>
        <v/>
      </c>
      <c r="G5685" s="6">
        <f>INT(C5685)</f>
        <v/>
      </c>
    </row>
    <row r="5686">
      <c r="A5686" s="7" t="inlineStr">
        <is>
          <t>EXD407</t>
        </is>
      </c>
      <c r="B5686" s="8" t="n">
        <v>46113.96009259259</v>
      </c>
      <c r="C5686" s="8" t="n">
        <v>46114.25</v>
      </c>
      <c r="D5686" s="9">
        <f>(C5686-B5686)*24</f>
        <v/>
      </c>
      <c r="E5686" s="10">
        <f>IF(AND(HOUR(B5686)&gt;=6,HOUR(B5686)&lt;18),"Day Shift","Night Shift")</f>
        <v/>
      </c>
      <c r="F5686" s="11">
        <f>INT(B5686)</f>
        <v/>
      </c>
      <c r="G5686" s="11">
        <f>INT(C5686)</f>
        <v/>
      </c>
    </row>
    <row r="5687">
      <c r="A5687" s="2" t="inlineStr">
        <is>
          <t>EXD407</t>
        </is>
      </c>
      <c r="B5687" s="3" t="n">
        <v>46114.25</v>
      </c>
      <c r="C5687" s="3" t="n">
        <v>46114.75</v>
      </c>
      <c r="D5687" s="4">
        <f>(C5687-B5687)*24</f>
        <v/>
      </c>
      <c r="E5687" s="5">
        <f>IF(AND(HOUR(B5687)&gt;=6,HOUR(B5687)&lt;18),"Day Shift","Night Shift")</f>
        <v/>
      </c>
      <c r="F5687" s="6">
        <f>INT(B5687)</f>
        <v/>
      </c>
      <c r="G5687" s="6">
        <f>INT(C5687)</f>
        <v/>
      </c>
    </row>
    <row r="5688">
      <c r="A5688" s="7" t="inlineStr">
        <is>
          <t>EXD407</t>
        </is>
      </c>
      <c r="B5688" s="8" t="n">
        <v>46114.75</v>
      </c>
      <c r="C5688" s="8" t="n">
        <v>46115.25</v>
      </c>
      <c r="D5688" s="9">
        <f>(C5688-B5688)*24</f>
        <v/>
      </c>
      <c r="E5688" s="10">
        <f>IF(AND(HOUR(B5688)&gt;=6,HOUR(B5688)&lt;18),"Day Shift","Night Shift")</f>
        <v/>
      </c>
      <c r="F5688" s="11">
        <f>INT(B5688)</f>
        <v/>
      </c>
      <c r="G5688" s="11">
        <f>INT(C5688)</f>
        <v/>
      </c>
    </row>
    <row r="5689">
      <c r="A5689" s="2" t="inlineStr">
        <is>
          <t>EXD407</t>
        </is>
      </c>
      <c r="B5689" s="3" t="n">
        <v>46115.25</v>
      </c>
      <c r="C5689" s="3" t="n">
        <v>46115.44914351852</v>
      </c>
      <c r="D5689" s="4">
        <f>(C5689-B5689)*24</f>
        <v/>
      </c>
      <c r="E5689" s="5">
        <f>IF(AND(HOUR(B5689)&gt;=6,HOUR(B5689)&lt;18),"Day Shift","Night Shift")</f>
        <v/>
      </c>
      <c r="F5689" s="6">
        <f>INT(B5689)</f>
        <v/>
      </c>
      <c r="G5689" s="6">
        <f>INT(C5689)</f>
        <v/>
      </c>
    </row>
    <row r="5690">
      <c r="A5690" s="7" t="inlineStr">
        <is>
          <t>SHE36</t>
        </is>
      </c>
      <c r="B5690" s="8" t="n">
        <v>46114.00819444445</v>
      </c>
      <c r="C5690" s="8" t="n">
        <v>46114.25</v>
      </c>
      <c r="D5690" s="9">
        <f>(C5690-B5690)*24</f>
        <v/>
      </c>
      <c r="E5690" s="10">
        <f>IF(AND(HOUR(B5690)&gt;=6,HOUR(B5690)&lt;18),"Day Shift","Night Shift")</f>
        <v/>
      </c>
      <c r="F5690" s="11">
        <f>INT(B5690)</f>
        <v/>
      </c>
      <c r="G5690" s="11">
        <f>INT(C5690)</f>
        <v/>
      </c>
    </row>
    <row r="5691">
      <c r="A5691" s="2" t="inlineStr">
        <is>
          <t>SHE36</t>
        </is>
      </c>
      <c r="B5691" s="3" t="n">
        <v>46114.25</v>
      </c>
      <c r="C5691" s="3" t="n">
        <v>46114.67396990741</v>
      </c>
      <c r="D5691" s="4">
        <f>(C5691-B5691)*24</f>
        <v/>
      </c>
      <c r="E5691" s="5">
        <f>IF(AND(HOUR(B5691)&gt;=6,HOUR(B5691)&lt;18),"Day Shift","Night Shift")</f>
        <v/>
      </c>
      <c r="F5691" s="6">
        <f>INT(B5691)</f>
        <v/>
      </c>
      <c r="G5691" s="6">
        <f>INT(C5691)</f>
        <v/>
      </c>
    </row>
    <row r="5692">
      <c r="A5692" s="7" t="inlineStr">
        <is>
          <t>EXD408</t>
        </is>
      </c>
      <c r="B5692" s="8" t="n">
        <v>46114.15765046296</v>
      </c>
      <c r="C5692" s="8" t="n">
        <v>46114.25</v>
      </c>
      <c r="D5692" s="9">
        <f>(C5692-B5692)*24</f>
        <v/>
      </c>
      <c r="E5692" s="10">
        <f>IF(AND(HOUR(B5692)&gt;=6,HOUR(B5692)&lt;18),"Day Shift","Night Shift")</f>
        <v/>
      </c>
      <c r="F5692" s="11">
        <f>INT(B5692)</f>
        <v/>
      </c>
      <c r="G5692" s="11">
        <f>INT(C5692)</f>
        <v/>
      </c>
    </row>
    <row r="5693">
      <c r="A5693" s="2" t="inlineStr">
        <is>
          <t>EXD408</t>
        </is>
      </c>
      <c r="B5693" s="3" t="n">
        <v>46114.25</v>
      </c>
      <c r="C5693" s="3" t="n">
        <v>46114.40959490741</v>
      </c>
      <c r="D5693" s="4">
        <f>(C5693-B5693)*24</f>
        <v/>
      </c>
      <c r="E5693" s="5">
        <f>IF(AND(HOUR(B5693)&gt;=6,HOUR(B5693)&lt;18),"Day Shift","Night Shift")</f>
        <v/>
      </c>
      <c r="F5693" s="6">
        <f>INT(B5693)</f>
        <v/>
      </c>
      <c r="G5693" s="6">
        <f>INT(C5693)</f>
        <v/>
      </c>
    </row>
    <row r="5694">
      <c r="A5694" s="2" t="inlineStr">
        <is>
          <t>EXD52;LDW262</t>
        </is>
      </c>
      <c r="B5694" s="3" t="n">
        <v>46114.25726851852</v>
      </c>
      <c r="C5694" s="3" t="n">
        <v>46114.75</v>
      </c>
      <c r="D5694" s="4">
        <f>(C5694-B5694)*24</f>
        <v/>
      </c>
      <c r="E5694" s="5">
        <f>IF(AND(HOUR(B5694)&gt;=6,HOUR(B5694)&lt;18),"Day Shift","Night Shift")</f>
        <v/>
      </c>
      <c r="F5694" s="6">
        <f>INT(B5694)</f>
        <v/>
      </c>
      <c r="G5694" s="6">
        <f>INT(C5694)</f>
        <v/>
      </c>
    </row>
    <row r="5695">
      <c r="A5695" s="7" t="inlineStr">
        <is>
          <t>EXD52;LDW262</t>
        </is>
      </c>
      <c r="B5695" s="8" t="n">
        <v>46114.75</v>
      </c>
      <c r="C5695" s="8" t="n">
        <v>46115.25</v>
      </c>
      <c r="D5695" s="9">
        <f>(C5695-B5695)*24</f>
        <v/>
      </c>
      <c r="E5695" s="10">
        <f>IF(AND(HOUR(B5695)&gt;=6,HOUR(B5695)&lt;18),"Day Shift","Night Shift")</f>
        <v/>
      </c>
      <c r="F5695" s="11">
        <f>INT(B5695)</f>
        <v/>
      </c>
      <c r="G5695" s="11">
        <f>INT(C5695)</f>
        <v/>
      </c>
    </row>
    <row r="5696">
      <c r="A5696" s="2" t="inlineStr">
        <is>
          <t>EXD52;LDW262</t>
        </is>
      </c>
      <c r="B5696" s="3" t="n">
        <v>46115.25</v>
      </c>
      <c r="C5696" s="3" t="n">
        <v>46115.36983796296</v>
      </c>
      <c r="D5696" s="4">
        <f>(C5696-B5696)*24</f>
        <v/>
      </c>
      <c r="E5696" s="5">
        <f>IF(AND(HOUR(B5696)&gt;=6,HOUR(B5696)&lt;18),"Day Shift","Night Shift")</f>
        <v/>
      </c>
      <c r="F5696" s="6">
        <f>INT(B5696)</f>
        <v/>
      </c>
      <c r="G5696" s="6">
        <f>INT(C5696)</f>
        <v/>
      </c>
    </row>
    <row r="5697">
      <c r="A5697" s="2" t="inlineStr">
        <is>
          <t>EXD100</t>
        </is>
      </c>
      <c r="B5697" s="3" t="n">
        <v>46114.36498842593</v>
      </c>
      <c r="C5697" s="3" t="n">
        <v>46114.75</v>
      </c>
      <c r="D5697" s="4">
        <f>(C5697-B5697)*24</f>
        <v/>
      </c>
      <c r="E5697" s="5">
        <f>IF(AND(HOUR(B5697)&gt;=6,HOUR(B5697)&lt;18),"Day Shift","Night Shift")</f>
        <v/>
      </c>
      <c r="F5697" s="6">
        <f>INT(B5697)</f>
        <v/>
      </c>
      <c r="G5697" s="6">
        <f>INT(C5697)</f>
        <v/>
      </c>
    </row>
    <row r="5698">
      <c r="A5698" s="7" t="inlineStr">
        <is>
          <t>EXD100</t>
        </is>
      </c>
      <c r="B5698" s="8" t="n">
        <v>46114.75</v>
      </c>
      <c r="C5698" s="8" t="n">
        <v>46114.87083333333</v>
      </c>
      <c r="D5698" s="9">
        <f>(C5698-B5698)*24</f>
        <v/>
      </c>
      <c r="E5698" s="10">
        <f>IF(AND(HOUR(B5698)&gt;=6,HOUR(B5698)&lt;18),"Day Shift","Night Shift")</f>
        <v/>
      </c>
      <c r="F5698" s="11">
        <f>INT(B5698)</f>
        <v/>
      </c>
      <c r="G5698" s="11">
        <f>INT(C5698)</f>
        <v/>
      </c>
    </row>
    <row r="5699">
      <c r="A5699" s="2" t="inlineStr">
        <is>
          <t>DRE08</t>
        </is>
      </c>
      <c r="B5699" s="3" t="n">
        <v>46114.38931712963</v>
      </c>
      <c r="C5699" s="3" t="n">
        <v>46114.75</v>
      </c>
      <c r="D5699" s="4">
        <f>(C5699-B5699)*24</f>
        <v/>
      </c>
      <c r="E5699" s="5">
        <f>IF(AND(HOUR(B5699)&gt;=6,HOUR(B5699)&lt;18),"Day Shift","Night Shift")</f>
        <v/>
      </c>
      <c r="F5699" s="6">
        <f>INT(B5699)</f>
        <v/>
      </c>
      <c r="G5699" s="6">
        <f>INT(C5699)</f>
        <v/>
      </c>
    </row>
    <row r="5700">
      <c r="A5700" s="7" t="inlineStr">
        <is>
          <t>DRE08</t>
        </is>
      </c>
      <c r="B5700" s="8" t="n">
        <v>46114.75</v>
      </c>
      <c r="C5700" s="8" t="n">
        <v>46115.25</v>
      </c>
      <c r="D5700" s="9">
        <f>(C5700-B5700)*24</f>
        <v/>
      </c>
      <c r="E5700" s="10">
        <f>IF(AND(HOUR(B5700)&gt;=6,HOUR(B5700)&lt;18),"Day Shift","Night Shift")</f>
        <v/>
      </c>
      <c r="F5700" s="11">
        <f>INT(B5700)</f>
        <v/>
      </c>
      <c r="G5700" s="11">
        <f>INT(C5700)</f>
        <v/>
      </c>
    </row>
    <row r="5701">
      <c r="A5701" s="2" t="inlineStr">
        <is>
          <t>DRE08</t>
        </is>
      </c>
      <c r="B5701" s="3" t="n">
        <v>46115.25</v>
      </c>
      <c r="C5701" s="3" t="n">
        <v>46115.75</v>
      </c>
      <c r="D5701" s="4">
        <f>(C5701-B5701)*24</f>
        <v/>
      </c>
      <c r="E5701" s="5">
        <f>IF(AND(HOUR(B5701)&gt;=6,HOUR(B5701)&lt;18),"Day Shift","Night Shift")</f>
        <v/>
      </c>
      <c r="F5701" s="6">
        <f>INT(B5701)</f>
        <v/>
      </c>
      <c r="G5701" s="6">
        <f>INT(C5701)</f>
        <v/>
      </c>
    </row>
    <row r="5702">
      <c r="A5702" s="7" t="inlineStr">
        <is>
          <t>DRE08</t>
        </is>
      </c>
      <c r="B5702" s="8" t="n">
        <v>46115.75</v>
      </c>
      <c r="C5702" s="8" t="n">
        <v>46116.25</v>
      </c>
      <c r="D5702" s="9">
        <f>(C5702-B5702)*24</f>
        <v/>
      </c>
      <c r="E5702" s="10">
        <f>IF(AND(HOUR(B5702)&gt;=6,HOUR(B5702)&lt;18),"Day Shift","Night Shift")</f>
        <v/>
      </c>
      <c r="F5702" s="11">
        <f>INT(B5702)</f>
        <v/>
      </c>
      <c r="G5702" s="11">
        <f>INT(C5702)</f>
        <v/>
      </c>
    </row>
    <row r="5703">
      <c r="A5703" s="2" t="inlineStr">
        <is>
          <t>DRE08</t>
        </is>
      </c>
      <c r="B5703" s="3" t="n">
        <v>46116.25</v>
      </c>
      <c r="C5703" s="3" t="n">
        <v>46116.75</v>
      </c>
      <c r="D5703" s="4">
        <f>(C5703-B5703)*24</f>
        <v/>
      </c>
      <c r="E5703" s="5">
        <f>IF(AND(HOUR(B5703)&gt;=6,HOUR(B5703)&lt;18),"Day Shift","Night Shift")</f>
        <v/>
      </c>
      <c r="F5703" s="6">
        <f>INT(B5703)</f>
        <v/>
      </c>
      <c r="G5703" s="6">
        <f>INT(C5703)</f>
        <v/>
      </c>
    </row>
    <row r="5704">
      <c r="A5704" s="7" t="inlineStr">
        <is>
          <t>DRE08</t>
        </is>
      </c>
      <c r="B5704" s="8" t="n">
        <v>46116.75</v>
      </c>
      <c r="C5704" s="8" t="n">
        <v>46117.25</v>
      </c>
      <c r="D5704" s="9">
        <f>(C5704-B5704)*24</f>
        <v/>
      </c>
      <c r="E5704" s="10">
        <f>IF(AND(HOUR(B5704)&gt;=6,HOUR(B5704)&lt;18),"Day Shift","Night Shift")</f>
        <v/>
      </c>
      <c r="F5704" s="11">
        <f>INT(B5704)</f>
        <v/>
      </c>
      <c r="G5704" s="11">
        <f>INT(C5704)</f>
        <v/>
      </c>
    </row>
    <row r="5705">
      <c r="A5705" s="2" t="inlineStr">
        <is>
          <t>DRE08</t>
        </is>
      </c>
      <c r="B5705" s="3" t="n">
        <v>46117.25</v>
      </c>
      <c r="C5705" s="3" t="n">
        <v>46117.75</v>
      </c>
      <c r="D5705" s="4">
        <f>(C5705-B5705)*24</f>
        <v/>
      </c>
      <c r="E5705" s="5">
        <f>IF(AND(HOUR(B5705)&gt;=6,HOUR(B5705)&lt;18),"Day Shift","Night Shift")</f>
        <v/>
      </c>
      <c r="F5705" s="6">
        <f>INT(B5705)</f>
        <v/>
      </c>
      <c r="G5705" s="6">
        <f>INT(C5705)</f>
        <v/>
      </c>
    </row>
    <row r="5706">
      <c r="A5706" s="7" t="inlineStr">
        <is>
          <t>DRE08</t>
        </is>
      </c>
      <c r="B5706" s="8" t="n">
        <v>46117.75</v>
      </c>
      <c r="C5706" s="8" t="n">
        <v>46118.25</v>
      </c>
      <c r="D5706" s="9">
        <f>(C5706-B5706)*24</f>
        <v/>
      </c>
      <c r="E5706" s="10">
        <f>IF(AND(HOUR(B5706)&gt;=6,HOUR(B5706)&lt;18),"Day Shift","Night Shift")</f>
        <v/>
      </c>
      <c r="F5706" s="11">
        <f>INT(B5706)</f>
        <v/>
      </c>
      <c r="G5706" s="11">
        <f>INT(C5706)</f>
        <v/>
      </c>
    </row>
    <row r="5707">
      <c r="A5707" s="2" t="inlineStr">
        <is>
          <t>DRE08</t>
        </is>
      </c>
      <c r="B5707" s="3" t="n">
        <v>46118.25</v>
      </c>
      <c r="C5707" s="3" t="n">
        <v>46118.30444444445</v>
      </c>
      <c r="D5707" s="4">
        <f>(C5707-B5707)*24</f>
        <v/>
      </c>
      <c r="E5707" s="5">
        <f>IF(AND(HOUR(B5707)&gt;=6,HOUR(B5707)&lt;18),"Day Shift","Night Shift")</f>
        <v/>
      </c>
      <c r="F5707" s="6">
        <f>INT(B5707)</f>
        <v/>
      </c>
      <c r="G5707" s="6">
        <f>INT(C5707)</f>
        <v/>
      </c>
    </row>
    <row r="5708">
      <c r="A5708" s="2" t="inlineStr">
        <is>
          <t>EXD408</t>
        </is>
      </c>
      <c r="B5708" s="3" t="n">
        <v>46114.40959490741</v>
      </c>
      <c r="C5708" s="3" t="n">
        <v>46114.58469907408</v>
      </c>
      <c r="D5708" s="4">
        <f>(C5708-B5708)*24</f>
        <v/>
      </c>
      <c r="E5708" s="5">
        <f>IF(AND(HOUR(B5708)&gt;=6,HOUR(B5708)&lt;18),"Day Shift","Night Shift")</f>
        <v/>
      </c>
      <c r="F5708" s="6">
        <f>INT(B5708)</f>
        <v/>
      </c>
      <c r="G5708" s="6">
        <f>INT(C5708)</f>
        <v/>
      </c>
    </row>
    <row r="5709">
      <c r="A5709" s="2" t="inlineStr">
        <is>
          <t>EXD101</t>
        </is>
      </c>
      <c r="B5709" s="3" t="n">
        <v>46114.41892361111</v>
      </c>
      <c r="C5709" s="3" t="n">
        <v>46114.75</v>
      </c>
      <c r="D5709" s="4">
        <f>(C5709-B5709)*24</f>
        <v/>
      </c>
      <c r="E5709" s="5">
        <f>IF(AND(HOUR(B5709)&gt;=6,HOUR(B5709)&lt;18),"Day Shift","Night Shift")</f>
        <v/>
      </c>
      <c r="F5709" s="6">
        <f>INT(B5709)</f>
        <v/>
      </c>
      <c r="G5709" s="6">
        <f>INT(C5709)</f>
        <v/>
      </c>
    </row>
    <row r="5710">
      <c r="A5710" s="7" t="inlineStr">
        <is>
          <t>EXD101</t>
        </is>
      </c>
      <c r="B5710" s="8" t="n">
        <v>46114.75</v>
      </c>
      <c r="C5710" s="8" t="n">
        <v>46114.97457175926</v>
      </c>
      <c r="D5710" s="9">
        <f>(C5710-B5710)*24</f>
        <v/>
      </c>
      <c r="E5710" s="10">
        <f>IF(AND(HOUR(B5710)&gt;=6,HOUR(B5710)&lt;18),"Day Shift","Night Shift")</f>
        <v/>
      </c>
      <c r="F5710" s="11">
        <f>INT(B5710)</f>
        <v/>
      </c>
      <c r="G5710" s="11">
        <f>INT(C5710)</f>
        <v/>
      </c>
    </row>
    <row r="5711">
      <c r="A5711" s="2" t="inlineStr">
        <is>
          <t>EDD175;EDD1932;EDD2134;EDD812;EDD2541</t>
        </is>
      </c>
      <c r="B5711" s="3" t="n">
        <v>46114.42928240741</v>
      </c>
      <c r="C5711" s="3" t="n">
        <v>46114.75</v>
      </c>
      <c r="D5711" s="4">
        <f>(C5711-B5711)*24</f>
        <v/>
      </c>
      <c r="E5711" s="5">
        <f>IF(AND(HOUR(B5711)&gt;=6,HOUR(B5711)&lt;18),"Day Shift","Night Shift")</f>
        <v/>
      </c>
      <c r="F5711" s="6">
        <f>INT(B5711)</f>
        <v/>
      </c>
      <c r="G5711" s="6">
        <f>INT(C5711)</f>
        <v/>
      </c>
    </row>
    <row r="5712">
      <c r="A5712" s="7" t="inlineStr">
        <is>
          <t>EDD175;EDD1932;EDD2134;EDD812;EDD2541</t>
        </is>
      </c>
      <c r="B5712" s="8" t="n">
        <v>46114.75</v>
      </c>
      <c r="C5712" s="8" t="n">
        <v>46115.25</v>
      </c>
      <c r="D5712" s="9">
        <f>(C5712-B5712)*24</f>
        <v/>
      </c>
      <c r="E5712" s="10">
        <f>IF(AND(HOUR(B5712)&gt;=6,HOUR(B5712)&lt;18),"Day Shift","Night Shift")</f>
        <v/>
      </c>
      <c r="F5712" s="11">
        <f>INT(B5712)</f>
        <v/>
      </c>
      <c r="G5712" s="11">
        <f>INT(C5712)</f>
        <v/>
      </c>
    </row>
    <row r="5713">
      <c r="A5713" s="2" t="inlineStr">
        <is>
          <t>EDD175;EDD1932;EDD2134;EDD812;EDD2541</t>
        </is>
      </c>
      <c r="B5713" s="3" t="n">
        <v>46115.25</v>
      </c>
      <c r="C5713" s="3" t="n">
        <v>46115.75</v>
      </c>
      <c r="D5713" s="4">
        <f>(C5713-B5713)*24</f>
        <v/>
      </c>
      <c r="E5713" s="5">
        <f>IF(AND(HOUR(B5713)&gt;=6,HOUR(B5713)&lt;18),"Day Shift","Night Shift")</f>
        <v/>
      </c>
      <c r="F5713" s="6">
        <f>INT(B5713)</f>
        <v/>
      </c>
      <c r="G5713" s="6">
        <f>INT(C5713)</f>
        <v/>
      </c>
    </row>
    <row r="5714">
      <c r="A5714" s="7" t="inlineStr">
        <is>
          <t>EDD175;EDD1932;EDD2134;EDD812;EDD2541</t>
        </is>
      </c>
      <c r="B5714" s="8" t="n">
        <v>46115.75</v>
      </c>
      <c r="C5714" s="8" t="n">
        <v>46115.80532407408</v>
      </c>
      <c r="D5714" s="9">
        <f>(C5714-B5714)*24</f>
        <v/>
      </c>
      <c r="E5714" s="10">
        <f>IF(AND(HOUR(B5714)&gt;=6,HOUR(B5714)&lt;18),"Day Shift","Night Shift")</f>
        <v/>
      </c>
      <c r="F5714" s="11">
        <f>INT(B5714)</f>
        <v/>
      </c>
      <c r="G5714" s="11">
        <f>INT(C5714)</f>
        <v/>
      </c>
    </row>
    <row r="5715">
      <c r="A5715" s="2" t="inlineStr">
        <is>
          <t>EXD98</t>
        </is>
      </c>
      <c r="B5715" s="3" t="n">
        <v>46114.55288194444</v>
      </c>
      <c r="C5715" s="3" t="n">
        <v>46114.75</v>
      </c>
      <c r="D5715" s="4">
        <f>(C5715-B5715)*24</f>
        <v/>
      </c>
      <c r="E5715" s="5">
        <f>IF(AND(HOUR(B5715)&gt;=6,HOUR(B5715)&lt;18),"Day Shift","Night Shift")</f>
        <v/>
      </c>
      <c r="F5715" s="6">
        <f>INT(B5715)</f>
        <v/>
      </c>
      <c r="G5715" s="6">
        <f>INT(C5715)</f>
        <v/>
      </c>
    </row>
    <row r="5716">
      <c r="A5716" s="7" t="inlineStr">
        <is>
          <t>EXD98</t>
        </is>
      </c>
      <c r="B5716" s="8" t="n">
        <v>46114.75</v>
      </c>
      <c r="C5716" s="8" t="n">
        <v>46115.25</v>
      </c>
      <c r="D5716" s="9">
        <f>(C5716-B5716)*24</f>
        <v/>
      </c>
      <c r="E5716" s="10">
        <f>IF(AND(HOUR(B5716)&gt;=6,HOUR(B5716)&lt;18),"Day Shift","Night Shift")</f>
        <v/>
      </c>
      <c r="F5716" s="11">
        <f>INT(B5716)</f>
        <v/>
      </c>
      <c r="G5716" s="11">
        <f>INT(C5716)</f>
        <v/>
      </c>
    </row>
    <row r="5717">
      <c r="A5717" s="2" t="inlineStr">
        <is>
          <t>EXD98</t>
        </is>
      </c>
      <c r="B5717" s="3" t="n">
        <v>46115.25</v>
      </c>
      <c r="C5717" s="3" t="n">
        <v>46115.45054398148</v>
      </c>
      <c r="D5717" s="4">
        <f>(C5717-B5717)*24</f>
        <v/>
      </c>
      <c r="E5717" s="5">
        <f>IF(AND(HOUR(B5717)&gt;=6,HOUR(B5717)&lt;18),"Day Shift","Night Shift")</f>
        <v/>
      </c>
      <c r="F5717" s="6">
        <f>INT(B5717)</f>
        <v/>
      </c>
      <c r="G5717" s="6">
        <f>INT(C5717)</f>
        <v/>
      </c>
    </row>
    <row r="5718">
      <c r="A5718" s="2" t="inlineStr">
        <is>
          <t>EXD408</t>
        </is>
      </c>
      <c r="B5718" s="3" t="n">
        <v>46114.58469907408</v>
      </c>
      <c r="C5718" s="3" t="n">
        <v>46114.75</v>
      </c>
      <c r="D5718" s="4">
        <f>(C5718-B5718)*24</f>
        <v/>
      </c>
      <c r="E5718" s="5">
        <f>IF(AND(HOUR(B5718)&gt;=6,HOUR(B5718)&lt;18),"Day Shift","Night Shift")</f>
        <v/>
      </c>
      <c r="F5718" s="6">
        <f>INT(B5718)</f>
        <v/>
      </c>
      <c r="G5718" s="6">
        <f>INT(C5718)</f>
        <v/>
      </c>
    </row>
    <row r="5719">
      <c r="A5719" s="7" t="inlineStr">
        <is>
          <t>EXD408</t>
        </is>
      </c>
      <c r="B5719" s="8" t="n">
        <v>46114.75</v>
      </c>
      <c r="C5719" s="8" t="n">
        <v>46114.934375</v>
      </c>
      <c r="D5719" s="9">
        <f>(C5719-B5719)*24</f>
        <v/>
      </c>
      <c r="E5719" s="10">
        <f>IF(AND(HOUR(B5719)&gt;=6,HOUR(B5719)&lt;18),"Day Shift","Night Shift")</f>
        <v/>
      </c>
      <c r="F5719" s="11">
        <f>INT(B5719)</f>
        <v/>
      </c>
      <c r="G5719" s="11">
        <f>INT(C5719)</f>
        <v/>
      </c>
    </row>
    <row r="5720">
      <c r="A5720" s="2" t="inlineStr">
        <is>
          <t>EXD73</t>
        </is>
      </c>
      <c r="B5720" s="3" t="n">
        <v>46114.5979050926</v>
      </c>
      <c r="C5720" s="3" t="n">
        <v>46114.75</v>
      </c>
      <c r="D5720" s="4">
        <f>(C5720-B5720)*24</f>
        <v/>
      </c>
      <c r="E5720" s="5">
        <f>IF(AND(HOUR(B5720)&gt;=6,HOUR(B5720)&lt;18),"Day Shift","Night Shift")</f>
        <v/>
      </c>
      <c r="F5720" s="6">
        <f>INT(B5720)</f>
        <v/>
      </c>
      <c r="G5720" s="6">
        <f>INT(C5720)</f>
        <v/>
      </c>
    </row>
    <row r="5721">
      <c r="A5721" s="7" t="inlineStr">
        <is>
          <t>EXD73</t>
        </is>
      </c>
      <c r="B5721" s="8" t="n">
        <v>46114.75</v>
      </c>
      <c r="C5721" s="8" t="n">
        <v>46115.25</v>
      </c>
      <c r="D5721" s="9">
        <f>(C5721-B5721)*24</f>
        <v/>
      </c>
      <c r="E5721" s="10">
        <f>IF(AND(HOUR(B5721)&gt;=6,HOUR(B5721)&lt;18),"Day Shift","Night Shift")</f>
        <v/>
      </c>
      <c r="F5721" s="11">
        <f>INT(B5721)</f>
        <v/>
      </c>
      <c r="G5721" s="11">
        <f>INT(C5721)</f>
        <v/>
      </c>
    </row>
    <row r="5722">
      <c r="A5722" s="2" t="inlineStr">
        <is>
          <t>EXD73</t>
        </is>
      </c>
      <c r="B5722" s="3" t="n">
        <v>46115.25</v>
      </c>
      <c r="C5722" s="3" t="n">
        <v>46115.25049768519</v>
      </c>
      <c r="D5722" s="4">
        <f>(C5722-B5722)*24</f>
        <v/>
      </c>
      <c r="E5722" s="5">
        <f>IF(AND(HOUR(B5722)&gt;=6,HOUR(B5722)&lt;18),"Day Shift","Night Shift")</f>
        <v/>
      </c>
      <c r="F5722" s="6">
        <f>INT(B5722)</f>
        <v/>
      </c>
      <c r="G5722" s="6">
        <f>INT(C5722)</f>
        <v/>
      </c>
    </row>
    <row r="5723">
      <c r="A5723" s="2" t="inlineStr">
        <is>
          <t>Sprint 1</t>
        </is>
      </c>
      <c r="B5723" s="3" t="n">
        <v>46114.5980787037</v>
      </c>
      <c r="C5723" s="3" t="n">
        <v>46114.75</v>
      </c>
      <c r="D5723" s="4">
        <f>(C5723-B5723)*24</f>
        <v/>
      </c>
      <c r="E5723" s="5">
        <f>IF(AND(HOUR(B5723)&gt;=6,HOUR(B5723)&lt;18),"Day Shift","Night Shift")</f>
        <v/>
      </c>
      <c r="F5723" s="6">
        <f>INT(B5723)</f>
        <v/>
      </c>
      <c r="G5723" s="6">
        <f>INT(C5723)</f>
        <v/>
      </c>
    </row>
    <row r="5724">
      <c r="A5724" s="7" t="inlineStr">
        <is>
          <t>Sprint 1</t>
        </is>
      </c>
      <c r="B5724" s="8" t="n">
        <v>46114.75</v>
      </c>
      <c r="C5724" s="8" t="n">
        <v>46115.25</v>
      </c>
      <c r="D5724" s="9">
        <f>(C5724-B5724)*24</f>
        <v/>
      </c>
      <c r="E5724" s="10">
        <f>IF(AND(HOUR(B5724)&gt;=6,HOUR(B5724)&lt;18),"Day Shift","Night Shift")</f>
        <v/>
      </c>
      <c r="F5724" s="11">
        <f>INT(B5724)</f>
        <v/>
      </c>
      <c r="G5724" s="11">
        <f>INT(C5724)</f>
        <v/>
      </c>
    </row>
    <row r="5725">
      <c r="A5725" s="2" t="inlineStr">
        <is>
          <t>Sprint 1</t>
        </is>
      </c>
      <c r="B5725" s="3" t="n">
        <v>46115.25</v>
      </c>
      <c r="C5725" s="3" t="n">
        <v>46115.38851851852</v>
      </c>
      <c r="D5725" s="4">
        <f>(C5725-B5725)*24</f>
        <v/>
      </c>
      <c r="E5725" s="5">
        <f>IF(AND(HOUR(B5725)&gt;=6,HOUR(B5725)&lt;18),"Day Shift","Night Shift")</f>
        <v/>
      </c>
      <c r="F5725" s="6">
        <f>INT(B5725)</f>
        <v/>
      </c>
      <c r="G5725" s="6">
        <f>INT(C5725)</f>
        <v/>
      </c>
    </row>
    <row r="5726">
      <c r="A5726" s="2" t="inlineStr">
        <is>
          <t>EXD56</t>
        </is>
      </c>
      <c r="B5726" s="3" t="n">
        <v>46114.6328125</v>
      </c>
      <c r="C5726" s="3" t="n">
        <v>46114.75</v>
      </c>
      <c r="D5726" s="4">
        <f>(C5726-B5726)*24</f>
        <v/>
      </c>
      <c r="E5726" s="5">
        <f>IF(AND(HOUR(B5726)&gt;=6,HOUR(B5726)&lt;18),"Day Shift","Night Shift")</f>
        <v/>
      </c>
      <c r="F5726" s="6">
        <f>INT(B5726)</f>
        <v/>
      </c>
      <c r="G5726" s="6">
        <f>INT(C5726)</f>
        <v/>
      </c>
    </row>
    <row r="5727">
      <c r="A5727" s="7" t="inlineStr">
        <is>
          <t>EXD56</t>
        </is>
      </c>
      <c r="B5727" s="8" t="n">
        <v>46114.75</v>
      </c>
      <c r="C5727" s="8" t="n">
        <v>46115.25</v>
      </c>
      <c r="D5727" s="9">
        <f>(C5727-B5727)*24</f>
        <v/>
      </c>
      <c r="E5727" s="10">
        <f>IF(AND(HOUR(B5727)&gt;=6,HOUR(B5727)&lt;18),"Day Shift","Night Shift")</f>
        <v/>
      </c>
      <c r="F5727" s="11">
        <f>INT(B5727)</f>
        <v/>
      </c>
      <c r="G5727" s="11">
        <f>INT(C5727)</f>
        <v/>
      </c>
    </row>
    <row r="5728">
      <c r="A5728" s="2" t="inlineStr">
        <is>
          <t>EXD56</t>
        </is>
      </c>
      <c r="B5728" s="3" t="n">
        <v>46115.25</v>
      </c>
      <c r="C5728" s="3" t="n">
        <v>46115.75</v>
      </c>
      <c r="D5728" s="4">
        <f>(C5728-B5728)*24</f>
        <v/>
      </c>
      <c r="E5728" s="5">
        <f>IF(AND(HOUR(B5728)&gt;=6,HOUR(B5728)&lt;18),"Day Shift","Night Shift")</f>
        <v/>
      </c>
      <c r="F5728" s="6">
        <f>INT(B5728)</f>
        <v/>
      </c>
      <c r="G5728" s="6">
        <f>INT(C5728)</f>
        <v/>
      </c>
    </row>
    <row r="5729">
      <c r="A5729" s="7" t="inlineStr">
        <is>
          <t>EXD56</t>
        </is>
      </c>
      <c r="B5729" s="8" t="n">
        <v>46115.75</v>
      </c>
      <c r="C5729" s="8" t="n">
        <v>46116.17650462963</v>
      </c>
      <c r="D5729" s="9">
        <f>(C5729-B5729)*24</f>
        <v/>
      </c>
      <c r="E5729" s="10">
        <f>IF(AND(HOUR(B5729)&gt;=6,HOUR(B5729)&lt;18),"Day Shift","Night Shift")</f>
        <v/>
      </c>
      <c r="F5729" s="11">
        <f>INT(B5729)</f>
        <v/>
      </c>
      <c r="G5729" s="11">
        <f>INT(C5729)</f>
        <v/>
      </c>
    </row>
    <row r="5730">
      <c r="A5730" s="2" t="inlineStr">
        <is>
          <t>SHE36</t>
        </is>
      </c>
      <c r="B5730" s="3" t="n">
        <v>46114.67396990741</v>
      </c>
      <c r="C5730" s="3" t="n">
        <v>46114.75</v>
      </c>
      <c r="D5730" s="4">
        <f>(C5730-B5730)*24</f>
        <v/>
      </c>
      <c r="E5730" s="5">
        <f>IF(AND(HOUR(B5730)&gt;=6,HOUR(B5730)&lt;18),"Day Shift","Night Shift")</f>
        <v/>
      </c>
      <c r="F5730" s="6">
        <f>INT(B5730)</f>
        <v/>
      </c>
      <c r="G5730" s="6">
        <f>INT(C5730)</f>
        <v/>
      </c>
    </row>
    <row r="5731">
      <c r="A5731" s="7" t="inlineStr">
        <is>
          <t>SHE36</t>
        </is>
      </c>
      <c r="B5731" s="8" t="n">
        <v>46114.75</v>
      </c>
      <c r="C5731" s="8" t="n">
        <v>46114.90193287037</v>
      </c>
      <c r="D5731" s="9">
        <f>(C5731-B5731)*24</f>
        <v/>
      </c>
      <c r="E5731" s="10">
        <f>IF(AND(HOUR(B5731)&gt;=6,HOUR(B5731)&lt;18),"Day Shift","Night Shift")</f>
        <v/>
      </c>
      <c r="F5731" s="11">
        <f>INT(B5731)</f>
        <v/>
      </c>
      <c r="G5731" s="11">
        <f>INT(C5731)</f>
        <v/>
      </c>
    </row>
    <row r="5732">
      <c r="A5732" s="7" t="inlineStr">
        <is>
          <t>EXD100</t>
        </is>
      </c>
      <c r="B5732" s="8" t="n">
        <v>46114.87083333333</v>
      </c>
      <c r="C5732" s="8" t="n">
        <v>46115.25</v>
      </c>
      <c r="D5732" s="9">
        <f>(C5732-B5732)*24</f>
        <v/>
      </c>
      <c r="E5732" s="10">
        <f>IF(AND(HOUR(B5732)&gt;=6,HOUR(B5732)&lt;18),"Day Shift","Night Shift")</f>
        <v/>
      </c>
      <c r="F5732" s="11">
        <f>INT(B5732)</f>
        <v/>
      </c>
      <c r="G5732" s="11">
        <f>INT(C5732)</f>
        <v/>
      </c>
    </row>
    <row r="5733">
      <c r="A5733" s="2" t="inlineStr">
        <is>
          <t>EXD100</t>
        </is>
      </c>
      <c r="B5733" s="3" t="n">
        <v>46115.25</v>
      </c>
      <c r="C5733" s="3" t="n">
        <v>46115.39375</v>
      </c>
      <c r="D5733" s="4">
        <f>(C5733-B5733)*24</f>
        <v/>
      </c>
      <c r="E5733" s="5">
        <f>IF(AND(HOUR(B5733)&gt;=6,HOUR(B5733)&lt;18),"Day Shift","Night Shift")</f>
        <v/>
      </c>
      <c r="F5733" s="6">
        <f>INT(B5733)</f>
        <v/>
      </c>
      <c r="G5733" s="6">
        <f>INT(C5733)</f>
        <v/>
      </c>
    </row>
    <row r="5734">
      <c r="A5734" s="7" t="inlineStr">
        <is>
          <t>EXD409</t>
        </is>
      </c>
      <c r="B5734" s="8" t="n">
        <v>46114.88297453704</v>
      </c>
      <c r="C5734" s="8" t="n">
        <v>46115.25</v>
      </c>
      <c r="D5734" s="9">
        <f>(C5734-B5734)*24</f>
        <v/>
      </c>
      <c r="E5734" s="10">
        <f>IF(AND(HOUR(B5734)&gt;=6,HOUR(B5734)&lt;18),"Day Shift","Night Shift")</f>
        <v/>
      </c>
      <c r="F5734" s="11">
        <f>INT(B5734)</f>
        <v/>
      </c>
      <c r="G5734" s="11">
        <f>INT(C5734)</f>
        <v/>
      </c>
    </row>
    <row r="5735">
      <c r="A5735" s="2" t="inlineStr">
        <is>
          <t>EXD409</t>
        </is>
      </c>
      <c r="B5735" s="3" t="n">
        <v>46115.25</v>
      </c>
      <c r="C5735" s="3" t="n">
        <v>46115.75</v>
      </c>
      <c r="D5735" s="4">
        <f>(C5735-B5735)*24</f>
        <v/>
      </c>
      <c r="E5735" s="5">
        <f>IF(AND(HOUR(B5735)&gt;=6,HOUR(B5735)&lt;18),"Day Shift","Night Shift")</f>
        <v/>
      </c>
      <c r="F5735" s="6">
        <f>INT(B5735)</f>
        <v/>
      </c>
      <c r="G5735" s="6">
        <f>INT(C5735)</f>
        <v/>
      </c>
    </row>
    <row r="5736">
      <c r="A5736" s="7" t="inlineStr">
        <is>
          <t>EXD409</t>
        </is>
      </c>
      <c r="B5736" s="8" t="n">
        <v>46115.75</v>
      </c>
      <c r="C5736" s="8" t="n">
        <v>46116.11594907408</v>
      </c>
      <c r="D5736" s="9">
        <f>(C5736-B5736)*24</f>
        <v/>
      </c>
      <c r="E5736" s="10">
        <f>IF(AND(HOUR(B5736)&gt;=6,HOUR(B5736)&lt;18),"Day Shift","Night Shift")</f>
        <v/>
      </c>
      <c r="F5736" s="11">
        <f>INT(B5736)</f>
        <v/>
      </c>
      <c r="G5736" s="11">
        <f>INT(C5736)</f>
        <v/>
      </c>
    </row>
    <row r="5737">
      <c r="A5737" s="7" t="inlineStr">
        <is>
          <t>SHE36</t>
        </is>
      </c>
      <c r="B5737" s="8" t="n">
        <v>46114.90193287037</v>
      </c>
      <c r="C5737" s="8" t="n">
        <v>46115.25</v>
      </c>
      <c r="D5737" s="9">
        <f>(C5737-B5737)*24</f>
        <v/>
      </c>
      <c r="E5737" s="10">
        <f>IF(AND(HOUR(B5737)&gt;=6,HOUR(B5737)&lt;18),"Day Shift","Night Shift")</f>
        <v/>
      </c>
      <c r="F5737" s="11">
        <f>INT(B5737)</f>
        <v/>
      </c>
      <c r="G5737" s="11">
        <f>INT(C5737)</f>
        <v/>
      </c>
    </row>
    <row r="5738">
      <c r="A5738" s="2" t="inlineStr">
        <is>
          <t>SHE36</t>
        </is>
      </c>
      <c r="B5738" s="3" t="n">
        <v>46115.25</v>
      </c>
      <c r="C5738" s="3" t="n">
        <v>46115.49609953703</v>
      </c>
      <c r="D5738" s="4">
        <f>(C5738-B5738)*24</f>
        <v/>
      </c>
      <c r="E5738" s="5">
        <f>IF(AND(HOUR(B5738)&gt;=6,HOUR(B5738)&lt;18),"Day Shift","Night Shift")</f>
        <v/>
      </c>
      <c r="F5738" s="6">
        <f>INT(B5738)</f>
        <v/>
      </c>
      <c r="G5738" s="6">
        <f>INT(C5738)</f>
        <v/>
      </c>
    </row>
    <row r="5739">
      <c r="A5739" s="7" t="inlineStr">
        <is>
          <t>EXD408</t>
        </is>
      </c>
      <c r="B5739" s="8" t="n">
        <v>46114.934375</v>
      </c>
      <c r="C5739" s="8" t="n">
        <v>46115.25</v>
      </c>
      <c r="D5739" s="9">
        <f>(C5739-B5739)*24</f>
        <v/>
      </c>
      <c r="E5739" s="10">
        <f>IF(AND(HOUR(B5739)&gt;=6,HOUR(B5739)&lt;18),"Day Shift","Night Shift")</f>
        <v/>
      </c>
      <c r="F5739" s="11">
        <f>INT(B5739)</f>
        <v/>
      </c>
      <c r="G5739" s="11">
        <f>INT(C5739)</f>
        <v/>
      </c>
    </row>
    <row r="5740">
      <c r="A5740" s="2" t="inlineStr">
        <is>
          <t>EXD408</t>
        </is>
      </c>
      <c r="B5740" s="3" t="n">
        <v>46115.25</v>
      </c>
      <c r="C5740" s="3" t="n">
        <v>46115.370625</v>
      </c>
      <c r="D5740" s="4">
        <f>(C5740-B5740)*24</f>
        <v/>
      </c>
      <c r="E5740" s="5">
        <f>IF(AND(HOUR(B5740)&gt;=6,HOUR(B5740)&lt;18),"Day Shift","Night Shift")</f>
        <v/>
      </c>
      <c r="F5740" s="6">
        <f>INT(B5740)</f>
        <v/>
      </c>
      <c r="G5740" s="6">
        <f>INT(C5740)</f>
        <v/>
      </c>
    </row>
    <row r="5741">
      <c r="A5741" s="7" t="inlineStr">
        <is>
          <t>EXD101</t>
        </is>
      </c>
      <c r="B5741" s="8" t="n">
        <v>46114.97498842593</v>
      </c>
      <c r="C5741" s="8" t="n">
        <v>46115.25</v>
      </c>
      <c r="D5741" s="9">
        <f>(C5741-B5741)*24</f>
        <v/>
      </c>
      <c r="E5741" s="10">
        <f>IF(AND(HOUR(B5741)&gt;=6,HOUR(B5741)&lt;18),"Day Shift","Night Shift")</f>
        <v/>
      </c>
      <c r="F5741" s="11">
        <f>INT(B5741)</f>
        <v/>
      </c>
      <c r="G5741" s="11">
        <f>INT(C5741)</f>
        <v/>
      </c>
    </row>
    <row r="5742">
      <c r="A5742" s="2" t="inlineStr">
        <is>
          <t>EXD101</t>
        </is>
      </c>
      <c r="B5742" s="3" t="n">
        <v>46115.25</v>
      </c>
      <c r="C5742" s="3" t="n">
        <v>46115.35599537037</v>
      </c>
      <c r="D5742" s="4">
        <f>(C5742-B5742)*24</f>
        <v/>
      </c>
      <c r="E5742" s="5">
        <f>IF(AND(HOUR(B5742)&gt;=6,HOUR(B5742)&lt;18),"Day Shift","Night Shift")</f>
        <v/>
      </c>
      <c r="F5742" s="6">
        <f>INT(B5742)</f>
        <v/>
      </c>
      <c r="G5742" s="6">
        <f>INT(C5742)</f>
        <v/>
      </c>
    </row>
    <row r="5743">
      <c r="A5743" s="7" t="inlineStr">
        <is>
          <t>EXD51</t>
        </is>
      </c>
      <c r="B5743" s="8" t="n">
        <v>46115.05554398148</v>
      </c>
      <c r="C5743" s="8" t="n">
        <v>46115.25</v>
      </c>
      <c r="D5743" s="9">
        <f>(C5743-B5743)*24</f>
        <v/>
      </c>
      <c r="E5743" s="10">
        <f>IF(AND(HOUR(B5743)&gt;=6,HOUR(B5743)&lt;18),"Day Shift","Night Shift")</f>
        <v/>
      </c>
      <c r="F5743" s="11">
        <f>INT(B5743)</f>
        <v/>
      </c>
      <c r="G5743" s="11">
        <f>INT(C5743)</f>
        <v/>
      </c>
    </row>
    <row r="5744">
      <c r="A5744" s="2" t="inlineStr">
        <is>
          <t>EXD51</t>
        </is>
      </c>
      <c r="B5744" s="3" t="n">
        <v>46115.25</v>
      </c>
      <c r="C5744" s="3" t="n">
        <v>46115.75</v>
      </c>
      <c r="D5744" s="4">
        <f>(C5744-B5744)*24</f>
        <v/>
      </c>
      <c r="E5744" s="5">
        <f>IF(AND(HOUR(B5744)&gt;=6,HOUR(B5744)&lt;18),"Day Shift","Night Shift")</f>
        <v/>
      </c>
      <c r="F5744" s="6">
        <f>INT(B5744)</f>
        <v/>
      </c>
      <c r="G5744" s="6">
        <f>INT(C5744)</f>
        <v/>
      </c>
    </row>
    <row r="5745">
      <c r="A5745" s="7" t="inlineStr">
        <is>
          <t>EXD51</t>
        </is>
      </c>
      <c r="B5745" s="8" t="n">
        <v>46115.75</v>
      </c>
      <c r="C5745" s="8" t="n">
        <v>46116.25</v>
      </c>
      <c r="D5745" s="9">
        <f>(C5745-B5745)*24</f>
        <v/>
      </c>
      <c r="E5745" s="10">
        <f>IF(AND(HOUR(B5745)&gt;=6,HOUR(B5745)&lt;18),"Day Shift","Night Shift")</f>
        <v/>
      </c>
      <c r="F5745" s="11">
        <f>INT(B5745)</f>
        <v/>
      </c>
      <c r="G5745" s="11">
        <f>INT(C5745)</f>
        <v/>
      </c>
    </row>
    <row r="5746">
      <c r="A5746" s="2" t="inlineStr">
        <is>
          <t>EXD51</t>
        </is>
      </c>
      <c r="B5746" s="3" t="n">
        <v>46116.25</v>
      </c>
      <c r="C5746" s="3" t="n">
        <v>46116.35820601852</v>
      </c>
      <c r="D5746" s="4">
        <f>(C5746-B5746)*24</f>
        <v/>
      </c>
      <c r="E5746" s="5">
        <f>IF(AND(HOUR(B5746)&gt;=6,HOUR(B5746)&lt;18),"Day Shift","Night Shift")</f>
        <v/>
      </c>
      <c r="F5746" s="6">
        <f>INT(B5746)</f>
        <v/>
      </c>
      <c r="G5746" s="6">
        <f>INT(C5746)</f>
        <v/>
      </c>
    </row>
    <row r="5747">
      <c r="A5747" s="7" t="inlineStr">
        <is>
          <t>EXD55</t>
        </is>
      </c>
      <c r="B5747" s="8" t="n">
        <v>46115.13619212963</v>
      </c>
      <c r="C5747" s="8" t="n">
        <v>46115.25</v>
      </c>
      <c r="D5747" s="9">
        <f>(C5747-B5747)*24</f>
        <v/>
      </c>
      <c r="E5747" s="10">
        <f>IF(AND(HOUR(B5747)&gt;=6,HOUR(B5747)&lt;18),"Day Shift","Night Shift")</f>
        <v/>
      </c>
      <c r="F5747" s="11">
        <f>INT(B5747)</f>
        <v/>
      </c>
      <c r="G5747" s="11">
        <f>INT(C5747)</f>
        <v/>
      </c>
    </row>
    <row r="5748">
      <c r="A5748" s="2" t="inlineStr">
        <is>
          <t>EXD55</t>
        </is>
      </c>
      <c r="B5748" s="3" t="n">
        <v>46115.25</v>
      </c>
      <c r="C5748" s="3" t="n">
        <v>46115.75</v>
      </c>
      <c r="D5748" s="4">
        <f>(C5748-B5748)*24</f>
        <v/>
      </c>
      <c r="E5748" s="5">
        <f>IF(AND(HOUR(B5748)&gt;=6,HOUR(B5748)&lt;18),"Day Shift","Night Shift")</f>
        <v/>
      </c>
      <c r="F5748" s="6">
        <f>INT(B5748)</f>
        <v/>
      </c>
      <c r="G5748" s="6">
        <f>INT(C5748)</f>
        <v/>
      </c>
    </row>
    <row r="5749">
      <c r="A5749" s="7" t="inlineStr">
        <is>
          <t>EXD55</t>
        </is>
      </c>
      <c r="B5749" s="8" t="n">
        <v>46115.75</v>
      </c>
      <c r="C5749" s="8" t="n">
        <v>46116.25</v>
      </c>
      <c r="D5749" s="9">
        <f>(C5749-B5749)*24</f>
        <v/>
      </c>
      <c r="E5749" s="10">
        <f>IF(AND(HOUR(B5749)&gt;=6,HOUR(B5749)&lt;18),"Day Shift","Night Shift")</f>
        <v/>
      </c>
      <c r="F5749" s="11">
        <f>INT(B5749)</f>
        <v/>
      </c>
      <c r="G5749" s="11">
        <f>INT(C5749)</f>
        <v/>
      </c>
    </row>
    <row r="5750">
      <c r="A5750" s="2" t="inlineStr">
        <is>
          <t>EXD55</t>
        </is>
      </c>
      <c r="B5750" s="3" t="n">
        <v>46116.25</v>
      </c>
      <c r="C5750" s="3" t="n">
        <v>46116.75</v>
      </c>
      <c r="D5750" s="4">
        <f>(C5750-B5750)*24</f>
        <v/>
      </c>
      <c r="E5750" s="5">
        <f>IF(AND(HOUR(B5750)&gt;=6,HOUR(B5750)&lt;18),"Day Shift","Night Shift")</f>
        <v/>
      </c>
      <c r="F5750" s="6">
        <f>INT(B5750)</f>
        <v/>
      </c>
      <c r="G5750" s="6">
        <f>INT(C5750)</f>
        <v/>
      </c>
    </row>
    <row r="5751">
      <c r="A5751" s="7" t="inlineStr">
        <is>
          <t>EXD55</t>
        </is>
      </c>
      <c r="B5751" s="8" t="n">
        <v>46116.75</v>
      </c>
      <c r="C5751" s="8" t="n">
        <v>46117.25</v>
      </c>
      <c r="D5751" s="9">
        <f>(C5751-B5751)*24</f>
        <v/>
      </c>
      <c r="E5751" s="10">
        <f>IF(AND(HOUR(B5751)&gt;=6,HOUR(B5751)&lt;18),"Day Shift","Night Shift")</f>
        <v/>
      </c>
      <c r="F5751" s="11">
        <f>INT(B5751)</f>
        <v/>
      </c>
      <c r="G5751" s="11">
        <f>INT(C5751)</f>
        <v/>
      </c>
    </row>
    <row r="5752">
      <c r="A5752" s="2" t="inlineStr">
        <is>
          <t>EXD55</t>
        </is>
      </c>
      <c r="B5752" s="3" t="n">
        <v>46117.25</v>
      </c>
      <c r="C5752" s="3" t="n">
        <v>46117.75</v>
      </c>
      <c r="D5752" s="4">
        <f>(C5752-B5752)*24</f>
        <v/>
      </c>
      <c r="E5752" s="5">
        <f>IF(AND(HOUR(B5752)&gt;=6,HOUR(B5752)&lt;18),"Day Shift","Night Shift")</f>
        <v/>
      </c>
      <c r="F5752" s="6">
        <f>INT(B5752)</f>
        <v/>
      </c>
      <c r="G5752" s="6">
        <f>INT(C5752)</f>
        <v/>
      </c>
    </row>
    <row r="5753">
      <c r="A5753" s="7" t="inlineStr">
        <is>
          <t>EXD55</t>
        </is>
      </c>
      <c r="B5753" s="8" t="n">
        <v>46117.75</v>
      </c>
      <c r="C5753" s="8" t="n">
        <v>46118.25</v>
      </c>
      <c r="D5753" s="9">
        <f>(C5753-B5753)*24</f>
        <v/>
      </c>
      <c r="E5753" s="10">
        <f>IF(AND(HOUR(B5753)&gt;=6,HOUR(B5753)&lt;18),"Day Shift","Night Shift")</f>
        <v/>
      </c>
      <c r="F5753" s="11">
        <f>INT(B5753)</f>
        <v/>
      </c>
      <c r="G5753" s="11">
        <f>INT(C5753)</f>
        <v/>
      </c>
    </row>
    <row r="5754">
      <c r="A5754" s="2" t="inlineStr">
        <is>
          <t>EXD55</t>
        </is>
      </c>
      <c r="B5754" s="3" t="n">
        <v>46118.25</v>
      </c>
      <c r="C5754" s="3" t="n">
        <v>46118.5266550926</v>
      </c>
      <c r="D5754" s="4">
        <f>(C5754-B5754)*24</f>
        <v/>
      </c>
      <c r="E5754" s="5">
        <f>IF(AND(HOUR(B5754)&gt;=6,HOUR(B5754)&lt;18),"Day Shift","Night Shift")</f>
        <v/>
      </c>
      <c r="F5754" s="6">
        <f>INT(B5754)</f>
        <v/>
      </c>
      <c r="G5754" s="6">
        <f>INT(C5754)</f>
        <v/>
      </c>
    </row>
    <row r="5755">
      <c r="A5755" s="2" t="inlineStr">
        <is>
          <t>EXD101</t>
        </is>
      </c>
      <c r="B5755" s="3" t="n">
        <v>46115.36282407407</v>
      </c>
      <c r="C5755" s="3" t="n">
        <v>46115.75</v>
      </c>
      <c r="D5755" s="4">
        <f>(C5755-B5755)*24</f>
        <v/>
      </c>
      <c r="E5755" s="5">
        <f>IF(AND(HOUR(B5755)&gt;=6,HOUR(B5755)&lt;18),"Day Shift","Night Shift")</f>
        <v/>
      </c>
      <c r="F5755" s="6">
        <f>INT(B5755)</f>
        <v/>
      </c>
      <c r="G5755" s="6">
        <f>INT(C5755)</f>
        <v/>
      </c>
    </row>
    <row r="5756">
      <c r="A5756" s="7" t="inlineStr">
        <is>
          <t>EXD101</t>
        </is>
      </c>
      <c r="B5756" s="8" t="n">
        <v>46115.75</v>
      </c>
      <c r="C5756" s="8" t="n">
        <v>46116.07211805556</v>
      </c>
      <c r="D5756" s="9">
        <f>(C5756-B5756)*24</f>
        <v/>
      </c>
      <c r="E5756" s="10">
        <f>IF(AND(HOUR(B5756)&gt;=6,HOUR(B5756)&lt;18),"Day Shift","Night Shift")</f>
        <v/>
      </c>
      <c r="F5756" s="11">
        <f>INT(B5756)</f>
        <v/>
      </c>
      <c r="G5756" s="11">
        <f>INT(C5756)</f>
        <v/>
      </c>
    </row>
    <row r="5757">
      <c r="A5757" s="2" t="inlineStr">
        <is>
          <t>EXD52;LDW262</t>
        </is>
      </c>
      <c r="B5757" s="3" t="n">
        <v>46115.36983796296</v>
      </c>
      <c r="C5757" s="3" t="n">
        <v>46115.67150462963</v>
      </c>
      <c r="D5757" s="4">
        <f>(C5757-B5757)*24</f>
        <v/>
      </c>
      <c r="E5757" s="5">
        <f>IF(AND(HOUR(B5757)&gt;=6,HOUR(B5757)&lt;18),"Day Shift","Night Shift")</f>
        <v/>
      </c>
      <c r="F5757" s="6">
        <f>INT(B5757)</f>
        <v/>
      </c>
      <c r="G5757" s="6">
        <f>INT(C5757)</f>
        <v/>
      </c>
    </row>
    <row r="5758">
      <c r="A5758" s="2" t="inlineStr">
        <is>
          <t>EXD408</t>
        </is>
      </c>
      <c r="B5758" s="3" t="n">
        <v>46115.370625</v>
      </c>
      <c r="C5758" s="3" t="n">
        <v>46115.75</v>
      </c>
      <c r="D5758" s="4">
        <f>(C5758-B5758)*24</f>
        <v/>
      </c>
      <c r="E5758" s="5">
        <f>IF(AND(HOUR(B5758)&gt;=6,HOUR(B5758)&lt;18),"Day Shift","Night Shift")</f>
        <v/>
      </c>
      <c r="F5758" s="6">
        <f>INT(B5758)</f>
        <v/>
      </c>
      <c r="G5758" s="6">
        <f>INT(C5758)</f>
        <v/>
      </c>
    </row>
    <row r="5759">
      <c r="A5759" s="7" t="inlineStr">
        <is>
          <t>EXD408</t>
        </is>
      </c>
      <c r="B5759" s="8" t="n">
        <v>46115.75</v>
      </c>
      <c r="C5759" s="8" t="n">
        <v>46116.25</v>
      </c>
      <c r="D5759" s="9">
        <f>(C5759-B5759)*24</f>
        <v/>
      </c>
      <c r="E5759" s="10">
        <f>IF(AND(HOUR(B5759)&gt;=6,HOUR(B5759)&lt;18),"Day Shift","Night Shift")</f>
        <v/>
      </c>
      <c r="F5759" s="11">
        <f>INT(B5759)</f>
        <v/>
      </c>
      <c r="G5759" s="11">
        <f>INT(C5759)</f>
        <v/>
      </c>
    </row>
    <row r="5760">
      <c r="A5760" s="2" t="inlineStr">
        <is>
          <t>EXD408</t>
        </is>
      </c>
      <c r="B5760" s="3" t="n">
        <v>46116.25</v>
      </c>
      <c r="C5760" s="3" t="n">
        <v>46116.61275462963</v>
      </c>
      <c r="D5760" s="4">
        <f>(C5760-B5760)*24</f>
        <v/>
      </c>
      <c r="E5760" s="5">
        <f>IF(AND(HOUR(B5760)&gt;=6,HOUR(B5760)&lt;18),"Day Shift","Night Shift")</f>
        <v/>
      </c>
      <c r="F5760" s="6">
        <f>INT(B5760)</f>
        <v/>
      </c>
      <c r="G5760" s="6">
        <f>INT(C5760)</f>
        <v/>
      </c>
    </row>
    <row r="5761">
      <c r="A5761" s="2" t="inlineStr">
        <is>
          <t>EXD61</t>
        </is>
      </c>
      <c r="B5761" s="3" t="n">
        <v>46115.37979166667</v>
      </c>
      <c r="C5761" s="3" t="n">
        <v>46115.75</v>
      </c>
      <c r="D5761" s="4">
        <f>(C5761-B5761)*24</f>
        <v/>
      </c>
      <c r="E5761" s="5">
        <f>IF(AND(HOUR(B5761)&gt;=6,HOUR(B5761)&lt;18),"Day Shift","Night Shift")</f>
        <v/>
      </c>
      <c r="F5761" s="6">
        <f>INT(B5761)</f>
        <v/>
      </c>
      <c r="G5761" s="6">
        <f>INT(C5761)</f>
        <v/>
      </c>
    </row>
    <row r="5762">
      <c r="A5762" s="7" t="inlineStr">
        <is>
          <t>EXD61</t>
        </is>
      </c>
      <c r="B5762" s="8" t="n">
        <v>46115.75</v>
      </c>
      <c r="C5762" s="8" t="n">
        <v>46116.25</v>
      </c>
      <c r="D5762" s="9">
        <f>(C5762-B5762)*24</f>
        <v/>
      </c>
      <c r="E5762" s="10">
        <f>IF(AND(HOUR(B5762)&gt;=6,HOUR(B5762)&lt;18),"Day Shift","Night Shift")</f>
        <v/>
      </c>
      <c r="F5762" s="11">
        <f>INT(B5762)</f>
        <v/>
      </c>
      <c r="G5762" s="11">
        <f>INT(C5762)</f>
        <v/>
      </c>
    </row>
    <row r="5763">
      <c r="A5763" s="2" t="inlineStr">
        <is>
          <t>EXD61</t>
        </is>
      </c>
      <c r="B5763" s="3" t="n">
        <v>46116.25</v>
      </c>
      <c r="C5763" s="3" t="n">
        <v>46116.49466435185</v>
      </c>
      <c r="D5763" s="4">
        <f>(C5763-B5763)*24</f>
        <v/>
      </c>
      <c r="E5763" s="5">
        <f>IF(AND(HOUR(B5763)&gt;=6,HOUR(B5763)&lt;18),"Day Shift","Night Shift")</f>
        <v/>
      </c>
      <c r="F5763" s="6">
        <f>INT(B5763)</f>
        <v/>
      </c>
      <c r="G5763" s="6">
        <f>INT(C5763)</f>
        <v/>
      </c>
    </row>
    <row r="5764">
      <c r="A5764" s="2" t="inlineStr">
        <is>
          <t>Sprint 1</t>
        </is>
      </c>
      <c r="B5764" s="3" t="n">
        <v>46115.38851851852</v>
      </c>
      <c r="C5764" s="3" t="n">
        <v>46115.75</v>
      </c>
      <c r="D5764" s="4">
        <f>(C5764-B5764)*24</f>
        <v/>
      </c>
      <c r="E5764" s="5">
        <f>IF(AND(HOUR(B5764)&gt;=6,HOUR(B5764)&lt;18),"Day Shift","Night Shift")</f>
        <v/>
      </c>
      <c r="F5764" s="6">
        <f>INT(B5764)</f>
        <v/>
      </c>
      <c r="G5764" s="6">
        <f>INT(C5764)</f>
        <v/>
      </c>
    </row>
    <row r="5765">
      <c r="A5765" s="7" t="inlineStr">
        <is>
          <t>Sprint 1</t>
        </is>
      </c>
      <c r="B5765" s="8" t="n">
        <v>46115.75</v>
      </c>
      <c r="C5765" s="8" t="n">
        <v>46116.02284722222</v>
      </c>
      <c r="D5765" s="9">
        <f>(C5765-B5765)*24</f>
        <v/>
      </c>
      <c r="E5765" s="10">
        <f>IF(AND(HOUR(B5765)&gt;=6,HOUR(B5765)&lt;18),"Day Shift","Night Shift")</f>
        <v/>
      </c>
      <c r="F5765" s="11">
        <f>INT(B5765)</f>
        <v/>
      </c>
      <c r="G5765" s="11">
        <f>INT(C5765)</f>
        <v/>
      </c>
    </row>
    <row r="5766">
      <c r="A5766" s="2" t="inlineStr">
        <is>
          <t>EXD407</t>
        </is>
      </c>
      <c r="B5766" s="3" t="n">
        <v>46115.44914351852</v>
      </c>
      <c r="C5766" s="3" t="n">
        <v>46115.75</v>
      </c>
      <c r="D5766" s="4">
        <f>(C5766-B5766)*24</f>
        <v/>
      </c>
      <c r="E5766" s="5">
        <f>IF(AND(HOUR(B5766)&gt;=6,HOUR(B5766)&lt;18),"Day Shift","Night Shift")</f>
        <v/>
      </c>
      <c r="F5766" s="6">
        <f>INT(B5766)</f>
        <v/>
      </c>
      <c r="G5766" s="6">
        <f>INT(C5766)</f>
        <v/>
      </c>
    </row>
    <row r="5767">
      <c r="A5767" s="7" t="inlineStr">
        <is>
          <t>EXD407</t>
        </is>
      </c>
      <c r="B5767" s="8" t="n">
        <v>46115.75</v>
      </c>
      <c r="C5767" s="8" t="n">
        <v>46116.25</v>
      </c>
      <c r="D5767" s="9">
        <f>(C5767-B5767)*24</f>
        <v/>
      </c>
      <c r="E5767" s="10">
        <f>IF(AND(HOUR(B5767)&gt;=6,HOUR(B5767)&lt;18),"Day Shift","Night Shift")</f>
        <v/>
      </c>
      <c r="F5767" s="11">
        <f>INT(B5767)</f>
        <v/>
      </c>
      <c r="G5767" s="11">
        <f>INT(C5767)</f>
        <v/>
      </c>
    </row>
    <row r="5768">
      <c r="A5768" s="2" t="inlineStr">
        <is>
          <t>EXD407</t>
        </is>
      </c>
      <c r="B5768" s="3" t="n">
        <v>46116.25</v>
      </c>
      <c r="C5768" s="3" t="n">
        <v>46116.75</v>
      </c>
      <c r="D5768" s="4">
        <f>(C5768-B5768)*24</f>
        <v/>
      </c>
      <c r="E5768" s="5">
        <f>IF(AND(HOUR(B5768)&gt;=6,HOUR(B5768)&lt;18),"Day Shift","Night Shift")</f>
        <v/>
      </c>
      <c r="F5768" s="6">
        <f>INT(B5768)</f>
        <v/>
      </c>
      <c r="G5768" s="6">
        <f>INT(C5768)</f>
        <v/>
      </c>
    </row>
    <row r="5769">
      <c r="A5769" s="7" t="inlineStr">
        <is>
          <t>EXD407</t>
        </is>
      </c>
      <c r="B5769" s="8" t="n">
        <v>46116.75</v>
      </c>
      <c r="C5769" s="8" t="n">
        <v>46116.92226851852</v>
      </c>
      <c r="D5769" s="9">
        <f>(C5769-B5769)*24</f>
        <v/>
      </c>
      <c r="E5769" s="10">
        <f>IF(AND(HOUR(B5769)&gt;=6,HOUR(B5769)&lt;18),"Day Shift","Night Shift")</f>
        <v/>
      </c>
      <c r="F5769" s="11">
        <f>INT(B5769)</f>
        <v/>
      </c>
      <c r="G5769" s="11">
        <f>INT(C5769)</f>
        <v/>
      </c>
    </row>
    <row r="5770">
      <c r="A5770" s="2" t="inlineStr">
        <is>
          <t>EXD98</t>
        </is>
      </c>
      <c r="B5770" s="3" t="n">
        <v>46115.45054398148</v>
      </c>
      <c r="C5770" s="3" t="n">
        <v>46115.75</v>
      </c>
      <c r="D5770" s="4">
        <f>(C5770-B5770)*24</f>
        <v/>
      </c>
      <c r="E5770" s="5">
        <f>IF(AND(HOUR(B5770)&gt;=6,HOUR(B5770)&lt;18),"Day Shift","Night Shift")</f>
        <v/>
      </c>
      <c r="F5770" s="6">
        <f>INT(B5770)</f>
        <v/>
      </c>
      <c r="G5770" s="6">
        <f>INT(C5770)</f>
        <v/>
      </c>
    </row>
    <row r="5771">
      <c r="A5771" s="7" t="inlineStr">
        <is>
          <t>EXD98</t>
        </is>
      </c>
      <c r="B5771" s="8" t="n">
        <v>46115.75</v>
      </c>
      <c r="C5771" s="8" t="n">
        <v>46116.22730324074</v>
      </c>
      <c r="D5771" s="9">
        <f>(C5771-B5771)*24</f>
        <v/>
      </c>
      <c r="E5771" s="10">
        <f>IF(AND(HOUR(B5771)&gt;=6,HOUR(B5771)&lt;18),"Day Shift","Night Shift")</f>
        <v/>
      </c>
      <c r="F5771" s="11">
        <f>INT(B5771)</f>
        <v/>
      </c>
      <c r="G5771" s="11">
        <f>INT(C5771)</f>
        <v/>
      </c>
    </row>
    <row r="5772">
      <c r="A5772" s="2" t="inlineStr">
        <is>
          <t>SHE36</t>
        </is>
      </c>
      <c r="B5772" s="3" t="n">
        <v>46115.49609953703</v>
      </c>
      <c r="C5772" s="3" t="n">
        <v>46115.75</v>
      </c>
      <c r="D5772" s="4">
        <f>(C5772-B5772)*24</f>
        <v/>
      </c>
      <c r="E5772" s="5">
        <f>IF(AND(HOUR(B5772)&gt;=6,HOUR(B5772)&lt;18),"Day Shift","Night Shift")</f>
        <v/>
      </c>
      <c r="F5772" s="6">
        <f>INT(B5772)</f>
        <v/>
      </c>
      <c r="G5772" s="6">
        <f>INT(C5772)</f>
        <v/>
      </c>
    </row>
    <row r="5773">
      <c r="A5773" s="7" t="inlineStr">
        <is>
          <t>SHE36</t>
        </is>
      </c>
      <c r="B5773" s="8" t="n">
        <v>46115.75</v>
      </c>
      <c r="C5773" s="8" t="n">
        <v>46116.09141203704</v>
      </c>
      <c r="D5773" s="9">
        <f>(C5773-B5773)*24</f>
        <v/>
      </c>
      <c r="E5773" s="10">
        <f>IF(AND(HOUR(B5773)&gt;=6,HOUR(B5773)&lt;18),"Day Shift","Night Shift")</f>
        <v/>
      </c>
      <c r="F5773" s="11">
        <f>INT(B5773)</f>
        <v/>
      </c>
      <c r="G5773" s="11">
        <f>INT(C5773)</f>
        <v/>
      </c>
    </row>
    <row r="5774">
      <c r="A5774" s="2" t="inlineStr">
        <is>
          <t>EXD100</t>
        </is>
      </c>
      <c r="B5774" s="3" t="n">
        <v>46115.52040509259</v>
      </c>
      <c r="C5774" s="3" t="n">
        <v>46115.75</v>
      </c>
      <c r="D5774" s="4">
        <f>(C5774-B5774)*24</f>
        <v/>
      </c>
      <c r="E5774" s="5">
        <f>IF(AND(HOUR(B5774)&gt;=6,HOUR(B5774)&lt;18),"Day Shift","Night Shift")</f>
        <v/>
      </c>
      <c r="F5774" s="6">
        <f>INT(B5774)</f>
        <v/>
      </c>
      <c r="G5774" s="6">
        <f>INT(C5774)</f>
        <v/>
      </c>
    </row>
    <row r="5775">
      <c r="A5775" s="7" t="inlineStr">
        <is>
          <t>EXD100</t>
        </is>
      </c>
      <c r="B5775" s="8" t="n">
        <v>46115.75</v>
      </c>
      <c r="C5775" s="8" t="n">
        <v>46116.25</v>
      </c>
      <c r="D5775" s="9">
        <f>(C5775-B5775)*24</f>
        <v/>
      </c>
      <c r="E5775" s="10">
        <f>IF(AND(HOUR(B5775)&gt;=6,HOUR(B5775)&lt;18),"Day Shift","Night Shift")</f>
        <v/>
      </c>
      <c r="F5775" s="11">
        <f>INT(B5775)</f>
        <v/>
      </c>
      <c r="G5775" s="11">
        <f>INT(C5775)</f>
        <v/>
      </c>
    </row>
    <row r="5776">
      <c r="A5776" s="2" t="inlineStr">
        <is>
          <t>EXD100</t>
        </is>
      </c>
      <c r="B5776" s="3" t="n">
        <v>46116.25</v>
      </c>
      <c r="C5776" s="3" t="n">
        <v>46116.50671296296</v>
      </c>
      <c r="D5776" s="4">
        <f>(C5776-B5776)*24</f>
        <v/>
      </c>
      <c r="E5776" s="5">
        <f>IF(AND(HOUR(B5776)&gt;=6,HOUR(B5776)&lt;18),"Day Shift","Night Shift")</f>
        <v/>
      </c>
      <c r="F5776" s="6">
        <f>INT(B5776)</f>
        <v/>
      </c>
      <c r="G5776" s="6">
        <f>INT(C5776)</f>
        <v/>
      </c>
    </row>
    <row r="5777">
      <c r="A5777" s="2" t="inlineStr">
        <is>
          <t>EXD73</t>
        </is>
      </c>
      <c r="B5777" s="3" t="n">
        <v>46115.588125</v>
      </c>
      <c r="C5777" s="3" t="n">
        <v>46115.75</v>
      </c>
      <c r="D5777" s="4">
        <f>(C5777-B5777)*24</f>
        <v/>
      </c>
      <c r="E5777" s="5">
        <f>IF(AND(HOUR(B5777)&gt;=6,HOUR(B5777)&lt;18),"Day Shift","Night Shift")</f>
        <v/>
      </c>
      <c r="F5777" s="6">
        <f>INT(B5777)</f>
        <v/>
      </c>
      <c r="G5777" s="6">
        <f>INT(C5777)</f>
        <v/>
      </c>
    </row>
    <row r="5778">
      <c r="A5778" s="7" t="inlineStr">
        <is>
          <t>EXD73</t>
        </is>
      </c>
      <c r="B5778" s="8" t="n">
        <v>46115.75</v>
      </c>
      <c r="C5778" s="8" t="n">
        <v>46116.25</v>
      </c>
      <c r="D5778" s="9">
        <f>(C5778-B5778)*24</f>
        <v/>
      </c>
      <c r="E5778" s="10">
        <f>IF(AND(HOUR(B5778)&gt;=6,HOUR(B5778)&lt;18),"Day Shift","Night Shift")</f>
        <v/>
      </c>
      <c r="F5778" s="11">
        <f>INT(B5778)</f>
        <v/>
      </c>
      <c r="G5778" s="11">
        <f>INT(C5778)</f>
        <v/>
      </c>
    </row>
    <row r="5779">
      <c r="A5779" s="2" t="inlineStr">
        <is>
          <t>EXD73</t>
        </is>
      </c>
      <c r="B5779" s="3" t="n">
        <v>46116.25</v>
      </c>
      <c r="C5779" s="3" t="n">
        <v>46116.75</v>
      </c>
      <c r="D5779" s="4">
        <f>(C5779-B5779)*24</f>
        <v/>
      </c>
      <c r="E5779" s="5">
        <f>IF(AND(HOUR(B5779)&gt;=6,HOUR(B5779)&lt;18),"Day Shift","Night Shift")</f>
        <v/>
      </c>
      <c r="F5779" s="6">
        <f>INT(B5779)</f>
        <v/>
      </c>
      <c r="G5779" s="6">
        <f>INT(C5779)</f>
        <v/>
      </c>
    </row>
    <row r="5780">
      <c r="A5780" s="7" t="inlineStr">
        <is>
          <t>EXD73</t>
        </is>
      </c>
      <c r="B5780" s="8" t="n">
        <v>46116.75</v>
      </c>
      <c r="C5780" s="8" t="n">
        <v>46117.20297453704</v>
      </c>
      <c r="D5780" s="9">
        <f>(C5780-B5780)*24</f>
        <v/>
      </c>
      <c r="E5780" s="10">
        <f>IF(AND(HOUR(B5780)&gt;=6,HOUR(B5780)&lt;18),"Day Shift","Night Shift")</f>
        <v/>
      </c>
      <c r="F5780" s="11">
        <f>INT(B5780)</f>
        <v/>
      </c>
      <c r="G5780" s="11">
        <f>INT(C5780)</f>
        <v/>
      </c>
    </row>
    <row r="5781">
      <c r="A5781" s="2" t="inlineStr">
        <is>
          <t>DRE12</t>
        </is>
      </c>
      <c r="B5781" s="3" t="n">
        <v>46115.66835648148</v>
      </c>
      <c r="C5781" s="3" t="n">
        <v>46115.75</v>
      </c>
      <c r="D5781" s="4">
        <f>(C5781-B5781)*24</f>
        <v/>
      </c>
      <c r="E5781" s="5">
        <f>IF(AND(HOUR(B5781)&gt;=6,HOUR(B5781)&lt;18),"Day Shift","Night Shift")</f>
        <v/>
      </c>
      <c r="F5781" s="6">
        <f>INT(B5781)</f>
        <v/>
      </c>
      <c r="G5781" s="6">
        <f>INT(C5781)</f>
        <v/>
      </c>
    </row>
    <row r="5782">
      <c r="A5782" s="7" t="inlineStr">
        <is>
          <t>DRE12</t>
        </is>
      </c>
      <c r="B5782" s="8" t="n">
        <v>46115.75</v>
      </c>
      <c r="C5782" s="8" t="n">
        <v>46116.25</v>
      </c>
      <c r="D5782" s="9">
        <f>(C5782-B5782)*24</f>
        <v/>
      </c>
      <c r="E5782" s="10">
        <f>IF(AND(HOUR(B5782)&gt;=6,HOUR(B5782)&lt;18),"Day Shift","Night Shift")</f>
        <v/>
      </c>
      <c r="F5782" s="11">
        <f>INT(B5782)</f>
        <v/>
      </c>
      <c r="G5782" s="11">
        <f>INT(C5782)</f>
        <v/>
      </c>
    </row>
    <row r="5783">
      <c r="A5783" s="2" t="inlineStr">
        <is>
          <t>DRE12</t>
        </is>
      </c>
      <c r="B5783" s="3" t="n">
        <v>46116.25</v>
      </c>
      <c r="C5783" s="3" t="n">
        <v>46116.75</v>
      </c>
      <c r="D5783" s="4">
        <f>(C5783-B5783)*24</f>
        <v/>
      </c>
      <c r="E5783" s="5">
        <f>IF(AND(HOUR(B5783)&gt;=6,HOUR(B5783)&lt;18),"Day Shift","Night Shift")</f>
        <v/>
      </c>
      <c r="F5783" s="6">
        <f>INT(B5783)</f>
        <v/>
      </c>
      <c r="G5783" s="6">
        <f>INT(C5783)</f>
        <v/>
      </c>
    </row>
    <row r="5784">
      <c r="A5784" s="7" t="inlineStr">
        <is>
          <t>DRE12</t>
        </is>
      </c>
      <c r="B5784" s="8" t="n">
        <v>46116.75</v>
      </c>
      <c r="C5784" s="8" t="n">
        <v>46117.25</v>
      </c>
      <c r="D5784" s="9">
        <f>(C5784-B5784)*24</f>
        <v/>
      </c>
      <c r="E5784" s="10">
        <f>IF(AND(HOUR(B5784)&gt;=6,HOUR(B5784)&lt;18),"Day Shift","Night Shift")</f>
        <v/>
      </c>
      <c r="F5784" s="11">
        <f>INT(B5784)</f>
        <v/>
      </c>
      <c r="G5784" s="11">
        <f>INT(C5784)</f>
        <v/>
      </c>
    </row>
    <row r="5785">
      <c r="A5785" s="2" t="inlineStr">
        <is>
          <t>DRE12</t>
        </is>
      </c>
      <c r="B5785" s="3" t="n">
        <v>46117.25</v>
      </c>
      <c r="C5785" s="3" t="n">
        <v>46117.75</v>
      </c>
      <c r="D5785" s="4">
        <f>(C5785-B5785)*24</f>
        <v/>
      </c>
      <c r="E5785" s="5">
        <f>IF(AND(HOUR(B5785)&gt;=6,HOUR(B5785)&lt;18),"Day Shift","Night Shift")</f>
        <v/>
      </c>
      <c r="F5785" s="6">
        <f>INT(B5785)</f>
        <v/>
      </c>
      <c r="G5785" s="6">
        <f>INT(C5785)</f>
        <v/>
      </c>
    </row>
    <row r="5786">
      <c r="A5786" s="7" t="inlineStr">
        <is>
          <t>DRE12</t>
        </is>
      </c>
      <c r="B5786" s="8" t="n">
        <v>46117.75</v>
      </c>
      <c r="C5786" s="8" t="n">
        <v>46117.8675</v>
      </c>
      <c r="D5786" s="9">
        <f>(C5786-B5786)*24</f>
        <v/>
      </c>
      <c r="E5786" s="10">
        <f>IF(AND(HOUR(B5786)&gt;=6,HOUR(B5786)&lt;18),"Day Shift","Night Shift")</f>
        <v/>
      </c>
      <c r="F5786" s="11">
        <f>INT(B5786)</f>
        <v/>
      </c>
      <c r="G5786" s="11">
        <f>INT(C5786)</f>
        <v/>
      </c>
    </row>
    <row r="5787">
      <c r="A5787" s="2" t="inlineStr">
        <is>
          <t>EXD52;LDW262</t>
        </is>
      </c>
      <c r="B5787" s="3" t="n">
        <v>46115.67150462963</v>
      </c>
      <c r="C5787" s="3" t="n">
        <v>46115.75</v>
      </c>
      <c r="D5787" s="4">
        <f>(C5787-B5787)*24</f>
        <v/>
      </c>
      <c r="E5787" s="5">
        <f>IF(AND(HOUR(B5787)&gt;=6,HOUR(B5787)&lt;18),"Day Shift","Night Shift")</f>
        <v/>
      </c>
      <c r="F5787" s="6">
        <f>INT(B5787)</f>
        <v/>
      </c>
      <c r="G5787" s="6">
        <f>INT(C5787)</f>
        <v/>
      </c>
    </row>
    <row r="5788">
      <c r="A5788" s="7" t="inlineStr">
        <is>
          <t>EXD52;LDW262</t>
        </is>
      </c>
      <c r="B5788" s="8" t="n">
        <v>46115.75</v>
      </c>
      <c r="C5788" s="8" t="n">
        <v>46115.93766203704</v>
      </c>
      <c r="D5788" s="9">
        <f>(C5788-B5788)*24</f>
        <v/>
      </c>
      <c r="E5788" s="10">
        <f>IF(AND(HOUR(B5788)&gt;=6,HOUR(B5788)&lt;18),"Day Shift","Night Shift")</f>
        <v/>
      </c>
      <c r="F5788" s="11">
        <f>INT(B5788)</f>
        <v/>
      </c>
      <c r="G5788" s="11">
        <f>INT(C5788)</f>
        <v/>
      </c>
    </row>
    <row r="5789">
      <c r="A5789" s="7" t="inlineStr">
        <is>
          <t>EDD175;EDD1932;EDD2134;EDD2541;EDD812</t>
        </is>
      </c>
      <c r="B5789" s="8" t="n">
        <v>46115.80532407408</v>
      </c>
      <c r="C5789" s="8" t="n">
        <v>46116.25</v>
      </c>
      <c r="D5789" s="9">
        <f>(C5789-B5789)*24</f>
        <v/>
      </c>
      <c r="E5789" s="10">
        <f>IF(AND(HOUR(B5789)&gt;=6,HOUR(B5789)&lt;18),"Day Shift","Night Shift")</f>
        <v/>
      </c>
      <c r="F5789" s="11">
        <f>INT(B5789)</f>
        <v/>
      </c>
      <c r="G5789" s="11">
        <f>INT(C5789)</f>
        <v/>
      </c>
    </row>
    <row r="5790">
      <c r="A5790" s="2" t="inlineStr">
        <is>
          <t>EDD175;EDD1932;EDD2134;EDD2541;EDD812</t>
        </is>
      </c>
      <c r="B5790" s="3" t="n">
        <v>46116.25</v>
      </c>
      <c r="C5790" s="3" t="n">
        <v>46116.75</v>
      </c>
      <c r="D5790" s="4">
        <f>(C5790-B5790)*24</f>
        <v/>
      </c>
      <c r="E5790" s="5">
        <f>IF(AND(HOUR(B5790)&gt;=6,HOUR(B5790)&lt;18),"Day Shift","Night Shift")</f>
        <v/>
      </c>
      <c r="F5790" s="6">
        <f>INT(B5790)</f>
        <v/>
      </c>
      <c r="G5790" s="6">
        <f>INT(C5790)</f>
        <v/>
      </c>
    </row>
    <row r="5791">
      <c r="A5791" s="7" t="inlineStr">
        <is>
          <t>EDD175;EDD1932;EDD2134;EDD2541;EDD812</t>
        </is>
      </c>
      <c r="B5791" s="8" t="n">
        <v>46116.75</v>
      </c>
      <c r="C5791" s="8" t="n">
        <v>46117.16871527778</v>
      </c>
      <c r="D5791" s="9">
        <f>(C5791-B5791)*24</f>
        <v/>
      </c>
      <c r="E5791" s="10">
        <f>IF(AND(HOUR(B5791)&gt;=6,HOUR(B5791)&lt;18),"Day Shift","Night Shift")</f>
        <v/>
      </c>
      <c r="F5791" s="11">
        <f>INT(B5791)</f>
        <v/>
      </c>
      <c r="G5791" s="11">
        <f>INT(C5791)</f>
        <v/>
      </c>
    </row>
    <row r="5792">
      <c r="A5792" s="7" t="inlineStr">
        <is>
          <t>EXD52;LDW262</t>
        </is>
      </c>
      <c r="B5792" s="8" t="n">
        <v>46116.00052083333</v>
      </c>
      <c r="C5792" s="8" t="n">
        <v>46116.25</v>
      </c>
      <c r="D5792" s="9">
        <f>(C5792-B5792)*24</f>
        <v/>
      </c>
      <c r="E5792" s="10">
        <f>IF(AND(HOUR(B5792)&gt;=6,HOUR(B5792)&lt;18),"Day Shift","Night Shift")</f>
        <v/>
      </c>
      <c r="F5792" s="11">
        <f>INT(B5792)</f>
        <v/>
      </c>
      <c r="G5792" s="11">
        <f>INT(C5792)</f>
        <v/>
      </c>
    </row>
    <row r="5793">
      <c r="A5793" s="2" t="inlineStr">
        <is>
          <t>EXD52;LDW262</t>
        </is>
      </c>
      <c r="B5793" s="3" t="n">
        <v>46116.25</v>
      </c>
      <c r="C5793" s="3" t="n">
        <v>46116.50730324074</v>
      </c>
      <c r="D5793" s="4">
        <f>(C5793-B5793)*24</f>
        <v/>
      </c>
      <c r="E5793" s="5">
        <f>IF(AND(HOUR(B5793)&gt;=6,HOUR(B5793)&lt;18),"Day Shift","Night Shift")</f>
        <v/>
      </c>
      <c r="F5793" s="6">
        <f>INT(B5793)</f>
        <v/>
      </c>
      <c r="G5793" s="6">
        <f>INT(C5793)</f>
        <v/>
      </c>
    </row>
    <row r="5794">
      <c r="A5794" s="7" t="inlineStr">
        <is>
          <t>EXD101</t>
        </is>
      </c>
      <c r="B5794" s="8" t="n">
        <v>46116.07232638889</v>
      </c>
      <c r="C5794" s="8" t="n">
        <v>46116.25</v>
      </c>
      <c r="D5794" s="9">
        <f>(C5794-B5794)*24</f>
        <v/>
      </c>
      <c r="E5794" s="10">
        <f>IF(AND(HOUR(B5794)&gt;=6,HOUR(B5794)&lt;18),"Day Shift","Night Shift")</f>
        <v/>
      </c>
      <c r="F5794" s="11">
        <f>INT(B5794)</f>
        <v/>
      </c>
      <c r="G5794" s="11">
        <f>INT(C5794)</f>
        <v/>
      </c>
    </row>
    <row r="5795">
      <c r="A5795" s="2" t="inlineStr">
        <is>
          <t>EXD101</t>
        </is>
      </c>
      <c r="B5795" s="3" t="n">
        <v>46116.25</v>
      </c>
      <c r="C5795" s="3" t="n">
        <v>46116.6719212963</v>
      </c>
      <c r="D5795" s="4">
        <f>(C5795-B5795)*24</f>
        <v/>
      </c>
      <c r="E5795" s="5">
        <f>IF(AND(HOUR(B5795)&gt;=6,HOUR(B5795)&lt;18),"Day Shift","Night Shift")</f>
        <v/>
      </c>
      <c r="F5795" s="6">
        <f>INT(B5795)</f>
        <v/>
      </c>
      <c r="G5795" s="6">
        <f>INT(C5795)</f>
        <v/>
      </c>
    </row>
    <row r="5796">
      <c r="A5796" s="7" t="inlineStr">
        <is>
          <t>SHE36</t>
        </is>
      </c>
      <c r="B5796" s="8" t="n">
        <v>46116.09141203704</v>
      </c>
      <c r="C5796" s="8" t="n">
        <v>46116.25</v>
      </c>
      <c r="D5796" s="9">
        <f>(C5796-B5796)*24</f>
        <v/>
      </c>
      <c r="E5796" s="10">
        <f>IF(AND(HOUR(B5796)&gt;=6,HOUR(B5796)&lt;18),"Day Shift","Night Shift")</f>
        <v/>
      </c>
      <c r="F5796" s="11">
        <f>INT(B5796)</f>
        <v/>
      </c>
      <c r="G5796" s="11">
        <f>INT(C5796)</f>
        <v/>
      </c>
    </row>
    <row r="5797">
      <c r="A5797" s="2" t="inlineStr">
        <is>
          <t>SHE36</t>
        </is>
      </c>
      <c r="B5797" s="3" t="n">
        <v>46116.25</v>
      </c>
      <c r="C5797" s="3" t="n">
        <v>46116.52578703704</v>
      </c>
      <c r="D5797" s="4">
        <f>(C5797-B5797)*24</f>
        <v/>
      </c>
      <c r="E5797" s="5">
        <f>IF(AND(HOUR(B5797)&gt;=6,HOUR(B5797)&lt;18),"Day Shift","Night Shift")</f>
        <v/>
      </c>
      <c r="F5797" s="6">
        <f>INT(B5797)</f>
        <v/>
      </c>
      <c r="G5797" s="6">
        <f>INT(C5797)</f>
        <v/>
      </c>
    </row>
    <row r="5798">
      <c r="A5798" s="7" t="inlineStr">
        <is>
          <t>EXD409</t>
        </is>
      </c>
      <c r="B5798" s="8" t="n">
        <v>46116.11594907408</v>
      </c>
      <c r="C5798" s="8" t="n">
        <v>46116.25</v>
      </c>
      <c r="D5798" s="9">
        <f>(C5798-B5798)*24</f>
        <v/>
      </c>
      <c r="E5798" s="10">
        <f>IF(AND(HOUR(B5798)&gt;=6,HOUR(B5798)&lt;18),"Day Shift","Night Shift")</f>
        <v/>
      </c>
      <c r="F5798" s="11">
        <f>INT(B5798)</f>
        <v/>
      </c>
      <c r="G5798" s="11">
        <f>INT(C5798)</f>
        <v/>
      </c>
    </row>
    <row r="5799">
      <c r="A5799" s="2" t="inlineStr">
        <is>
          <t>EXD409</t>
        </is>
      </c>
      <c r="B5799" s="3" t="n">
        <v>46116.25</v>
      </c>
      <c r="C5799" s="3" t="n">
        <v>46116.75</v>
      </c>
      <c r="D5799" s="4">
        <f>(C5799-B5799)*24</f>
        <v/>
      </c>
      <c r="E5799" s="5">
        <f>IF(AND(HOUR(B5799)&gt;=6,HOUR(B5799)&lt;18),"Day Shift","Night Shift")</f>
        <v/>
      </c>
      <c r="F5799" s="6">
        <f>INT(B5799)</f>
        <v/>
      </c>
      <c r="G5799" s="6">
        <f>INT(C5799)</f>
        <v/>
      </c>
    </row>
    <row r="5800">
      <c r="A5800" s="7" t="inlineStr">
        <is>
          <t>EXD409</t>
        </is>
      </c>
      <c r="B5800" s="8" t="n">
        <v>46116.75</v>
      </c>
      <c r="C5800" s="8" t="n">
        <v>46117.25</v>
      </c>
      <c r="D5800" s="9">
        <f>(C5800-B5800)*24</f>
        <v/>
      </c>
      <c r="E5800" s="10">
        <f>IF(AND(HOUR(B5800)&gt;=6,HOUR(B5800)&lt;18),"Day Shift","Night Shift")</f>
        <v/>
      </c>
      <c r="F5800" s="11">
        <f>INT(B5800)</f>
        <v/>
      </c>
      <c r="G5800" s="11">
        <f>INT(C5800)</f>
        <v/>
      </c>
    </row>
    <row r="5801">
      <c r="A5801" s="2" t="inlineStr">
        <is>
          <t>EXD409</t>
        </is>
      </c>
      <c r="B5801" s="3" t="n">
        <v>46117.25</v>
      </c>
      <c r="C5801" s="3" t="n">
        <v>46117.44307870371</v>
      </c>
      <c r="D5801" s="4">
        <f>(C5801-B5801)*24</f>
        <v/>
      </c>
      <c r="E5801" s="5">
        <f>IF(AND(HOUR(B5801)&gt;=6,HOUR(B5801)&lt;18),"Day Shift","Night Shift")</f>
        <v/>
      </c>
      <c r="F5801" s="6">
        <f>INT(B5801)</f>
        <v/>
      </c>
      <c r="G5801" s="6">
        <f>INT(C5801)</f>
        <v/>
      </c>
    </row>
    <row r="5802">
      <c r="A5802" s="7" t="inlineStr">
        <is>
          <t>EXD56</t>
        </is>
      </c>
      <c r="B5802" s="8" t="n">
        <v>46116.17650462963</v>
      </c>
      <c r="C5802" s="8" t="n">
        <v>46116.25</v>
      </c>
      <c r="D5802" s="9">
        <f>(C5802-B5802)*24</f>
        <v/>
      </c>
      <c r="E5802" s="10">
        <f>IF(AND(HOUR(B5802)&gt;=6,HOUR(B5802)&lt;18),"Day Shift","Night Shift")</f>
        <v/>
      </c>
      <c r="F5802" s="11">
        <f>INT(B5802)</f>
        <v/>
      </c>
      <c r="G5802" s="11">
        <f>INT(C5802)</f>
        <v/>
      </c>
    </row>
    <row r="5803">
      <c r="A5803" s="2" t="inlineStr">
        <is>
          <t>EXD56</t>
        </is>
      </c>
      <c r="B5803" s="3" t="n">
        <v>46116.25</v>
      </c>
      <c r="C5803" s="3" t="n">
        <v>46116.75</v>
      </c>
      <c r="D5803" s="4">
        <f>(C5803-B5803)*24</f>
        <v/>
      </c>
      <c r="E5803" s="5">
        <f>IF(AND(HOUR(B5803)&gt;=6,HOUR(B5803)&lt;18),"Day Shift","Night Shift")</f>
        <v/>
      </c>
      <c r="F5803" s="6">
        <f>INT(B5803)</f>
        <v/>
      </c>
      <c r="G5803" s="6">
        <f>INT(C5803)</f>
        <v/>
      </c>
    </row>
    <row r="5804">
      <c r="A5804" s="7" t="inlineStr">
        <is>
          <t>EXD56</t>
        </is>
      </c>
      <c r="B5804" s="8" t="n">
        <v>46116.75</v>
      </c>
      <c r="C5804" s="8" t="n">
        <v>46117.25</v>
      </c>
      <c r="D5804" s="9">
        <f>(C5804-B5804)*24</f>
        <v/>
      </c>
      <c r="E5804" s="10">
        <f>IF(AND(HOUR(B5804)&gt;=6,HOUR(B5804)&lt;18),"Day Shift","Night Shift")</f>
        <v/>
      </c>
      <c r="F5804" s="11">
        <f>INT(B5804)</f>
        <v/>
      </c>
      <c r="G5804" s="11">
        <f>INT(C5804)</f>
        <v/>
      </c>
    </row>
    <row r="5805">
      <c r="A5805" s="2" t="inlineStr">
        <is>
          <t>EXD56</t>
        </is>
      </c>
      <c r="B5805" s="3" t="n">
        <v>46117.25</v>
      </c>
      <c r="C5805" s="3" t="n">
        <v>46117.75</v>
      </c>
      <c r="D5805" s="4">
        <f>(C5805-B5805)*24</f>
        <v/>
      </c>
      <c r="E5805" s="5">
        <f>IF(AND(HOUR(B5805)&gt;=6,HOUR(B5805)&lt;18),"Day Shift","Night Shift")</f>
        <v/>
      </c>
      <c r="F5805" s="6">
        <f>INT(B5805)</f>
        <v/>
      </c>
      <c r="G5805" s="6">
        <f>INT(C5805)</f>
        <v/>
      </c>
    </row>
    <row r="5806">
      <c r="A5806" s="7" t="inlineStr">
        <is>
          <t>EXD56</t>
        </is>
      </c>
      <c r="B5806" s="8" t="n">
        <v>46117.75</v>
      </c>
      <c r="C5806" s="8" t="n">
        <v>46118.25</v>
      </c>
      <c r="D5806" s="9">
        <f>(C5806-B5806)*24</f>
        <v/>
      </c>
      <c r="E5806" s="10">
        <f>IF(AND(HOUR(B5806)&gt;=6,HOUR(B5806)&lt;18),"Day Shift","Night Shift")</f>
        <v/>
      </c>
      <c r="F5806" s="11">
        <f>INT(B5806)</f>
        <v/>
      </c>
      <c r="G5806" s="11">
        <f>INT(C5806)</f>
        <v/>
      </c>
    </row>
    <row r="5807">
      <c r="A5807" s="2" t="inlineStr">
        <is>
          <t>EXD56</t>
        </is>
      </c>
      <c r="B5807" s="3" t="n">
        <v>46118.25</v>
      </c>
      <c r="C5807" s="3" t="n">
        <v>46118.75</v>
      </c>
      <c r="D5807" s="4">
        <f>(C5807-B5807)*24</f>
        <v/>
      </c>
      <c r="E5807" s="5">
        <f>IF(AND(HOUR(B5807)&gt;=6,HOUR(B5807)&lt;18),"Day Shift","Night Shift")</f>
        <v/>
      </c>
      <c r="F5807" s="6">
        <f>INT(B5807)</f>
        <v/>
      </c>
      <c r="G5807" s="6">
        <f>INT(C5807)</f>
        <v/>
      </c>
    </row>
    <row r="5808">
      <c r="A5808" s="7" t="inlineStr">
        <is>
          <t>EXD56</t>
        </is>
      </c>
      <c r="B5808" s="8" t="n">
        <v>46118.75</v>
      </c>
      <c r="C5808" s="8" t="n">
        <v>46119.25</v>
      </c>
      <c r="D5808" s="9">
        <f>(C5808-B5808)*24</f>
        <v/>
      </c>
      <c r="E5808" s="10">
        <f>IF(AND(HOUR(B5808)&gt;=6,HOUR(B5808)&lt;18),"Day Shift","Night Shift")</f>
        <v/>
      </c>
      <c r="F5808" s="11">
        <f>INT(B5808)</f>
        <v/>
      </c>
      <c r="G5808" s="11">
        <f>INT(C5808)</f>
        <v/>
      </c>
    </row>
    <row r="5809">
      <c r="A5809" s="2" t="inlineStr">
        <is>
          <t>EXD56</t>
        </is>
      </c>
      <c r="B5809" s="3" t="n">
        <v>46119.25</v>
      </c>
      <c r="C5809" s="3" t="n">
        <v>46119.63903935185</v>
      </c>
      <c r="D5809" s="4">
        <f>(C5809-B5809)*24</f>
        <v/>
      </c>
      <c r="E5809" s="5">
        <f>IF(AND(HOUR(B5809)&gt;=6,HOUR(B5809)&lt;18),"Day Shift","Night Shift")</f>
        <v/>
      </c>
      <c r="F5809" s="6">
        <f>INT(B5809)</f>
        <v/>
      </c>
      <c r="G5809" s="6">
        <f>INT(C5809)</f>
        <v/>
      </c>
    </row>
    <row r="5810">
      <c r="A5810" s="7" t="inlineStr">
        <is>
          <t>EXD98</t>
        </is>
      </c>
      <c r="B5810" s="8" t="n">
        <v>46116.22730324074</v>
      </c>
      <c r="C5810" s="8" t="n">
        <v>46116.25</v>
      </c>
      <c r="D5810" s="9">
        <f>(C5810-B5810)*24</f>
        <v/>
      </c>
      <c r="E5810" s="10">
        <f>IF(AND(HOUR(B5810)&gt;=6,HOUR(B5810)&lt;18),"Day Shift","Night Shift")</f>
        <v/>
      </c>
      <c r="F5810" s="11">
        <f>INT(B5810)</f>
        <v/>
      </c>
      <c r="G5810" s="11">
        <f>INT(C5810)</f>
        <v/>
      </c>
    </row>
    <row r="5811">
      <c r="A5811" s="2" t="inlineStr">
        <is>
          <t>EXD98</t>
        </is>
      </c>
      <c r="B5811" s="3" t="n">
        <v>46116.25</v>
      </c>
      <c r="C5811" s="3" t="n">
        <v>46116.54704861111</v>
      </c>
      <c r="D5811" s="4">
        <f>(C5811-B5811)*24</f>
        <v/>
      </c>
      <c r="E5811" s="5">
        <f>IF(AND(HOUR(B5811)&gt;=6,HOUR(B5811)&lt;18),"Day Shift","Night Shift")</f>
        <v/>
      </c>
      <c r="F5811" s="6">
        <f>INT(B5811)</f>
        <v/>
      </c>
      <c r="G5811" s="6">
        <f>INT(C5811)</f>
        <v/>
      </c>
    </row>
    <row r="5812">
      <c r="A5812" s="7" t="inlineStr">
        <is>
          <t>Sprint 1</t>
        </is>
      </c>
      <c r="B5812" s="8" t="n">
        <v>46116.22876157407</v>
      </c>
      <c r="C5812" s="8" t="n">
        <v>46116.25</v>
      </c>
      <c r="D5812" s="9">
        <f>(C5812-B5812)*24</f>
        <v/>
      </c>
      <c r="E5812" s="10">
        <f>IF(AND(HOUR(B5812)&gt;=6,HOUR(B5812)&lt;18),"Day Shift","Night Shift")</f>
        <v/>
      </c>
      <c r="F5812" s="11">
        <f>INT(B5812)</f>
        <v/>
      </c>
      <c r="G5812" s="11">
        <f>INT(C5812)</f>
        <v/>
      </c>
    </row>
    <row r="5813">
      <c r="A5813" s="2" t="inlineStr">
        <is>
          <t>Sprint 1</t>
        </is>
      </c>
      <c r="B5813" s="3" t="n">
        <v>46116.25</v>
      </c>
      <c r="C5813" s="3" t="n">
        <v>46116.75</v>
      </c>
      <c r="D5813" s="4">
        <f>(C5813-B5813)*24</f>
        <v/>
      </c>
      <c r="E5813" s="5">
        <f>IF(AND(HOUR(B5813)&gt;=6,HOUR(B5813)&lt;18),"Day Shift","Night Shift")</f>
        <v/>
      </c>
      <c r="F5813" s="6">
        <f>INT(B5813)</f>
        <v/>
      </c>
      <c r="G5813" s="6">
        <f>INT(C5813)</f>
        <v/>
      </c>
    </row>
    <row r="5814">
      <c r="A5814" s="7" t="inlineStr">
        <is>
          <t>Sprint 1</t>
        </is>
      </c>
      <c r="B5814" s="8" t="n">
        <v>46116.75</v>
      </c>
      <c r="C5814" s="8" t="n">
        <v>46116.77560185185</v>
      </c>
      <c r="D5814" s="9">
        <f>(C5814-B5814)*24</f>
        <v/>
      </c>
      <c r="E5814" s="10">
        <f>IF(AND(HOUR(B5814)&gt;=6,HOUR(B5814)&lt;18),"Day Shift","Night Shift")</f>
        <v/>
      </c>
      <c r="F5814" s="11">
        <f>INT(B5814)</f>
        <v/>
      </c>
      <c r="G5814" s="11">
        <f>INT(C5814)</f>
        <v/>
      </c>
    </row>
    <row r="5815">
      <c r="A5815" s="2" t="inlineStr">
        <is>
          <t>EXD51</t>
        </is>
      </c>
      <c r="B5815" s="3" t="n">
        <v>46116.35820601852</v>
      </c>
      <c r="C5815" s="3" t="n">
        <v>46116.75</v>
      </c>
      <c r="D5815" s="4">
        <f>(C5815-B5815)*24</f>
        <v/>
      </c>
      <c r="E5815" s="5">
        <f>IF(AND(HOUR(B5815)&gt;=6,HOUR(B5815)&lt;18),"Day Shift","Night Shift")</f>
        <v/>
      </c>
      <c r="F5815" s="6">
        <f>INT(B5815)</f>
        <v/>
      </c>
      <c r="G5815" s="6">
        <f>INT(C5815)</f>
        <v/>
      </c>
    </row>
    <row r="5816">
      <c r="A5816" s="7" t="inlineStr">
        <is>
          <t>EXD51</t>
        </is>
      </c>
      <c r="B5816" s="8" t="n">
        <v>46116.75</v>
      </c>
      <c r="C5816" s="8" t="n">
        <v>46117.25</v>
      </c>
      <c r="D5816" s="9">
        <f>(C5816-B5816)*24</f>
        <v/>
      </c>
      <c r="E5816" s="10">
        <f>IF(AND(HOUR(B5816)&gt;=6,HOUR(B5816)&lt;18),"Day Shift","Night Shift")</f>
        <v/>
      </c>
      <c r="F5816" s="11">
        <f>INT(B5816)</f>
        <v/>
      </c>
      <c r="G5816" s="11">
        <f>INT(C5816)</f>
        <v/>
      </c>
    </row>
    <row r="5817">
      <c r="A5817" s="2" t="inlineStr">
        <is>
          <t>EXD51</t>
        </is>
      </c>
      <c r="B5817" s="3" t="n">
        <v>46117.25</v>
      </c>
      <c r="C5817" s="3" t="n">
        <v>46117.6609837963</v>
      </c>
      <c r="D5817" s="4">
        <f>(C5817-B5817)*24</f>
        <v/>
      </c>
      <c r="E5817" s="5">
        <f>IF(AND(HOUR(B5817)&gt;=6,HOUR(B5817)&lt;18),"Day Shift","Night Shift")</f>
        <v/>
      </c>
      <c r="F5817" s="6">
        <f>INT(B5817)</f>
        <v/>
      </c>
      <c r="G5817" s="6">
        <f>INT(C5817)</f>
        <v/>
      </c>
    </row>
    <row r="5818">
      <c r="A5818" s="2" t="inlineStr">
        <is>
          <t>EXD61</t>
        </is>
      </c>
      <c r="B5818" s="3" t="n">
        <v>46116.49466435185</v>
      </c>
      <c r="C5818" s="3" t="n">
        <v>46116.75</v>
      </c>
      <c r="D5818" s="4">
        <f>(C5818-B5818)*24</f>
        <v/>
      </c>
      <c r="E5818" s="5">
        <f>IF(AND(HOUR(B5818)&gt;=6,HOUR(B5818)&lt;18),"Day Shift","Night Shift")</f>
        <v/>
      </c>
      <c r="F5818" s="6">
        <f>INT(B5818)</f>
        <v/>
      </c>
      <c r="G5818" s="6">
        <f>INT(C5818)</f>
        <v/>
      </c>
    </row>
    <row r="5819">
      <c r="A5819" s="7" t="inlineStr">
        <is>
          <t>EXD61</t>
        </is>
      </c>
      <c r="B5819" s="8" t="n">
        <v>46116.75</v>
      </c>
      <c r="C5819" s="8" t="n">
        <v>46117.25</v>
      </c>
      <c r="D5819" s="9">
        <f>(C5819-B5819)*24</f>
        <v/>
      </c>
      <c r="E5819" s="10">
        <f>IF(AND(HOUR(B5819)&gt;=6,HOUR(B5819)&lt;18),"Day Shift","Night Shift")</f>
        <v/>
      </c>
      <c r="F5819" s="11">
        <f>INT(B5819)</f>
        <v/>
      </c>
      <c r="G5819" s="11">
        <f>INT(C5819)</f>
        <v/>
      </c>
    </row>
    <row r="5820">
      <c r="A5820" s="2" t="inlineStr">
        <is>
          <t>EXD61</t>
        </is>
      </c>
      <c r="B5820" s="3" t="n">
        <v>46117.25</v>
      </c>
      <c r="C5820" s="3" t="n">
        <v>46117.45978009259</v>
      </c>
      <c r="D5820" s="4">
        <f>(C5820-B5820)*24</f>
        <v/>
      </c>
      <c r="E5820" s="5">
        <f>IF(AND(HOUR(B5820)&gt;=6,HOUR(B5820)&lt;18),"Day Shift","Night Shift")</f>
        <v/>
      </c>
      <c r="F5820" s="6">
        <f>INT(B5820)</f>
        <v/>
      </c>
      <c r="G5820" s="6">
        <f>INT(C5820)</f>
        <v/>
      </c>
    </row>
    <row r="5821">
      <c r="A5821" s="2" t="inlineStr">
        <is>
          <t>EXD100</t>
        </is>
      </c>
      <c r="B5821" s="3" t="n">
        <v>46116.50671296296</v>
      </c>
      <c r="C5821" s="3" t="n">
        <v>46116.75</v>
      </c>
      <c r="D5821" s="4">
        <f>(C5821-B5821)*24</f>
        <v/>
      </c>
      <c r="E5821" s="5">
        <f>IF(AND(HOUR(B5821)&gt;=6,HOUR(B5821)&lt;18),"Day Shift","Night Shift")</f>
        <v/>
      </c>
      <c r="F5821" s="6">
        <f>INT(B5821)</f>
        <v/>
      </c>
      <c r="G5821" s="6">
        <f>INT(C5821)</f>
        <v/>
      </c>
    </row>
    <row r="5822">
      <c r="A5822" s="7" t="inlineStr">
        <is>
          <t>EXD100</t>
        </is>
      </c>
      <c r="B5822" s="8" t="n">
        <v>46116.75</v>
      </c>
      <c r="C5822" s="8" t="n">
        <v>46117.25</v>
      </c>
      <c r="D5822" s="9">
        <f>(C5822-B5822)*24</f>
        <v/>
      </c>
      <c r="E5822" s="10">
        <f>IF(AND(HOUR(B5822)&gt;=6,HOUR(B5822)&lt;18),"Day Shift","Night Shift")</f>
        <v/>
      </c>
      <c r="F5822" s="11">
        <f>INT(B5822)</f>
        <v/>
      </c>
      <c r="G5822" s="11">
        <f>INT(C5822)</f>
        <v/>
      </c>
    </row>
    <row r="5823">
      <c r="A5823" s="2" t="inlineStr">
        <is>
          <t>EXD100</t>
        </is>
      </c>
      <c r="B5823" s="3" t="n">
        <v>46117.25</v>
      </c>
      <c r="C5823" s="3" t="n">
        <v>46117.4834837963</v>
      </c>
      <c r="D5823" s="4">
        <f>(C5823-B5823)*24</f>
        <v/>
      </c>
      <c r="E5823" s="5">
        <f>IF(AND(HOUR(B5823)&gt;=6,HOUR(B5823)&lt;18),"Day Shift","Night Shift")</f>
        <v/>
      </c>
      <c r="F5823" s="6">
        <f>INT(B5823)</f>
        <v/>
      </c>
      <c r="G5823" s="6">
        <f>INT(C5823)</f>
        <v/>
      </c>
    </row>
    <row r="5824">
      <c r="A5824" s="2" t="inlineStr">
        <is>
          <t>SHE36</t>
        </is>
      </c>
      <c r="B5824" s="3" t="n">
        <v>46116.52578703704</v>
      </c>
      <c r="C5824" s="3" t="n">
        <v>46116.74255787037</v>
      </c>
      <c r="D5824" s="4">
        <f>(C5824-B5824)*24</f>
        <v/>
      </c>
      <c r="E5824" s="5">
        <f>IF(AND(HOUR(B5824)&gt;=6,HOUR(B5824)&lt;18),"Day Shift","Night Shift")</f>
        <v/>
      </c>
      <c r="F5824" s="6">
        <f>INT(B5824)</f>
        <v/>
      </c>
      <c r="G5824" s="6">
        <f>INT(C5824)</f>
        <v/>
      </c>
    </row>
    <row r="5825">
      <c r="A5825" s="2" t="inlineStr">
        <is>
          <t>EXD60</t>
        </is>
      </c>
      <c r="B5825" s="3" t="n">
        <v>46116.56026620371</v>
      </c>
      <c r="C5825" s="3" t="n">
        <v>46116.75</v>
      </c>
      <c r="D5825" s="4">
        <f>(C5825-B5825)*24</f>
        <v/>
      </c>
      <c r="E5825" s="5">
        <f>IF(AND(HOUR(B5825)&gt;=6,HOUR(B5825)&lt;18),"Day Shift","Night Shift")</f>
        <v/>
      </c>
      <c r="F5825" s="6">
        <f>INT(B5825)</f>
        <v/>
      </c>
      <c r="G5825" s="6">
        <f>INT(C5825)</f>
        <v/>
      </c>
    </row>
    <row r="5826">
      <c r="A5826" s="7" t="inlineStr">
        <is>
          <t>EXD60</t>
        </is>
      </c>
      <c r="B5826" s="8" t="n">
        <v>46116.75</v>
      </c>
      <c r="C5826" s="8" t="n">
        <v>46117.18127314815</v>
      </c>
      <c r="D5826" s="9">
        <f>(C5826-B5826)*24</f>
        <v/>
      </c>
      <c r="E5826" s="10">
        <f>IF(AND(HOUR(B5826)&gt;=6,HOUR(B5826)&lt;18),"Day Shift","Night Shift")</f>
        <v/>
      </c>
      <c r="F5826" s="11">
        <f>INT(B5826)</f>
        <v/>
      </c>
      <c r="G5826" s="11">
        <f>INT(C5826)</f>
        <v/>
      </c>
    </row>
    <row r="5827">
      <c r="A5827" s="2" t="inlineStr">
        <is>
          <t>LDW262</t>
        </is>
      </c>
      <c r="B5827" s="3" t="n">
        <v>46116.56379629629</v>
      </c>
      <c r="C5827" s="3" t="n">
        <v>46116.75</v>
      </c>
      <c r="D5827" s="4">
        <f>(C5827-B5827)*24</f>
        <v/>
      </c>
      <c r="E5827" s="5">
        <f>IF(AND(HOUR(B5827)&gt;=6,HOUR(B5827)&lt;18),"Day Shift","Night Shift")</f>
        <v/>
      </c>
      <c r="F5827" s="6">
        <f>INT(B5827)</f>
        <v/>
      </c>
      <c r="G5827" s="6">
        <f>INT(C5827)</f>
        <v/>
      </c>
    </row>
    <row r="5828">
      <c r="A5828" s="7" t="inlineStr">
        <is>
          <t>LDW262</t>
        </is>
      </c>
      <c r="B5828" s="8" t="n">
        <v>46116.75</v>
      </c>
      <c r="C5828" s="8" t="n">
        <v>46117.25</v>
      </c>
      <c r="D5828" s="9">
        <f>(C5828-B5828)*24</f>
        <v/>
      </c>
      <c r="E5828" s="10">
        <f>IF(AND(HOUR(B5828)&gt;=6,HOUR(B5828)&lt;18),"Day Shift","Night Shift")</f>
        <v/>
      </c>
      <c r="F5828" s="11">
        <f>INT(B5828)</f>
        <v/>
      </c>
      <c r="G5828" s="11">
        <f>INT(C5828)</f>
        <v/>
      </c>
    </row>
    <row r="5829">
      <c r="A5829" s="2" t="inlineStr">
        <is>
          <t>LDW262</t>
        </is>
      </c>
      <c r="B5829" s="3" t="n">
        <v>46117.25</v>
      </c>
      <c r="C5829" s="3" t="n">
        <v>46117.39377314815</v>
      </c>
      <c r="D5829" s="4">
        <f>(C5829-B5829)*24</f>
        <v/>
      </c>
      <c r="E5829" s="5">
        <f>IF(AND(HOUR(B5829)&gt;=6,HOUR(B5829)&lt;18),"Day Shift","Night Shift")</f>
        <v/>
      </c>
      <c r="F5829" s="6">
        <f>INT(B5829)</f>
        <v/>
      </c>
      <c r="G5829" s="6">
        <f>INT(C5829)</f>
        <v/>
      </c>
    </row>
    <row r="5830">
      <c r="A5830" s="2" t="inlineStr">
        <is>
          <t>EXD408</t>
        </is>
      </c>
      <c r="B5830" s="3" t="n">
        <v>46116.61275462963</v>
      </c>
      <c r="C5830" s="3" t="n">
        <v>46116.75</v>
      </c>
      <c r="D5830" s="4">
        <f>(C5830-B5830)*24</f>
        <v/>
      </c>
      <c r="E5830" s="5">
        <f>IF(AND(HOUR(B5830)&gt;=6,HOUR(B5830)&lt;18),"Day Shift","Night Shift")</f>
        <v/>
      </c>
      <c r="F5830" s="6">
        <f>INT(B5830)</f>
        <v/>
      </c>
      <c r="G5830" s="6">
        <f>INT(C5830)</f>
        <v/>
      </c>
    </row>
    <row r="5831">
      <c r="A5831" s="7" t="inlineStr">
        <is>
          <t>EXD408</t>
        </is>
      </c>
      <c r="B5831" s="8" t="n">
        <v>46116.75</v>
      </c>
      <c r="C5831" s="8" t="n">
        <v>46117.25</v>
      </c>
      <c r="D5831" s="9">
        <f>(C5831-B5831)*24</f>
        <v/>
      </c>
      <c r="E5831" s="10">
        <f>IF(AND(HOUR(B5831)&gt;=6,HOUR(B5831)&lt;18),"Day Shift","Night Shift")</f>
        <v/>
      </c>
      <c r="F5831" s="11">
        <f>INT(B5831)</f>
        <v/>
      </c>
      <c r="G5831" s="11">
        <f>INT(C5831)</f>
        <v/>
      </c>
    </row>
    <row r="5832">
      <c r="A5832" s="2" t="inlineStr">
        <is>
          <t>EXD408</t>
        </is>
      </c>
      <c r="B5832" s="3" t="n">
        <v>46117.25</v>
      </c>
      <c r="C5832" s="3" t="n">
        <v>46117.75</v>
      </c>
      <c r="D5832" s="4">
        <f>(C5832-B5832)*24</f>
        <v/>
      </c>
      <c r="E5832" s="5">
        <f>IF(AND(HOUR(B5832)&gt;=6,HOUR(B5832)&lt;18),"Day Shift","Night Shift")</f>
        <v/>
      </c>
      <c r="F5832" s="6">
        <f>INT(B5832)</f>
        <v/>
      </c>
      <c r="G5832" s="6">
        <f>INT(C5832)</f>
        <v/>
      </c>
    </row>
    <row r="5833">
      <c r="A5833" s="7" t="inlineStr">
        <is>
          <t>EXD408</t>
        </is>
      </c>
      <c r="B5833" s="8" t="n">
        <v>46117.75</v>
      </c>
      <c r="C5833" s="8" t="n">
        <v>46117.83785879629</v>
      </c>
      <c r="D5833" s="9">
        <f>(C5833-B5833)*24</f>
        <v/>
      </c>
      <c r="E5833" s="10">
        <f>IF(AND(HOUR(B5833)&gt;=6,HOUR(B5833)&lt;18),"Day Shift","Night Shift")</f>
        <v/>
      </c>
      <c r="F5833" s="11">
        <f>INT(B5833)</f>
        <v/>
      </c>
      <c r="G5833" s="11">
        <f>INT(C5833)</f>
        <v/>
      </c>
    </row>
    <row r="5834">
      <c r="A5834" s="2" t="inlineStr">
        <is>
          <t>DRE42</t>
        </is>
      </c>
      <c r="B5834" s="3" t="n">
        <v>46116.63310185185</v>
      </c>
      <c r="C5834" s="3" t="n">
        <v>46116.75</v>
      </c>
      <c r="D5834" s="4">
        <f>(C5834-B5834)*24</f>
        <v/>
      </c>
      <c r="E5834" s="5">
        <f>IF(AND(HOUR(B5834)&gt;=6,HOUR(B5834)&lt;18),"Day Shift","Night Shift")</f>
        <v/>
      </c>
      <c r="F5834" s="6">
        <f>INT(B5834)</f>
        <v/>
      </c>
      <c r="G5834" s="6">
        <f>INT(C5834)</f>
        <v/>
      </c>
    </row>
    <row r="5835">
      <c r="A5835" s="7" t="inlineStr">
        <is>
          <t>DRE42</t>
        </is>
      </c>
      <c r="B5835" s="8" t="n">
        <v>46116.75</v>
      </c>
      <c r="C5835" s="8" t="n">
        <v>46117.25</v>
      </c>
      <c r="D5835" s="9">
        <f>(C5835-B5835)*24</f>
        <v/>
      </c>
      <c r="E5835" s="10">
        <f>IF(AND(HOUR(B5835)&gt;=6,HOUR(B5835)&lt;18),"Day Shift","Night Shift")</f>
        <v/>
      </c>
      <c r="F5835" s="11">
        <f>INT(B5835)</f>
        <v/>
      </c>
      <c r="G5835" s="11">
        <f>INT(C5835)</f>
        <v/>
      </c>
    </row>
    <row r="5836">
      <c r="A5836" s="2" t="inlineStr">
        <is>
          <t>DRE42</t>
        </is>
      </c>
      <c r="B5836" s="3" t="n">
        <v>46117.25</v>
      </c>
      <c r="C5836" s="3" t="n">
        <v>46117.46600694444</v>
      </c>
      <c r="D5836" s="4">
        <f>(C5836-B5836)*24</f>
        <v/>
      </c>
      <c r="E5836" s="5">
        <f>IF(AND(HOUR(B5836)&gt;=6,HOUR(B5836)&lt;18),"Day Shift","Night Shift")</f>
        <v/>
      </c>
      <c r="F5836" s="6">
        <f>INT(B5836)</f>
        <v/>
      </c>
      <c r="G5836" s="6">
        <f>INT(C5836)</f>
        <v/>
      </c>
    </row>
    <row r="5837">
      <c r="A5837" s="2" t="inlineStr">
        <is>
          <t>EXD101</t>
        </is>
      </c>
      <c r="B5837" s="3" t="n">
        <v>46116.67208333333</v>
      </c>
      <c r="C5837" s="3" t="n">
        <v>46116.75</v>
      </c>
      <c r="D5837" s="4">
        <f>(C5837-B5837)*24</f>
        <v/>
      </c>
      <c r="E5837" s="5">
        <f>IF(AND(HOUR(B5837)&gt;=6,HOUR(B5837)&lt;18),"Day Shift","Night Shift")</f>
        <v/>
      </c>
      <c r="F5837" s="6">
        <f>INT(B5837)</f>
        <v/>
      </c>
      <c r="G5837" s="6">
        <f>INT(C5837)</f>
        <v/>
      </c>
    </row>
    <row r="5838">
      <c r="A5838" s="7" t="inlineStr">
        <is>
          <t>EXD101</t>
        </is>
      </c>
      <c r="B5838" s="8" t="n">
        <v>46116.75</v>
      </c>
      <c r="C5838" s="8" t="n">
        <v>46117.16182870371</v>
      </c>
      <c r="D5838" s="9">
        <f>(C5838-B5838)*24</f>
        <v/>
      </c>
      <c r="E5838" s="10">
        <f>IF(AND(HOUR(B5838)&gt;=6,HOUR(B5838)&lt;18),"Day Shift","Night Shift")</f>
        <v/>
      </c>
      <c r="F5838" s="11">
        <f>INT(B5838)</f>
        <v/>
      </c>
      <c r="G5838" s="11">
        <f>INT(C5838)</f>
        <v/>
      </c>
    </row>
    <row r="5839">
      <c r="A5839" s="2" t="inlineStr">
        <is>
          <t>SHE36</t>
        </is>
      </c>
      <c r="B5839" s="3" t="n">
        <v>46116.74255787037</v>
      </c>
      <c r="C5839" s="3" t="n">
        <v>46116.75</v>
      </c>
      <c r="D5839" s="4">
        <f>(C5839-B5839)*24</f>
        <v/>
      </c>
      <c r="E5839" s="5">
        <f>IF(AND(HOUR(B5839)&gt;=6,HOUR(B5839)&lt;18),"Day Shift","Night Shift")</f>
        <v/>
      </c>
      <c r="F5839" s="6">
        <f>INT(B5839)</f>
        <v/>
      </c>
      <c r="G5839" s="6">
        <f>INT(C5839)</f>
        <v/>
      </c>
    </row>
    <row r="5840">
      <c r="A5840" s="7" t="inlineStr">
        <is>
          <t>SHE36</t>
        </is>
      </c>
      <c r="B5840" s="8" t="n">
        <v>46116.75</v>
      </c>
      <c r="C5840" s="8" t="n">
        <v>46116.96637731481</v>
      </c>
      <c r="D5840" s="9">
        <f>(C5840-B5840)*24</f>
        <v/>
      </c>
      <c r="E5840" s="10">
        <f>IF(AND(HOUR(B5840)&gt;=6,HOUR(B5840)&lt;18),"Day Shift","Night Shift")</f>
        <v/>
      </c>
      <c r="F5840" s="11">
        <f>INT(B5840)</f>
        <v/>
      </c>
      <c r="G5840" s="11">
        <f>INT(C5840)</f>
        <v/>
      </c>
    </row>
    <row r="5841">
      <c r="A5841" s="7" t="inlineStr">
        <is>
          <t>Sprint 1</t>
        </is>
      </c>
      <c r="B5841" s="8" t="n">
        <v>46116.77560185185</v>
      </c>
      <c r="C5841" s="8" t="n">
        <v>46117.25</v>
      </c>
      <c r="D5841" s="9">
        <f>(C5841-B5841)*24</f>
        <v/>
      </c>
      <c r="E5841" s="10">
        <f>IF(AND(HOUR(B5841)&gt;=6,HOUR(B5841)&lt;18),"Day Shift","Night Shift")</f>
        <v/>
      </c>
      <c r="F5841" s="11">
        <f>INT(B5841)</f>
        <v/>
      </c>
      <c r="G5841" s="11">
        <f>INT(C5841)</f>
        <v/>
      </c>
    </row>
    <row r="5842">
      <c r="A5842" s="2" t="inlineStr">
        <is>
          <t>Sprint 1</t>
        </is>
      </c>
      <c r="B5842" s="3" t="n">
        <v>46117.25</v>
      </c>
      <c r="C5842" s="3" t="n">
        <v>46117.61484953704</v>
      </c>
      <c r="D5842" s="4">
        <f>(C5842-B5842)*24</f>
        <v/>
      </c>
      <c r="E5842" s="5">
        <f>IF(AND(HOUR(B5842)&gt;=6,HOUR(B5842)&lt;18),"Day Shift","Night Shift")</f>
        <v/>
      </c>
      <c r="F5842" s="6">
        <f>INT(B5842)</f>
        <v/>
      </c>
      <c r="G5842" s="6">
        <f>INT(C5842)</f>
        <v/>
      </c>
    </row>
    <row r="5843">
      <c r="A5843" s="7" t="inlineStr">
        <is>
          <t>LDW265</t>
        </is>
      </c>
      <c r="B5843" s="8" t="n">
        <v>46116.88288194445</v>
      </c>
      <c r="C5843" s="8" t="n">
        <v>46117.25</v>
      </c>
      <c r="D5843" s="9">
        <f>(C5843-B5843)*24</f>
        <v/>
      </c>
      <c r="E5843" s="10">
        <f>IF(AND(HOUR(B5843)&gt;=6,HOUR(B5843)&lt;18),"Day Shift","Night Shift")</f>
        <v/>
      </c>
      <c r="F5843" s="11">
        <f>INT(B5843)</f>
        <v/>
      </c>
      <c r="G5843" s="11">
        <f>INT(C5843)</f>
        <v/>
      </c>
    </row>
    <row r="5844">
      <c r="A5844" s="2" t="inlineStr">
        <is>
          <t>LDW265</t>
        </is>
      </c>
      <c r="B5844" s="3" t="n">
        <v>46117.25</v>
      </c>
      <c r="C5844" s="3" t="n">
        <v>46117.75</v>
      </c>
      <c r="D5844" s="4">
        <f>(C5844-B5844)*24</f>
        <v/>
      </c>
      <c r="E5844" s="5">
        <f>IF(AND(HOUR(B5844)&gt;=6,HOUR(B5844)&lt;18),"Day Shift","Night Shift")</f>
        <v/>
      </c>
      <c r="F5844" s="6">
        <f>INT(B5844)</f>
        <v/>
      </c>
      <c r="G5844" s="6">
        <f>INT(C5844)</f>
        <v/>
      </c>
    </row>
    <row r="5845">
      <c r="A5845" s="7" t="inlineStr">
        <is>
          <t>LDW265</t>
        </is>
      </c>
      <c r="B5845" s="8" t="n">
        <v>46117.75</v>
      </c>
      <c r="C5845" s="8" t="n">
        <v>46118.03413194444</v>
      </c>
      <c r="D5845" s="9">
        <f>(C5845-B5845)*24</f>
        <v/>
      </c>
      <c r="E5845" s="10">
        <f>IF(AND(HOUR(B5845)&gt;=6,HOUR(B5845)&lt;18),"Day Shift","Night Shift")</f>
        <v/>
      </c>
      <c r="F5845" s="11">
        <f>INT(B5845)</f>
        <v/>
      </c>
      <c r="G5845" s="11">
        <f>INT(C5845)</f>
        <v/>
      </c>
    </row>
    <row r="5846">
      <c r="A5846" s="7" t="inlineStr">
        <is>
          <t>EXD98</t>
        </is>
      </c>
      <c r="B5846" s="8" t="n">
        <v>46116.97957175926</v>
      </c>
      <c r="C5846" s="8" t="n">
        <v>46117.25</v>
      </c>
      <c r="D5846" s="9">
        <f>(C5846-B5846)*24</f>
        <v/>
      </c>
      <c r="E5846" s="10">
        <f>IF(AND(HOUR(B5846)&gt;=6,HOUR(B5846)&lt;18),"Day Shift","Night Shift")</f>
        <v/>
      </c>
      <c r="F5846" s="11">
        <f>INT(B5846)</f>
        <v/>
      </c>
      <c r="G5846" s="11">
        <f>INT(C5846)</f>
        <v/>
      </c>
    </row>
    <row r="5847">
      <c r="A5847" s="2" t="inlineStr">
        <is>
          <t>EXD98</t>
        </is>
      </c>
      <c r="B5847" s="3" t="n">
        <v>46117.25</v>
      </c>
      <c r="C5847" s="3" t="n">
        <v>46117.37909722222</v>
      </c>
      <c r="D5847" s="4">
        <f>(C5847-B5847)*24</f>
        <v/>
      </c>
      <c r="E5847" s="5">
        <f>IF(AND(HOUR(B5847)&gt;=6,HOUR(B5847)&lt;18),"Day Shift","Night Shift")</f>
        <v/>
      </c>
      <c r="F5847" s="6">
        <f>INT(B5847)</f>
        <v/>
      </c>
      <c r="G5847" s="6">
        <f>INT(C5847)</f>
        <v/>
      </c>
    </row>
    <row r="5848">
      <c r="A5848" s="7" t="inlineStr">
        <is>
          <t>SHE36</t>
        </is>
      </c>
      <c r="B5848" s="8" t="n">
        <v>46117.15125</v>
      </c>
      <c r="C5848" s="8" t="n">
        <v>46117.25</v>
      </c>
      <c r="D5848" s="9">
        <f>(C5848-B5848)*24</f>
        <v/>
      </c>
      <c r="E5848" s="10">
        <f>IF(AND(HOUR(B5848)&gt;=6,HOUR(B5848)&lt;18),"Day Shift","Night Shift")</f>
        <v/>
      </c>
      <c r="F5848" s="11">
        <f>INT(B5848)</f>
        <v/>
      </c>
      <c r="G5848" s="11">
        <f>INT(C5848)</f>
        <v/>
      </c>
    </row>
    <row r="5849">
      <c r="A5849" s="2" t="inlineStr">
        <is>
          <t>SHE36</t>
        </is>
      </c>
      <c r="B5849" s="3" t="n">
        <v>46117.25</v>
      </c>
      <c r="C5849" s="3" t="n">
        <v>46117.458125</v>
      </c>
      <c r="D5849" s="4">
        <f>(C5849-B5849)*24</f>
        <v/>
      </c>
      <c r="E5849" s="5">
        <f>IF(AND(HOUR(B5849)&gt;=6,HOUR(B5849)&lt;18),"Day Shift","Night Shift")</f>
        <v/>
      </c>
      <c r="F5849" s="6">
        <f>INT(B5849)</f>
        <v/>
      </c>
      <c r="G5849" s="6">
        <f>INT(C5849)</f>
        <v/>
      </c>
    </row>
    <row r="5850">
      <c r="A5850" s="7" t="inlineStr">
        <is>
          <t>EDD175;EDD1932;EDD2134;EDD2541;EDD812</t>
        </is>
      </c>
      <c r="B5850" s="8" t="n">
        <v>46117.16871527778</v>
      </c>
      <c r="C5850" s="8" t="n">
        <v>46117.25</v>
      </c>
      <c r="D5850" s="9">
        <f>(C5850-B5850)*24</f>
        <v/>
      </c>
      <c r="E5850" s="10">
        <f>IF(AND(HOUR(B5850)&gt;=6,HOUR(B5850)&lt;18),"Day Shift","Night Shift")</f>
        <v/>
      </c>
      <c r="F5850" s="11">
        <f>INT(B5850)</f>
        <v/>
      </c>
      <c r="G5850" s="11">
        <f>INT(C5850)</f>
        <v/>
      </c>
    </row>
    <row r="5851">
      <c r="A5851" s="2" t="inlineStr">
        <is>
          <t>EDD175;EDD1932;EDD2134;EDD2541;EDD812</t>
        </is>
      </c>
      <c r="B5851" s="3" t="n">
        <v>46117.25</v>
      </c>
      <c r="C5851" s="3" t="n">
        <v>46117.75</v>
      </c>
      <c r="D5851" s="4">
        <f>(C5851-B5851)*24</f>
        <v/>
      </c>
      <c r="E5851" s="5">
        <f>IF(AND(HOUR(B5851)&gt;=6,HOUR(B5851)&lt;18),"Day Shift","Night Shift")</f>
        <v/>
      </c>
      <c r="F5851" s="6">
        <f>INT(B5851)</f>
        <v/>
      </c>
      <c r="G5851" s="6">
        <f>INT(C5851)</f>
        <v/>
      </c>
    </row>
    <row r="5852">
      <c r="A5852" s="7" t="inlineStr">
        <is>
          <t>EDD175;EDD1932;EDD2134;EDD2541;EDD812</t>
        </is>
      </c>
      <c r="B5852" s="8" t="n">
        <v>46117.75</v>
      </c>
      <c r="C5852" s="8" t="n">
        <v>46118.25</v>
      </c>
      <c r="D5852" s="9">
        <f>(C5852-B5852)*24</f>
        <v/>
      </c>
      <c r="E5852" s="10">
        <f>IF(AND(HOUR(B5852)&gt;=6,HOUR(B5852)&lt;18),"Day Shift","Night Shift")</f>
        <v/>
      </c>
      <c r="F5852" s="11">
        <f>INT(B5852)</f>
        <v/>
      </c>
      <c r="G5852" s="11">
        <f>INT(C5852)</f>
        <v/>
      </c>
    </row>
    <row r="5853">
      <c r="A5853" s="2" t="inlineStr">
        <is>
          <t>EDD175;EDD1932;EDD2134;EDD2541;EDD812</t>
        </is>
      </c>
      <c r="B5853" s="3" t="n">
        <v>46118.25</v>
      </c>
      <c r="C5853" s="3" t="n">
        <v>46118.75</v>
      </c>
      <c r="D5853" s="4">
        <f>(C5853-B5853)*24</f>
        <v/>
      </c>
      <c r="E5853" s="5">
        <f>IF(AND(HOUR(B5853)&gt;=6,HOUR(B5853)&lt;18),"Day Shift","Night Shift")</f>
        <v/>
      </c>
      <c r="F5853" s="6">
        <f>INT(B5853)</f>
        <v/>
      </c>
      <c r="G5853" s="6">
        <f>INT(C5853)</f>
        <v/>
      </c>
    </row>
    <row r="5854">
      <c r="A5854" s="7" t="inlineStr">
        <is>
          <t>EDD175;EDD1932;EDD2134;EDD2541;EDD812</t>
        </is>
      </c>
      <c r="B5854" s="8" t="n">
        <v>46118.75</v>
      </c>
      <c r="C5854" s="8" t="n">
        <v>46119.25</v>
      </c>
      <c r="D5854" s="9">
        <f>(C5854-B5854)*24</f>
        <v/>
      </c>
      <c r="E5854" s="10">
        <f>IF(AND(HOUR(B5854)&gt;=6,HOUR(B5854)&lt;18),"Day Shift","Night Shift")</f>
        <v/>
      </c>
      <c r="F5854" s="11">
        <f>INT(B5854)</f>
        <v/>
      </c>
      <c r="G5854" s="11">
        <f>INT(C5854)</f>
        <v/>
      </c>
    </row>
    <row r="5855">
      <c r="A5855" s="2" t="inlineStr">
        <is>
          <t>EDD175;EDD1932;EDD2134;EDD2541;EDD812</t>
        </is>
      </c>
      <c r="B5855" s="3" t="n">
        <v>46119.25</v>
      </c>
      <c r="C5855" s="3" t="n">
        <v>46119.63768518518</v>
      </c>
      <c r="D5855" s="4">
        <f>(C5855-B5855)*24</f>
        <v/>
      </c>
      <c r="E5855" s="5">
        <f>IF(AND(HOUR(B5855)&gt;=6,HOUR(B5855)&lt;18),"Day Shift","Night Shift")</f>
        <v/>
      </c>
      <c r="F5855" s="6">
        <f>INT(B5855)</f>
        <v/>
      </c>
      <c r="G5855" s="6">
        <f>INT(C5855)</f>
        <v/>
      </c>
    </row>
    <row r="5856">
      <c r="A5856" s="7" t="inlineStr">
        <is>
          <t>EXD60</t>
        </is>
      </c>
      <c r="B5856" s="8" t="n">
        <v>46117.18127314815</v>
      </c>
      <c r="C5856" s="8" t="n">
        <v>46117.25</v>
      </c>
      <c r="D5856" s="9">
        <f>(C5856-B5856)*24</f>
        <v/>
      </c>
      <c r="E5856" s="10">
        <f>IF(AND(HOUR(B5856)&gt;=6,HOUR(B5856)&lt;18),"Day Shift","Night Shift")</f>
        <v/>
      </c>
      <c r="F5856" s="11">
        <f>INT(B5856)</f>
        <v/>
      </c>
      <c r="G5856" s="11">
        <f>INT(C5856)</f>
        <v/>
      </c>
    </row>
    <row r="5857">
      <c r="A5857" s="2" t="inlineStr">
        <is>
          <t>EXD60</t>
        </is>
      </c>
      <c r="B5857" s="3" t="n">
        <v>46117.25</v>
      </c>
      <c r="C5857" s="3" t="n">
        <v>46117.75</v>
      </c>
      <c r="D5857" s="4">
        <f>(C5857-B5857)*24</f>
        <v/>
      </c>
      <c r="E5857" s="5">
        <f>IF(AND(HOUR(B5857)&gt;=6,HOUR(B5857)&lt;18),"Day Shift","Night Shift")</f>
        <v/>
      </c>
      <c r="F5857" s="6">
        <f>INT(B5857)</f>
        <v/>
      </c>
      <c r="G5857" s="6">
        <f>INT(C5857)</f>
        <v/>
      </c>
    </row>
    <row r="5858">
      <c r="A5858" s="7" t="inlineStr">
        <is>
          <t>EXD60</t>
        </is>
      </c>
      <c r="B5858" s="8" t="n">
        <v>46117.75</v>
      </c>
      <c r="C5858" s="8" t="n">
        <v>46118.25</v>
      </c>
      <c r="D5858" s="9">
        <f>(C5858-B5858)*24</f>
        <v/>
      </c>
      <c r="E5858" s="10">
        <f>IF(AND(HOUR(B5858)&gt;=6,HOUR(B5858)&lt;18),"Day Shift","Night Shift")</f>
        <v/>
      </c>
      <c r="F5858" s="11">
        <f>INT(B5858)</f>
        <v/>
      </c>
      <c r="G5858" s="11">
        <f>INT(C5858)</f>
        <v/>
      </c>
    </row>
    <row r="5859">
      <c r="A5859" s="2" t="inlineStr">
        <is>
          <t>EXD60</t>
        </is>
      </c>
      <c r="B5859" s="3" t="n">
        <v>46118.25</v>
      </c>
      <c r="C5859" s="3" t="n">
        <v>46118.75</v>
      </c>
      <c r="D5859" s="4">
        <f>(C5859-B5859)*24</f>
        <v/>
      </c>
      <c r="E5859" s="5">
        <f>IF(AND(HOUR(B5859)&gt;=6,HOUR(B5859)&lt;18),"Day Shift","Night Shift")</f>
        <v/>
      </c>
      <c r="F5859" s="6">
        <f>INT(B5859)</f>
        <v/>
      </c>
      <c r="G5859" s="6">
        <f>INT(C5859)</f>
        <v/>
      </c>
    </row>
    <row r="5860">
      <c r="A5860" s="7" t="inlineStr">
        <is>
          <t>EXD60</t>
        </is>
      </c>
      <c r="B5860" s="8" t="n">
        <v>46118.75</v>
      </c>
      <c r="C5860" s="8" t="n">
        <v>46119.25</v>
      </c>
      <c r="D5860" s="9">
        <f>(C5860-B5860)*24</f>
        <v/>
      </c>
      <c r="E5860" s="10">
        <f>IF(AND(HOUR(B5860)&gt;=6,HOUR(B5860)&lt;18),"Day Shift","Night Shift")</f>
        <v/>
      </c>
      <c r="F5860" s="11">
        <f>INT(B5860)</f>
        <v/>
      </c>
      <c r="G5860" s="11">
        <f>INT(C5860)</f>
        <v/>
      </c>
    </row>
    <row r="5861">
      <c r="A5861" s="2" t="inlineStr">
        <is>
          <t>EXD60</t>
        </is>
      </c>
      <c r="B5861" s="3" t="n">
        <v>46119.25</v>
      </c>
      <c r="C5861" s="3" t="n">
        <v>46119.51447916667</v>
      </c>
      <c r="D5861" s="4">
        <f>(C5861-B5861)*24</f>
        <v/>
      </c>
      <c r="E5861" s="5">
        <f>IF(AND(HOUR(B5861)&gt;=6,HOUR(B5861)&lt;18),"Day Shift","Night Shift")</f>
        <v/>
      </c>
      <c r="F5861" s="6">
        <f>INT(B5861)</f>
        <v/>
      </c>
      <c r="G5861" s="6">
        <f>INT(C5861)</f>
        <v/>
      </c>
    </row>
    <row r="5862">
      <c r="A5862" s="7" t="inlineStr">
        <is>
          <t>EXD73</t>
        </is>
      </c>
      <c r="B5862" s="8" t="n">
        <v>46117.20297453704</v>
      </c>
      <c r="C5862" s="8" t="n">
        <v>46117.25</v>
      </c>
      <c r="D5862" s="9">
        <f>(C5862-B5862)*24</f>
        <v/>
      </c>
      <c r="E5862" s="10">
        <f>IF(AND(HOUR(B5862)&gt;=6,HOUR(B5862)&lt;18),"Day Shift","Night Shift")</f>
        <v/>
      </c>
      <c r="F5862" s="11">
        <f>INT(B5862)</f>
        <v/>
      </c>
      <c r="G5862" s="11">
        <f>INT(C5862)</f>
        <v/>
      </c>
    </row>
    <row r="5863">
      <c r="A5863" s="2" t="inlineStr">
        <is>
          <t>EXD73</t>
        </is>
      </c>
      <c r="B5863" s="3" t="n">
        <v>46117.25</v>
      </c>
      <c r="C5863" s="3" t="n">
        <v>46117.75</v>
      </c>
      <c r="D5863" s="4">
        <f>(C5863-B5863)*24</f>
        <v/>
      </c>
      <c r="E5863" s="5">
        <f>IF(AND(HOUR(B5863)&gt;=6,HOUR(B5863)&lt;18),"Day Shift","Night Shift")</f>
        <v/>
      </c>
      <c r="F5863" s="6">
        <f>INT(B5863)</f>
        <v/>
      </c>
      <c r="G5863" s="6">
        <f>INT(C5863)</f>
        <v/>
      </c>
    </row>
    <row r="5864">
      <c r="A5864" s="7" t="inlineStr">
        <is>
          <t>EXD73</t>
        </is>
      </c>
      <c r="B5864" s="8" t="n">
        <v>46117.75</v>
      </c>
      <c r="C5864" s="8" t="n">
        <v>46118.25</v>
      </c>
      <c r="D5864" s="9">
        <f>(C5864-B5864)*24</f>
        <v/>
      </c>
      <c r="E5864" s="10">
        <f>IF(AND(HOUR(B5864)&gt;=6,HOUR(B5864)&lt;18),"Day Shift","Night Shift")</f>
        <v/>
      </c>
      <c r="F5864" s="11">
        <f>INT(B5864)</f>
        <v/>
      </c>
      <c r="G5864" s="11">
        <f>INT(C5864)</f>
        <v/>
      </c>
    </row>
    <row r="5865">
      <c r="A5865" s="2" t="inlineStr">
        <is>
          <t>EXD73</t>
        </is>
      </c>
      <c r="B5865" s="3" t="n">
        <v>46118.25</v>
      </c>
      <c r="C5865" s="3" t="n">
        <v>46118.75</v>
      </c>
      <c r="D5865" s="4">
        <f>(C5865-B5865)*24</f>
        <v/>
      </c>
      <c r="E5865" s="5">
        <f>IF(AND(HOUR(B5865)&gt;=6,HOUR(B5865)&lt;18),"Day Shift","Night Shift")</f>
        <v/>
      </c>
      <c r="F5865" s="6">
        <f>INT(B5865)</f>
        <v/>
      </c>
      <c r="G5865" s="6">
        <f>INT(C5865)</f>
        <v/>
      </c>
    </row>
    <row r="5866">
      <c r="A5866" s="7" t="inlineStr">
        <is>
          <t>EXD73</t>
        </is>
      </c>
      <c r="B5866" s="8" t="n">
        <v>46118.75</v>
      </c>
      <c r="C5866" s="8" t="n">
        <v>46119.1524537037</v>
      </c>
      <c r="D5866" s="9">
        <f>(C5866-B5866)*24</f>
        <v/>
      </c>
      <c r="E5866" s="10">
        <f>IF(AND(HOUR(B5866)&gt;=6,HOUR(B5866)&lt;18),"Day Shift","Night Shift")</f>
        <v/>
      </c>
      <c r="F5866" s="11">
        <f>INT(B5866)</f>
        <v/>
      </c>
      <c r="G5866" s="11">
        <f>INT(C5866)</f>
        <v/>
      </c>
    </row>
    <row r="5867">
      <c r="A5867" s="7" t="inlineStr">
        <is>
          <t>EXD101</t>
        </is>
      </c>
      <c r="B5867" s="8" t="n">
        <v>46117.20677083333</v>
      </c>
      <c r="C5867" s="8" t="n">
        <v>46117.25</v>
      </c>
      <c r="D5867" s="9">
        <f>(C5867-B5867)*24</f>
        <v/>
      </c>
      <c r="E5867" s="10">
        <f>IF(AND(HOUR(B5867)&gt;=6,HOUR(B5867)&lt;18),"Day Shift","Night Shift")</f>
        <v/>
      </c>
      <c r="F5867" s="11">
        <f>INT(B5867)</f>
        <v/>
      </c>
      <c r="G5867" s="11">
        <f>INT(C5867)</f>
        <v/>
      </c>
    </row>
    <row r="5868">
      <c r="A5868" s="2" t="inlineStr">
        <is>
          <t>EXD101</t>
        </is>
      </c>
      <c r="B5868" s="3" t="n">
        <v>46117.25</v>
      </c>
      <c r="C5868" s="3" t="n">
        <v>46117.57232638889</v>
      </c>
      <c r="D5868" s="4">
        <f>(C5868-B5868)*24</f>
        <v/>
      </c>
      <c r="E5868" s="5">
        <f>IF(AND(HOUR(B5868)&gt;=6,HOUR(B5868)&lt;18),"Day Shift","Night Shift")</f>
        <v/>
      </c>
      <c r="F5868" s="6">
        <f>INT(B5868)</f>
        <v/>
      </c>
      <c r="G5868" s="6">
        <f>INT(C5868)</f>
        <v/>
      </c>
    </row>
    <row r="5869">
      <c r="A5869" s="2" t="inlineStr">
        <is>
          <t>R04S Blockage</t>
        </is>
      </c>
      <c r="B5869" s="3" t="n">
        <v>46117.25</v>
      </c>
      <c r="C5869" s="3" t="n">
        <v>46117.75</v>
      </c>
      <c r="D5869" s="4">
        <f>(C5869-B5869)*24</f>
        <v/>
      </c>
      <c r="E5869" s="5">
        <f>IF(AND(HOUR(B5869)&gt;=6,HOUR(B5869)&lt;18),"Day Shift","Night Shift")</f>
        <v/>
      </c>
      <c r="F5869" s="6">
        <f>INT(B5869)</f>
        <v/>
      </c>
      <c r="G5869" s="6">
        <f>INT(C5869)</f>
        <v/>
      </c>
    </row>
    <row r="5870">
      <c r="A5870" s="7" t="inlineStr">
        <is>
          <t>R04S Blockage</t>
        </is>
      </c>
      <c r="B5870" s="8" t="n">
        <v>46117.75</v>
      </c>
      <c r="C5870" s="8" t="n">
        <v>46118.25</v>
      </c>
      <c r="D5870" s="9">
        <f>(C5870-B5870)*24</f>
        <v/>
      </c>
      <c r="E5870" s="10">
        <f>IF(AND(HOUR(B5870)&gt;=6,HOUR(B5870)&lt;18),"Day Shift","Night Shift")</f>
        <v/>
      </c>
      <c r="F5870" s="11">
        <f>INT(B5870)</f>
        <v/>
      </c>
      <c r="G5870" s="11">
        <f>INT(C5870)</f>
        <v/>
      </c>
    </row>
    <row r="5871">
      <c r="A5871" s="2" t="inlineStr">
        <is>
          <t>R04S Blockage</t>
        </is>
      </c>
      <c r="B5871" s="3" t="n">
        <v>46118.25</v>
      </c>
      <c r="C5871" s="3" t="n">
        <v>46118.75</v>
      </c>
      <c r="D5871" s="4">
        <f>(C5871-B5871)*24</f>
        <v/>
      </c>
      <c r="E5871" s="5">
        <f>IF(AND(HOUR(B5871)&gt;=6,HOUR(B5871)&lt;18),"Day Shift","Night Shift")</f>
        <v/>
      </c>
      <c r="F5871" s="6">
        <f>INT(B5871)</f>
        <v/>
      </c>
      <c r="G5871" s="6">
        <f>INT(C5871)</f>
        <v/>
      </c>
    </row>
    <row r="5872">
      <c r="A5872" s="7" t="inlineStr">
        <is>
          <t>R04S Blockage</t>
        </is>
      </c>
      <c r="B5872" s="8" t="n">
        <v>46118.75</v>
      </c>
      <c r="C5872" s="8" t="n">
        <v>46119.25</v>
      </c>
      <c r="D5872" s="9">
        <f>(C5872-B5872)*24</f>
        <v/>
      </c>
      <c r="E5872" s="10">
        <f>IF(AND(HOUR(B5872)&gt;=6,HOUR(B5872)&lt;18),"Day Shift","Night Shift")</f>
        <v/>
      </c>
      <c r="F5872" s="11">
        <f>INT(B5872)</f>
        <v/>
      </c>
      <c r="G5872" s="11">
        <f>INT(C5872)</f>
        <v/>
      </c>
    </row>
    <row r="5873">
      <c r="A5873" s="2" t="inlineStr">
        <is>
          <t>R04S Blockage</t>
        </is>
      </c>
      <c r="B5873" s="3" t="n">
        <v>46119.25</v>
      </c>
      <c r="C5873" s="3" t="n">
        <v>46119.75</v>
      </c>
      <c r="D5873" s="4">
        <f>(C5873-B5873)*24</f>
        <v/>
      </c>
      <c r="E5873" s="5">
        <f>IF(AND(HOUR(B5873)&gt;=6,HOUR(B5873)&lt;18),"Day Shift","Night Shift")</f>
        <v/>
      </c>
      <c r="F5873" s="6">
        <f>INT(B5873)</f>
        <v/>
      </c>
      <c r="G5873" s="6">
        <f>INT(C5873)</f>
        <v/>
      </c>
    </row>
    <row r="5874">
      <c r="A5874" s="7" t="inlineStr">
        <is>
          <t>R04S Blockage</t>
        </is>
      </c>
      <c r="B5874" s="8" t="n">
        <v>46119.75</v>
      </c>
      <c r="C5874" s="8" t="n">
        <v>46120.25</v>
      </c>
      <c r="D5874" s="9">
        <f>(C5874-B5874)*24</f>
        <v/>
      </c>
      <c r="E5874" s="10">
        <f>IF(AND(HOUR(B5874)&gt;=6,HOUR(B5874)&lt;18),"Day Shift","Night Shift")</f>
        <v/>
      </c>
      <c r="F5874" s="11">
        <f>INT(B5874)</f>
        <v/>
      </c>
      <c r="G5874" s="11">
        <f>INT(C5874)</f>
        <v/>
      </c>
    </row>
    <row r="5875">
      <c r="A5875" s="2" t="inlineStr">
        <is>
          <t>R04S Blockage</t>
        </is>
      </c>
      <c r="B5875" s="3" t="n">
        <v>46120.25</v>
      </c>
      <c r="C5875" s="3" t="n">
        <v>46120.75</v>
      </c>
      <c r="D5875" s="4">
        <f>(C5875-B5875)*24</f>
        <v/>
      </c>
      <c r="E5875" s="5">
        <f>IF(AND(HOUR(B5875)&gt;=6,HOUR(B5875)&lt;18),"Day Shift","Night Shift")</f>
        <v/>
      </c>
      <c r="F5875" s="6">
        <f>INT(B5875)</f>
        <v/>
      </c>
      <c r="G5875" s="6">
        <f>INT(C5875)</f>
        <v/>
      </c>
    </row>
    <row r="5876">
      <c r="A5876" s="7" t="inlineStr">
        <is>
          <t>R04S Blockage</t>
        </is>
      </c>
      <c r="B5876" s="8" t="n">
        <v>46120.75</v>
      </c>
      <c r="C5876" s="8" t="n">
        <v>46121.25</v>
      </c>
      <c r="D5876" s="9">
        <f>(C5876-B5876)*24</f>
        <v/>
      </c>
      <c r="E5876" s="10">
        <f>IF(AND(HOUR(B5876)&gt;=6,HOUR(B5876)&lt;18),"Day Shift","Night Shift")</f>
        <v/>
      </c>
      <c r="F5876" s="11">
        <f>INT(B5876)</f>
        <v/>
      </c>
      <c r="G5876" s="11">
        <f>INT(C5876)</f>
        <v/>
      </c>
    </row>
    <row r="5877">
      <c r="A5877" s="2" t="inlineStr">
        <is>
          <t>R04S Blockage</t>
        </is>
      </c>
      <c r="B5877" s="3" t="n">
        <v>46121.25</v>
      </c>
      <c r="C5877" s="3" t="n">
        <v>46121.75</v>
      </c>
      <c r="D5877" s="4">
        <f>(C5877-B5877)*24</f>
        <v/>
      </c>
      <c r="E5877" s="5">
        <f>IF(AND(HOUR(B5877)&gt;=6,HOUR(B5877)&lt;18),"Day Shift","Night Shift")</f>
        <v/>
      </c>
      <c r="F5877" s="6">
        <f>INT(B5877)</f>
        <v/>
      </c>
      <c r="G5877" s="6">
        <f>INT(C5877)</f>
        <v/>
      </c>
    </row>
    <row r="5878">
      <c r="A5878" s="7" t="inlineStr">
        <is>
          <t>R04S Blockage</t>
        </is>
      </c>
      <c r="B5878" s="8" t="n">
        <v>46121.75</v>
      </c>
      <c r="C5878" s="8" t="n">
        <v>46122.25</v>
      </c>
      <c r="D5878" s="9">
        <f>(C5878-B5878)*24</f>
        <v/>
      </c>
      <c r="E5878" s="10">
        <f>IF(AND(HOUR(B5878)&gt;=6,HOUR(B5878)&lt;18),"Day Shift","Night Shift")</f>
        <v/>
      </c>
      <c r="F5878" s="11">
        <f>INT(B5878)</f>
        <v/>
      </c>
      <c r="G5878" s="11">
        <f>INT(C5878)</f>
        <v/>
      </c>
    </row>
    <row r="5879">
      <c r="A5879" s="2" t="inlineStr">
        <is>
          <t>R04S Blockage</t>
        </is>
      </c>
      <c r="B5879" s="3" t="n">
        <v>46122.25</v>
      </c>
      <c r="C5879" s="3" t="n">
        <v>46122.75</v>
      </c>
      <c r="D5879" s="4">
        <f>(C5879-B5879)*24</f>
        <v/>
      </c>
      <c r="E5879" s="5">
        <f>IF(AND(HOUR(B5879)&gt;=6,HOUR(B5879)&lt;18),"Day Shift","Night Shift")</f>
        <v/>
      </c>
      <c r="F5879" s="6">
        <f>INT(B5879)</f>
        <v/>
      </c>
      <c r="G5879" s="6">
        <f>INT(C5879)</f>
        <v/>
      </c>
    </row>
    <row r="5880">
      <c r="A5880" s="7" t="inlineStr">
        <is>
          <t>R04S Blockage</t>
        </is>
      </c>
      <c r="B5880" s="8" t="n">
        <v>46122.75</v>
      </c>
      <c r="C5880" s="8" t="n">
        <v>46123.25</v>
      </c>
      <c r="D5880" s="9">
        <f>(C5880-B5880)*24</f>
        <v/>
      </c>
      <c r="E5880" s="10">
        <f>IF(AND(HOUR(B5880)&gt;=6,HOUR(B5880)&lt;18),"Day Shift","Night Shift")</f>
        <v/>
      </c>
      <c r="F5880" s="11">
        <f>INT(B5880)</f>
        <v/>
      </c>
      <c r="G5880" s="11">
        <f>INT(C5880)</f>
        <v/>
      </c>
    </row>
    <row r="5881">
      <c r="A5881" s="2" t="inlineStr">
        <is>
          <t>R04S Blockage</t>
        </is>
      </c>
      <c r="B5881" s="3" t="n">
        <v>46123.25</v>
      </c>
      <c r="C5881" s="3" t="n">
        <v>46123.75</v>
      </c>
      <c r="D5881" s="4">
        <f>(C5881-B5881)*24</f>
        <v/>
      </c>
      <c r="E5881" s="5">
        <f>IF(AND(HOUR(B5881)&gt;=6,HOUR(B5881)&lt;18),"Day Shift","Night Shift")</f>
        <v/>
      </c>
      <c r="F5881" s="6">
        <f>INT(B5881)</f>
        <v/>
      </c>
      <c r="G5881" s="6">
        <f>INT(C5881)</f>
        <v/>
      </c>
    </row>
    <row r="5882">
      <c r="A5882" s="7" t="inlineStr">
        <is>
          <t>R04S Blockage</t>
        </is>
      </c>
      <c r="B5882" s="8" t="n">
        <v>46123.75</v>
      </c>
      <c r="C5882" s="8" t="n">
        <v>46124.25</v>
      </c>
      <c r="D5882" s="9">
        <f>(C5882-B5882)*24</f>
        <v/>
      </c>
      <c r="E5882" s="10">
        <f>IF(AND(HOUR(B5882)&gt;=6,HOUR(B5882)&lt;18),"Day Shift","Night Shift")</f>
        <v/>
      </c>
      <c r="F5882" s="11">
        <f>INT(B5882)</f>
        <v/>
      </c>
      <c r="G5882" s="11">
        <f>INT(C5882)</f>
        <v/>
      </c>
    </row>
    <row r="5883">
      <c r="A5883" s="2" t="inlineStr">
        <is>
          <t>R04S Blockage</t>
        </is>
      </c>
      <c r="B5883" s="3" t="n">
        <v>46124.25</v>
      </c>
      <c r="C5883" s="3" t="n">
        <v>46124.75</v>
      </c>
      <c r="D5883" s="4">
        <f>(C5883-B5883)*24</f>
        <v/>
      </c>
      <c r="E5883" s="5">
        <f>IF(AND(HOUR(B5883)&gt;=6,HOUR(B5883)&lt;18),"Day Shift","Night Shift")</f>
        <v/>
      </c>
      <c r="F5883" s="6">
        <f>INT(B5883)</f>
        <v/>
      </c>
      <c r="G5883" s="6">
        <f>INT(C5883)</f>
        <v/>
      </c>
    </row>
    <row r="5884">
      <c r="A5884" s="7" t="inlineStr">
        <is>
          <t>R04S Blockage</t>
        </is>
      </c>
      <c r="B5884" s="8" t="n">
        <v>46124.75</v>
      </c>
      <c r="C5884" s="8" t="n">
        <v>46125.25</v>
      </c>
      <c r="D5884" s="9">
        <f>(C5884-B5884)*24</f>
        <v/>
      </c>
      <c r="E5884" s="10">
        <f>IF(AND(HOUR(B5884)&gt;=6,HOUR(B5884)&lt;18),"Day Shift","Night Shift")</f>
        <v/>
      </c>
      <c r="F5884" s="11">
        <f>INT(B5884)</f>
        <v/>
      </c>
      <c r="G5884" s="11">
        <f>INT(C5884)</f>
        <v/>
      </c>
    </row>
    <row r="5885">
      <c r="A5885" s="2" t="inlineStr">
        <is>
          <t>R04S Blockage</t>
        </is>
      </c>
      <c r="B5885" s="3" t="n">
        <v>46125.25</v>
      </c>
      <c r="C5885" s="3" t="n">
        <v>46125.75</v>
      </c>
      <c r="D5885" s="4">
        <f>(C5885-B5885)*24</f>
        <v/>
      </c>
      <c r="E5885" s="5">
        <f>IF(AND(HOUR(B5885)&gt;=6,HOUR(B5885)&lt;18),"Day Shift","Night Shift")</f>
        <v/>
      </c>
      <c r="F5885" s="6">
        <f>INT(B5885)</f>
        <v/>
      </c>
      <c r="G5885" s="6">
        <f>INT(C5885)</f>
        <v/>
      </c>
    </row>
    <row r="5886">
      <c r="A5886" s="7" t="inlineStr">
        <is>
          <t>R04S Blockage</t>
        </is>
      </c>
      <c r="B5886" s="8" t="n">
        <v>46125.75</v>
      </c>
      <c r="C5886" s="8" t="n">
        <v>46126.25</v>
      </c>
      <c r="D5886" s="9">
        <f>(C5886-B5886)*24</f>
        <v/>
      </c>
      <c r="E5886" s="10">
        <f>IF(AND(HOUR(B5886)&gt;=6,HOUR(B5886)&lt;18),"Day Shift","Night Shift")</f>
        <v/>
      </c>
      <c r="F5886" s="11">
        <f>INT(B5886)</f>
        <v/>
      </c>
      <c r="G5886" s="11">
        <f>INT(C5886)</f>
        <v/>
      </c>
    </row>
    <row r="5887">
      <c r="A5887" s="2" t="inlineStr">
        <is>
          <t>R04S Blockage</t>
        </is>
      </c>
      <c r="B5887" s="3" t="n">
        <v>46126.25</v>
      </c>
      <c r="C5887" s="3" t="n">
        <v>46126.75</v>
      </c>
      <c r="D5887" s="4">
        <f>(C5887-B5887)*24</f>
        <v/>
      </c>
      <c r="E5887" s="5">
        <f>IF(AND(HOUR(B5887)&gt;=6,HOUR(B5887)&lt;18),"Day Shift","Night Shift")</f>
        <v/>
      </c>
      <c r="F5887" s="6">
        <f>INT(B5887)</f>
        <v/>
      </c>
      <c r="G5887" s="6">
        <f>INT(C5887)</f>
        <v/>
      </c>
    </row>
    <row r="5888">
      <c r="A5888" s="7" t="inlineStr">
        <is>
          <t>R04S Blockage</t>
        </is>
      </c>
      <c r="B5888" s="8" t="n">
        <v>46126.75</v>
      </c>
      <c r="C5888" s="8" t="n">
        <v>46127.25</v>
      </c>
      <c r="D5888" s="9">
        <f>(C5888-B5888)*24</f>
        <v/>
      </c>
      <c r="E5888" s="10">
        <f>IF(AND(HOUR(B5888)&gt;=6,HOUR(B5888)&lt;18),"Day Shift","Night Shift")</f>
        <v/>
      </c>
      <c r="F5888" s="11">
        <f>INT(B5888)</f>
        <v/>
      </c>
      <c r="G5888" s="11">
        <f>INT(C5888)</f>
        <v/>
      </c>
    </row>
    <row r="5889">
      <c r="A5889" s="2" t="inlineStr">
        <is>
          <t>R04S Blockage</t>
        </is>
      </c>
      <c r="B5889" s="3" t="n">
        <v>46127.25</v>
      </c>
      <c r="C5889" s="3" t="n">
        <v>46127.75</v>
      </c>
      <c r="D5889" s="4">
        <f>(C5889-B5889)*24</f>
        <v/>
      </c>
      <c r="E5889" s="5">
        <f>IF(AND(HOUR(B5889)&gt;=6,HOUR(B5889)&lt;18),"Day Shift","Night Shift")</f>
        <v/>
      </c>
      <c r="F5889" s="6">
        <f>INT(B5889)</f>
        <v/>
      </c>
      <c r="G5889" s="6">
        <f>INT(C5889)</f>
        <v/>
      </c>
    </row>
    <row r="5890">
      <c r="A5890" s="7" t="inlineStr">
        <is>
          <t>R04S Blockage</t>
        </is>
      </c>
      <c r="B5890" s="8" t="n">
        <v>46127.75</v>
      </c>
      <c r="C5890" s="8" t="n">
        <v>46128.25</v>
      </c>
      <c r="D5890" s="9">
        <f>(C5890-B5890)*24</f>
        <v/>
      </c>
      <c r="E5890" s="10">
        <f>IF(AND(HOUR(B5890)&gt;=6,HOUR(B5890)&lt;18),"Day Shift","Night Shift")</f>
        <v/>
      </c>
      <c r="F5890" s="11">
        <f>INT(B5890)</f>
        <v/>
      </c>
      <c r="G5890" s="11">
        <f>INT(C5890)</f>
        <v/>
      </c>
    </row>
    <row r="5891">
      <c r="A5891" s="2" t="inlineStr">
        <is>
          <t>R04S Blockage</t>
        </is>
      </c>
      <c r="B5891" s="3" t="n">
        <v>46128.25</v>
      </c>
      <c r="C5891" s="3" t="n">
        <v>46128.75</v>
      </c>
      <c r="D5891" s="4">
        <f>(C5891-B5891)*24</f>
        <v/>
      </c>
      <c r="E5891" s="5">
        <f>IF(AND(HOUR(B5891)&gt;=6,HOUR(B5891)&lt;18),"Day Shift","Night Shift")</f>
        <v/>
      </c>
      <c r="F5891" s="6">
        <f>INT(B5891)</f>
        <v/>
      </c>
      <c r="G5891" s="6">
        <f>INT(C5891)</f>
        <v/>
      </c>
    </row>
    <row r="5892">
      <c r="A5892" s="7" t="inlineStr">
        <is>
          <t>R04S Blockage</t>
        </is>
      </c>
      <c r="B5892" s="8" t="n">
        <v>46128.75</v>
      </c>
      <c r="C5892" s="8" t="n">
        <v>46129.25</v>
      </c>
      <c r="D5892" s="9">
        <f>(C5892-B5892)*24</f>
        <v/>
      </c>
      <c r="E5892" s="10">
        <f>IF(AND(HOUR(B5892)&gt;=6,HOUR(B5892)&lt;18),"Day Shift","Night Shift")</f>
        <v/>
      </c>
      <c r="F5892" s="11">
        <f>INT(B5892)</f>
        <v/>
      </c>
      <c r="G5892" s="11">
        <f>INT(C5892)</f>
        <v/>
      </c>
    </row>
    <row r="5893">
      <c r="A5893" s="2" t="inlineStr">
        <is>
          <t>R04S Blockage</t>
        </is>
      </c>
      <c r="B5893" s="3" t="n">
        <v>46129.25</v>
      </c>
      <c r="C5893" s="3" t="n">
        <v>46129.75</v>
      </c>
      <c r="D5893" s="4">
        <f>(C5893-B5893)*24</f>
        <v/>
      </c>
      <c r="E5893" s="5">
        <f>IF(AND(HOUR(B5893)&gt;=6,HOUR(B5893)&lt;18),"Day Shift","Night Shift")</f>
        <v/>
      </c>
      <c r="F5893" s="6">
        <f>INT(B5893)</f>
        <v/>
      </c>
      <c r="G5893" s="6">
        <f>INT(C5893)</f>
        <v/>
      </c>
    </row>
    <row r="5894">
      <c r="A5894" s="7" t="inlineStr">
        <is>
          <t>R04S Blockage</t>
        </is>
      </c>
      <c r="B5894" s="8" t="n">
        <v>46129.75</v>
      </c>
      <c r="C5894" s="8" t="n">
        <v>46130.25</v>
      </c>
      <c r="D5894" s="9">
        <f>(C5894-B5894)*24</f>
        <v/>
      </c>
      <c r="E5894" s="10">
        <f>IF(AND(HOUR(B5894)&gt;=6,HOUR(B5894)&lt;18),"Day Shift","Night Shift")</f>
        <v/>
      </c>
      <c r="F5894" s="11">
        <f>INT(B5894)</f>
        <v/>
      </c>
      <c r="G5894" s="11">
        <f>INT(C5894)</f>
        <v/>
      </c>
    </row>
    <row r="5895">
      <c r="A5895" s="2" t="inlineStr">
        <is>
          <t>R04S Blockage</t>
        </is>
      </c>
      <c r="B5895" s="3" t="n">
        <v>46130.25</v>
      </c>
      <c r="C5895" s="3" t="n">
        <v>46130.75</v>
      </c>
      <c r="D5895" s="4">
        <f>(C5895-B5895)*24</f>
        <v/>
      </c>
      <c r="E5895" s="5">
        <f>IF(AND(HOUR(B5895)&gt;=6,HOUR(B5895)&lt;18),"Day Shift","Night Shift")</f>
        <v/>
      </c>
      <c r="F5895" s="6">
        <f>INT(B5895)</f>
        <v/>
      </c>
      <c r="G5895" s="6">
        <f>INT(C5895)</f>
        <v/>
      </c>
    </row>
    <row r="5896">
      <c r="A5896" s="7" t="inlineStr">
        <is>
          <t>R04S Blockage</t>
        </is>
      </c>
      <c r="B5896" s="8" t="n">
        <v>46130.75</v>
      </c>
      <c r="C5896" s="8" t="n">
        <v>46131.25</v>
      </c>
      <c r="D5896" s="9">
        <f>(C5896-B5896)*24</f>
        <v/>
      </c>
      <c r="E5896" s="10">
        <f>IF(AND(HOUR(B5896)&gt;=6,HOUR(B5896)&lt;18),"Day Shift","Night Shift")</f>
        <v/>
      </c>
      <c r="F5896" s="11">
        <f>INT(B5896)</f>
        <v/>
      </c>
      <c r="G5896" s="11">
        <f>INT(C5896)</f>
        <v/>
      </c>
    </row>
    <row r="5897">
      <c r="A5897" s="2" t="inlineStr">
        <is>
          <t>R04S Blockage</t>
        </is>
      </c>
      <c r="B5897" s="3" t="n">
        <v>46131.25</v>
      </c>
      <c r="C5897" s="3" t="n">
        <v>46131.75</v>
      </c>
      <c r="D5897" s="4">
        <f>(C5897-B5897)*24</f>
        <v/>
      </c>
      <c r="E5897" s="5">
        <f>IF(AND(HOUR(B5897)&gt;=6,HOUR(B5897)&lt;18),"Day Shift","Night Shift")</f>
        <v/>
      </c>
      <c r="F5897" s="6">
        <f>INT(B5897)</f>
        <v/>
      </c>
      <c r="G5897" s="6">
        <f>INT(C5897)</f>
        <v/>
      </c>
    </row>
    <row r="5898">
      <c r="A5898" s="7" t="inlineStr">
        <is>
          <t>R04S Blockage</t>
        </is>
      </c>
      <c r="B5898" s="8" t="n">
        <v>46131.75</v>
      </c>
      <c r="C5898" s="8" t="n">
        <v>46132.25</v>
      </c>
      <c r="D5898" s="9">
        <f>(C5898-B5898)*24</f>
        <v/>
      </c>
      <c r="E5898" s="10">
        <f>IF(AND(HOUR(B5898)&gt;=6,HOUR(B5898)&lt;18),"Day Shift","Night Shift")</f>
        <v/>
      </c>
      <c r="F5898" s="11">
        <f>INT(B5898)</f>
        <v/>
      </c>
      <c r="G5898" s="11">
        <f>INT(C5898)</f>
        <v/>
      </c>
    </row>
    <row r="5899">
      <c r="A5899" s="2" t="inlineStr">
        <is>
          <t>R04S Blockage</t>
        </is>
      </c>
      <c r="B5899" s="3" t="n">
        <v>46132.25</v>
      </c>
      <c r="C5899" s="3" t="n">
        <v>46132.75</v>
      </c>
      <c r="D5899" s="4">
        <f>(C5899-B5899)*24</f>
        <v/>
      </c>
      <c r="E5899" s="5">
        <f>IF(AND(HOUR(B5899)&gt;=6,HOUR(B5899)&lt;18),"Day Shift","Night Shift")</f>
        <v/>
      </c>
      <c r="F5899" s="6">
        <f>INT(B5899)</f>
        <v/>
      </c>
      <c r="G5899" s="6">
        <f>INT(C5899)</f>
        <v/>
      </c>
    </row>
    <row r="5900">
      <c r="A5900" s="7" t="inlineStr">
        <is>
          <t>R04S Blockage</t>
        </is>
      </c>
      <c r="B5900" s="8" t="n">
        <v>46132.75</v>
      </c>
      <c r="C5900" s="8" t="n">
        <v>46133.25</v>
      </c>
      <c r="D5900" s="9">
        <f>(C5900-B5900)*24</f>
        <v/>
      </c>
      <c r="E5900" s="10">
        <f>IF(AND(HOUR(B5900)&gt;=6,HOUR(B5900)&lt;18),"Day Shift","Night Shift")</f>
        <v/>
      </c>
      <c r="F5900" s="11">
        <f>INT(B5900)</f>
        <v/>
      </c>
      <c r="G5900" s="11">
        <f>INT(C5900)</f>
        <v/>
      </c>
    </row>
    <row r="5901">
      <c r="A5901" s="2" t="inlineStr">
        <is>
          <t>R04S Blockage</t>
        </is>
      </c>
      <c r="B5901" s="3" t="n">
        <v>46133.25</v>
      </c>
      <c r="C5901" s="3" t="n">
        <v>46133.75</v>
      </c>
      <c r="D5901" s="4">
        <f>(C5901-B5901)*24</f>
        <v/>
      </c>
      <c r="E5901" s="5">
        <f>IF(AND(HOUR(B5901)&gt;=6,HOUR(B5901)&lt;18),"Day Shift","Night Shift")</f>
        <v/>
      </c>
      <c r="F5901" s="6">
        <f>INT(B5901)</f>
        <v/>
      </c>
      <c r="G5901" s="6">
        <f>INT(C5901)</f>
        <v/>
      </c>
    </row>
    <row r="5902">
      <c r="A5902" s="7" t="inlineStr">
        <is>
          <t>R04S Blockage</t>
        </is>
      </c>
      <c r="B5902" s="8" t="n">
        <v>46133.75</v>
      </c>
      <c r="C5902" s="8" t="n">
        <v>46134.25</v>
      </c>
      <c r="D5902" s="9">
        <f>(C5902-B5902)*24</f>
        <v/>
      </c>
      <c r="E5902" s="10">
        <f>IF(AND(HOUR(B5902)&gt;=6,HOUR(B5902)&lt;18),"Day Shift","Night Shift")</f>
        <v/>
      </c>
      <c r="F5902" s="11">
        <f>INT(B5902)</f>
        <v/>
      </c>
      <c r="G5902" s="11">
        <f>INT(C5902)</f>
        <v/>
      </c>
    </row>
    <row r="5903">
      <c r="A5903" s="2" t="inlineStr">
        <is>
          <t>R04S Blockage</t>
        </is>
      </c>
      <c r="B5903" s="3" t="n">
        <v>46134.25</v>
      </c>
      <c r="C5903" s="3" t="n">
        <v>46134.75</v>
      </c>
      <c r="D5903" s="4">
        <f>(C5903-B5903)*24</f>
        <v/>
      </c>
      <c r="E5903" s="5">
        <f>IF(AND(HOUR(B5903)&gt;=6,HOUR(B5903)&lt;18),"Day Shift","Night Shift")</f>
        <v/>
      </c>
      <c r="F5903" s="6">
        <f>INT(B5903)</f>
        <v/>
      </c>
      <c r="G5903" s="6">
        <f>INT(C5903)</f>
        <v/>
      </c>
    </row>
    <row r="5904">
      <c r="A5904" s="7" t="inlineStr">
        <is>
          <t>R04S Blockage</t>
        </is>
      </c>
      <c r="B5904" s="8" t="n">
        <v>46134.75</v>
      </c>
      <c r="C5904" s="8" t="n">
        <v>46135.25</v>
      </c>
      <c r="D5904" s="9">
        <f>(C5904-B5904)*24</f>
        <v/>
      </c>
      <c r="E5904" s="10">
        <f>IF(AND(HOUR(B5904)&gt;=6,HOUR(B5904)&lt;18),"Day Shift","Night Shift")</f>
        <v/>
      </c>
      <c r="F5904" s="11">
        <f>INT(B5904)</f>
        <v/>
      </c>
      <c r="G5904" s="11">
        <f>INT(C5904)</f>
        <v/>
      </c>
    </row>
    <row r="5905">
      <c r="A5905" s="2" t="inlineStr">
        <is>
          <t>R04S Blockage</t>
        </is>
      </c>
      <c r="B5905" s="3" t="n">
        <v>46135.25</v>
      </c>
      <c r="C5905" s="3" t="n">
        <v>46135.75</v>
      </c>
      <c r="D5905" s="4">
        <f>(C5905-B5905)*24</f>
        <v/>
      </c>
      <c r="E5905" s="5">
        <f>IF(AND(HOUR(B5905)&gt;=6,HOUR(B5905)&lt;18),"Day Shift","Night Shift")</f>
        <v/>
      </c>
      <c r="F5905" s="6">
        <f>INT(B5905)</f>
        <v/>
      </c>
      <c r="G5905" s="6">
        <f>INT(C5905)</f>
        <v/>
      </c>
    </row>
    <row r="5906">
      <c r="A5906" s="7" t="inlineStr">
        <is>
          <t>R04S Blockage</t>
        </is>
      </c>
      <c r="B5906" s="8" t="n">
        <v>46135.75</v>
      </c>
      <c r="C5906" s="8" t="n">
        <v>46136.25</v>
      </c>
      <c r="D5906" s="9">
        <f>(C5906-B5906)*24</f>
        <v/>
      </c>
      <c r="E5906" s="10">
        <f>IF(AND(HOUR(B5906)&gt;=6,HOUR(B5906)&lt;18),"Day Shift","Night Shift")</f>
        <v/>
      </c>
      <c r="F5906" s="11">
        <f>INT(B5906)</f>
        <v/>
      </c>
      <c r="G5906" s="11">
        <f>INT(C5906)</f>
        <v/>
      </c>
    </row>
    <row r="5907">
      <c r="A5907" s="2" t="inlineStr">
        <is>
          <t>R04S Blockage</t>
        </is>
      </c>
      <c r="B5907" s="3" t="n">
        <v>46136.25</v>
      </c>
      <c r="C5907" s="3" t="n">
        <v>46136.75</v>
      </c>
      <c r="D5907" s="4">
        <f>(C5907-B5907)*24</f>
        <v/>
      </c>
      <c r="E5907" s="5">
        <f>IF(AND(HOUR(B5907)&gt;=6,HOUR(B5907)&lt;18),"Day Shift","Night Shift")</f>
        <v/>
      </c>
      <c r="F5907" s="6">
        <f>INT(B5907)</f>
        <v/>
      </c>
      <c r="G5907" s="6">
        <f>INT(C5907)</f>
        <v/>
      </c>
    </row>
    <row r="5908">
      <c r="A5908" s="7" t="inlineStr">
        <is>
          <t>R04S Blockage</t>
        </is>
      </c>
      <c r="B5908" s="8" t="n">
        <v>46136.75</v>
      </c>
      <c r="C5908" s="8" t="n">
        <v>46137.25</v>
      </c>
      <c r="D5908" s="9">
        <f>(C5908-B5908)*24</f>
        <v/>
      </c>
      <c r="E5908" s="10">
        <f>IF(AND(HOUR(B5908)&gt;=6,HOUR(B5908)&lt;18),"Day Shift","Night Shift")</f>
        <v/>
      </c>
      <c r="F5908" s="11">
        <f>INT(B5908)</f>
        <v/>
      </c>
      <c r="G5908" s="11">
        <f>INT(C5908)</f>
        <v/>
      </c>
    </row>
    <row r="5909">
      <c r="A5909" s="2" t="inlineStr">
        <is>
          <t>R04S Blockage</t>
        </is>
      </c>
      <c r="B5909" s="3" t="n">
        <v>46137.25</v>
      </c>
      <c r="C5909" s="3" t="n">
        <v>46137.75</v>
      </c>
      <c r="D5909" s="4">
        <f>(C5909-B5909)*24</f>
        <v/>
      </c>
      <c r="E5909" s="5">
        <f>IF(AND(HOUR(B5909)&gt;=6,HOUR(B5909)&lt;18),"Day Shift","Night Shift")</f>
        <v/>
      </c>
      <c r="F5909" s="6">
        <f>INT(B5909)</f>
        <v/>
      </c>
      <c r="G5909" s="6">
        <f>INT(C5909)</f>
        <v/>
      </c>
    </row>
    <row r="5910">
      <c r="A5910" s="7" t="inlineStr">
        <is>
          <t>R04S Blockage</t>
        </is>
      </c>
      <c r="B5910" s="8" t="n">
        <v>46137.75</v>
      </c>
      <c r="C5910" s="8" t="n">
        <v>46138.25</v>
      </c>
      <c r="D5910" s="9">
        <f>(C5910-B5910)*24</f>
        <v/>
      </c>
      <c r="E5910" s="10">
        <f>IF(AND(HOUR(B5910)&gt;=6,HOUR(B5910)&lt;18),"Day Shift","Night Shift")</f>
        <v/>
      </c>
      <c r="F5910" s="11">
        <f>INT(B5910)</f>
        <v/>
      </c>
      <c r="G5910" s="11">
        <f>INT(C5910)</f>
        <v/>
      </c>
    </row>
    <row r="5911">
      <c r="A5911" s="2" t="inlineStr">
        <is>
          <t>R04S Blockage</t>
        </is>
      </c>
      <c r="B5911" s="3" t="n">
        <v>46138.25</v>
      </c>
      <c r="C5911" s="3" t="n">
        <v>46138.75</v>
      </c>
      <c r="D5911" s="4">
        <f>(C5911-B5911)*24</f>
        <v/>
      </c>
      <c r="E5911" s="5">
        <f>IF(AND(HOUR(B5911)&gt;=6,HOUR(B5911)&lt;18),"Day Shift","Night Shift")</f>
        <v/>
      </c>
      <c r="F5911" s="6">
        <f>INT(B5911)</f>
        <v/>
      </c>
      <c r="G5911" s="6">
        <f>INT(C5911)</f>
        <v/>
      </c>
    </row>
    <row r="5912">
      <c r="A5912" s="7" t="inlineStr">
        <is>
          <t>R04S Blockage</t>
        </is>
      </c>
      <c r="B5912" s="8" t="n">
        <v>46138.75</v>
      </c>
      <c r="C5912" s="8" t="n">
        <v>46139.25</v>
      </c>
      <c r="D5912" s="9">
        <f>(C5912-B5912)*24</f>
        <v/>
      </c>
      <c r="E5912" s="10">
        <f>IF(AND(HOUR(B5912)&gt;=6,HOUR(B5912)&lt;18),"Day Shift","Night Shift")</f>
        <v/>
      </c>
      <c r="F5912" s="11">
        <f>INT(B5912)</f>
        <v/>
      </c>
      <c r="G5912" s="11">
        <f>INT(C5912)</f>
        <v/>
      </c>
    </row>
    <row r="5913">
      <c r="A5913" s="2" t="inlineStr">
        <is>
          <t>R04S Blockage</t>
        </is>
      </c>
      <c r="B5913" s="3" t="n">
        <v>46139.25</v>
      </c>
      <c r="C5913" s="3" t="n">
        <v>46139.75</v>
      </c>
      <c r="D5913" s="4">
        <f>(C5913-B5913)*24</f>
        <v/>
      </c>
      <c r="E5913" s="5">
        <f>IF(AND(HOUR(B5913)&gt;=6,HOUR(B5913)&lt;18),"Day Shift","Night Shift")</f>
        <v/>
      </c>
      <c r="F5913" s="6">
        <f>INT(B5913)</f>
        <v/>
      </c>
      <c r="G5913" s="6">
        <f>INT(C5913)</f>
        <v/>
      </c>
    </row>
    <row r="5914">
      <c r="A5914" s="7" t="inlineStr">
        <is>
          <t>R04S Blockage</t>
        </is>
      </c>
      <c r="B5914" s="8" t="n">
        <v>46139.75</v>
      </c>
      <c r="C5914" s="8" t="n">
        <v>46140.25</v>
      </c>
      <c r="D5914" s="9">
        <f>(C5914-B5914)*24</f>
        <v/>
      </c>
      <c r="E5914" s="10">
        <f>IF(AND(HOUR(B5914)&gt;=6,HOUR(B5914)&lt;18),"Day Shift","Night Shift")</f>
        <v/>
      </c>
      <c r="F5914" s="11">
        <f>INT(B5914)</f>
        <v/>
      </c>
      <c r="G5914" s="11">
        <f>INT(C5914)</f>
        <v/>
      </c>
    </row>
    <row r="5915">
      <c r="A5915" s="2" t="inlineStr">
        <is>
          <t>R04S Blockage</t>
        </is>
      </c>
      <c r="B5915" s="3" t="n">
        <v>46140.25</v>
      </c>
      <c r="C5915" s="3" t="n">
        <v>46140.75</v>
      </c>
      <c r="D5915" s="4">
        <f>(C5915-B5915)*24</f>
        <v/>
      </c>
      <c r="E5915" s="5">
        <f>IF(AND(HOUR(B5915)&gt;=6,HOUR(B5915)&lt;18),"Day Shift","Night Shift")</f>
        <v/>
      </c>
      <c r="F5915" s="6">
        <f>INT(B5915)</f>
        <v/>
      </c>
      <c r="G5915" s="6">
        <f>INT(C5915)</f>
        <v/>
      </c>
    </row>
    <row r="5916">
      <c r="A5916" s="7" t="inlineStr">
        <is>
          <t>R04S Blockage</t>
        </is>
      </c>
      <c r="B5916" s="8" t="n">
        <v>46140.75</v>
      </c>
      <c r="C5916" s="8" t="n">
        <v>46141.25</v>
      </c>
      <c r="D5916" s="9">
        <f>(C5916-B5916)*24</f>
        <v/>
      </c>
      <c r="E5916" s="10">
        <f>IF(AND(HOUR(B5916)&gt;=6,HOUR(B5916)&lt;18),"Day Shift","Night Shift")</f>
        <v/>
      </c>
      <c r="F5916" s="11">
        <f>INT(B5916)</f>
        <v/>
      </c>
      <c r="G5916" s="11">
        <f>INT(C5916)</f>
        <v/>
      </c>
    </row>
    <row r="5917">
      <c r="A5917" s="2" t="inlineStr">
        <is>
          <t>R04S Blockage</t>
        </is>
      </c>
      <c r="B5917" s="3" t="n">
        <v>46141.25</v>
      </c>
      <c r="C5917" s="3" t="n">
        <v>46141.75</v>
      </c>
      <c r="D5917" s="4">
        <f>(C5917-B5917)*24</f>
        <v/>
      </c>
      <c r="E5917" s="5">
        <f>IF(AND(HOUR(B5917)&gt;=6,HOUR(B5917)&lt;18),"Day Shift","Night Shift")</f>
        <v/>
      </c>
      <c r="F5917" s="6">
        <f>INT(B5917)</f>
        <v/>
      </c>
      <c r="G5917" s="6">
        <f>INT(C5917)</f>
        <v/>
      </c>
    </row>
    <row r="5918">
      <c r="A5918" s="7" t="inlineStr">
        <is>
          <t>R04S Blockage</t>
        </is>
      </c>
      <c r="B5918" s="8" t="n">
        <v>46141.75</v>
      </c>
      <c r="C5918" s="8" t="n">
        <v>46142.25</v>
      </c>
      <c r="D5918" s="9">
        <f>(C5918-B5918)*24</f>
        <v/>
      </c>
      <c r="E5918" s="10">
        <f>IF(AND(HOUR(B5918)&gt;=6,HOUR(B5918)&lt;18),"Day Shift","Night Shift")</f>
        <v/>
      </c>
      <c r="F5918" s="11">
        <f>INT(B5918)</f>
        <v/>
      </c>
      <c r="G5918" s="11">
        <f>INT(C5918)</f>
        <v/>
      </c>
    </row>
    <row r="5919">
      <c r="A5919" s="2" t="inlineStr">
        <is>
          <t>R04S Blockage</t>
        </is>
      </c>
      <c r="B5919" s="3" t="n">
        <v>46142.25</v>
      </c>
      <c r="C5919" s="3" t="n">
        <v>46142.75</v>
      </c>
      <c r="D5919" s="4">
        <f>(C5919-B5919)*24</f>
        <v/>
      </c>
      <c r="E5919" s="5">
        <f>IF(AND(HOUR(B5919)&gt;=6,HOUR(B5919)&lt;18),"Day Shift","Night Shift")</f>
        <v/>
      </c>
      <c r="F5919" s="6">
        <f>INT(B5919)</f>
        <v/>
      </c>
      <c r="G5919" s="6">
        <f>INT(C5919)</f>
        <v/>
      </c>
    </row>
    <row r="5920">
      <c r="A5920" s="7" t="inlineStr">
        <is>
          <t>R04S Blockage</t>
        </is>
      </c>
      <c r="B5920" s="8" t="n">
        <v>46142.75</v>
      </c>
      <c r="C5920" s="8" t="n">
        <v>46143.25</v>
      </c>
      <c r="D5920" s="9">
        <f>(C5920-B5920)*24</f>
        <v/>
      </c>
      <c r="E5920" s="10">
        <f>IF(AND(HOUR(B5920)&gt;=6,HOUR(B5920)&lt;18),"Day Shift","Night Shift")</f>
        <v/>
      </c>
      <c r="F5920" s="11">
        <f>INT(B5920)</f>
        <v/>
      </c>
      <c r="G5920" s="11">
        <f>INT(C5920)</f>
        <v/>
      </c>
    </row>
    <row r="5921">
      <c r="A5921" s="2" t="inlineStr">
        <is>
          <t>R04S Blockage</t>
        </is>
      </c>
      <c r="B5921" s="3" t="n">
        <v>46143.25</v>
      </c>
      <c r="C5921" s="3" t="n">
        <v>46143.75</v>
      </c>
      <c r="D5921" s="4">
        <f>(C5921-B5921)*24</f>
        <v/>
      </c>
      <c r="E5921" s="5">
        <f>IF(AND(HOUR(B5921)&gt;=6,HOUR(B5921)&lt;18),"Day Shift","Night Shift")</f>
        <v/>
      </c>
      <c r="F5921" s="6">
        <f>INT(B5921)</f>
        <v/>
      </c>
      <c r="G5921" s="6">
        <f>INT(C5921)</f>
        <v/>
      </c>
    </row>
    <row r="5922">
      <c r="A5922" s="7" t="inlineStr">
        <is>
          <t>R04S Blockage</t>
        </is>
      </c>
      <c r="B5922" s="8" t="n">
        <v>46143.75</v>
      </c>
      <c r="C5922" s="8" t="n">
        <v>46144.25</v>
      </c>
      <c r="D5922" s="9">
        <f>(C5922-B5922)*24</f>
        <v/>
      </c>
      <c r="E5922" s="10">
        <f>IF(AND(HOUR(B5922)&gt;=6,HOUR(B5922)&lt;18),"Day Shift","Night Shift")</f>
        <v/>
      </c>
      <c r="F5922" s="11">
        <f>INT(B5922)</f>
        <v/>
      </c>
      <c r="G5922" s="11">
        <f>INT(C5922)</f>
        <v/>
      </c>
    </row>
    <row r="5923">
      <c r="A5923" s="2" t="inlineStr">
        <is>
          <t>R04S Blockage</t>
        </is>
      </c>
      <c r="B5923" s="3" t="n">
        <v>46144.25</v>
      </c>
      <c r="C5923" s="3" t="n">
        <v>46144.75</v>
      </c>
      <c r="D5923" s="4">
        <f>(C5923-B5923)*24</f>
        <v/>
      </c>
      <c r="E5923" s="5">
        <f>IF(AND(HOUR(B5923)&gt;=6,HOUR(B5923)&lt;18),"Day Shift","Night Shift")</f>
        <v/>
      </c>
      <c r="F5923" s="6">
        <f>INT(B5923)</f>
        <v/>
      </c>
      <c r="G5923" s="6">
        <f>INT(C5923)</f>
        <v/>
      </c>
    </row>
    <row r="5924">
      <c r="A5924" s="7" t="inlineStr">
        <is>
          <t>R04S Blockage</t>
        </is>
      </c>
      <c r="B5924" s="8" t="n">
        <v>46144.75</v>
      </c>
      <c r="C5924" s="8" t="n">
        <v>46145.25</v>
      </c>
      <c r="D5924" s="9">
        <f>(C5924-B5924)*24</f>
        <v/>
      </c>
      <c r="E5924" s="10">
        <f>IF(AND(HOUR(B5924)&gt;=6,HOUR(B5924)&lt;18),"Day Shift","Night Shift")</f>
        <v/>
      </c>
      <c r="F5924" s="11">
        <f>INT(B5924)</f>
        <v/>
      </c>
      <c r="G5924" s="11">
        <f>INT(C5924)</f>
        <v/>
      </c>
    </row>
    <row r="5925">
      <c r="A5925" s="2" t="inlineStr">
        <is>
          <t>R04S Blockage</t>
        </is>
      </c>
      <c r="B5925" s="3" t="n">
        <v>46145.25</v>
      </c>
      <c r="C5925" s="3" t="n">
        <v>46145.75</v>
      </c>
      <c r="D5925" s="4">
        <f>(C5925-B5925)*24</f>
        <v/>
      </c>
      <c r="E5925" s="5">
        <f>IF(AND(HOUR(B5925)&gt;=6,HOUR(B5925)&lt;18),"Day Shift","Night Shift")</f>
        <v/>
      </c>
      <c r="F5925" s="6">
        <f>INT(B5925)</f>
        <v/>
      </c>
      <c r="G5925" s="6">
        <f>INT(C5925)</f>
        <v/>
      </c>
    </row>
    <row r="5926">
      <c r="A5926" s="7" t="inlineStr">
        <is>
          <t>R04S Blockage</t>
        </is>
      </c>
      <c r="B5926" s="8" t="n">
        <v>46145.75</v>
      </c>
      <c r="C5926" s="8" t="n">
        <v>46146.25</v>
      </c>
      <c r="D5926" s="9">
        <f>(C5926-B5926)*24</f>
        <v/>
      </c>
      <c r="E5926" s="10">
        <f>IF(AND(HOUR(B5926)&gt;=6,HOUR(B5926)&lt;18),"Day Shift","Night Shift")</f>
        <v/>
      </c>
      <c r="F5926" s="11">
        <f>INT(B5926)</f>
        <v/>
      </c>
      <c r="G5926" s="11">
        <f>INT(C5926)</f>
        <v/>
      </c>
    </row>
    <row r="5927">
      <c r="A5927" s="2" t="inlineStr">
        <is>
          <t>R04S Blockage</t>
        </is>
      </c>
      <c r="B5927" s="3" t="n">
        <v>46146.25</v>
      </c>
      <c r="C5927" s="3" t="n">
        <v>46146.75</v>
      </c>
      <c r="D5927" s="4">
        <f>(C5927-B5927)*24</f>
        <v/>
      </c>
      <c r="E5927" s="5">
        <f>IF(AND(HOUR(B5927)&gt;=6,HOUR(B5927)&lt;18),"Day Shift","Night Shift")</f>
        <v/>
      </c>
      <c r="F5927" s="6">
        <f>INT(B5927)</f>
        <v/>
      </c>
      <c r="G5927" s="6">
        <f>INT(C5927)</f>
        <v/>
      </c>
    </row>
    <row r="5928">
      <c r="A5928" s="7" t="inlineStr">
        <is>
          <t>R04S Blockage</t>
        </is>
      </c>
      <c r="B5928" s="8" t="n">
        <v>46146.75</v>
      </c>
      <c r="C5928" s="8" t="n">
        <v>46147.25</v>
      </c>
      <c r="D5928" s="9">
        <f>(C5928-B5928)*24</f>
        <v/>
      </c>
      <c r="E5928" s="10">
        <f>IF(AND(HOUR(B5928)&gt;=6,HOUR(B5928)&lt;18),"Day Shift","Night Shift")</f>
        <v/>
      </c>
      <c r="F5928" s="11">
        <f>INT(B5928)</f>
        <v/>
      </c>
      <c r="G5928" s="11">
        <f>INT(C5928)</f>
        <v/>
      </c>
    </row>
    <row r="5929">
      <c r="A5929" s="2" t="inlineStr">
        <is>
          <t>R04S Blockage</t>
        </is>
      </c>
      <c r="B5929" s="3" t="n">
        <v>46147.25</v>
      </c>
      <c r="C5929" s="3" t="n">
        <v>46147.75</v>
      </c>
      <c r="D5929" s="4">
        <f>(C5929-B5929)*24</f>
        <v/>
      </c>
      <c r="E5929" s="5">
        <f>IF(AND(HOUR(B5929)&gt;=6,HOUR(B5929)&lt;18),"Day Shift","Night Shift")</f>
        <v/>
      </c>
      <c r="F5929" s="6">
        <f>INT(B5929)</f>
        <v/>
      </c>
      <c r="G5929" s="6">
        <f>INT(C5929)</f>
        <v/>
      </c>
    </row>
    <row r="5930">
      <c r="A5930" s="2" t="inlineStr">
        <is>
          <t>EXD98</t>
        </is>
      </c>
      <c r="B5930" s="3" t="n">
        <v>46117.37909722222</v>
      </c>
      <c r="C5930" s="3" t="n">
        <v>46117.75</v>
      </c>
      <c r="D5930" s="4">
        <f>(C5930-B5930)*24</f>
        <v/>
      </c>
      <c r="E5930" s="5">
        <f>IF(AND(HOUR(B5930)&gt;=6,HOUR(B5930)&lt;18),"Day Shift","Night Shift")</f>
        <v/>
      </c>
      <c r="F5930" s="6">
        <f>INT(B5930)</f>
        <v/>
      </c>
      <c r="G5930" s="6">
        <f>INT(C5930)</f>
        <v/>
      </c>
    </row>
    <row r="5931">
      <c r="A5931" s="7" t="inlineStr">
        <is>
          <t>EXD98</t>
        </is>
      </c>
      <c r="B5931" s="8" t="n">
        <v>46117.75</v>
      </c>
      <c r="C5931" s="8" t="n">
        <v>46118.25</v>
      </c>
      <c r="D5931" s="9">
        <f>(C5931-B5931)*24</f>
        <v/>
      </c>
      <c r="E5931" s="10">
        <f>IF(AND(HOUR(B5931)&gt;=6,HOUR(B5931)&lt;18),"Day Shift","Night Shift")</f>
        <v/>
      </c>
      <c r="F5931" s="11">
        <f>INT(B5931)</f>
        <v/>
      </c>
      <c r="G5931" s="11">
        <f>INT(C5931)</f>
        <v/>
      </c>
    </row>
    <row r="5932">
      <c r="A5932" s="2" t="inlineStr">
        <is>
          <t>EXD98</t>
        </is>
      </c>
      <c r="B5932" s="3" t="n">
        <v>46118.25</v>
      </c>
      <c r="C5932" s="3" t="n">
        <v>46118.34842592593</v>
      </c>
      <c r="D5932" s="4">
        <f>(C5932-B5932)*24</f>
        <v/>
      </c>
      <c r="E5932" s="5">
        <f>IF(AND(HOUR(B5932)&gt;=6,HOUR(B5932)&lt;18),"Day Shift","Night Shift")</f>
        <v/>
      </c>
      <c r="F5932" s="6">
        <f>INT(B5932)</f>
        <v/>
      </c>
      <c r="G5932" s="6">
        <f>INT(C5932)</f>
        <v/>
      </c>
    </row>
    <row r="5933">
      <c r="A5933" s="2" t="inlineStr">
        <is>
          <t>LDW262</t>
        </is>
      </c>
      <c r="B5933" s="3" t="n">
        <v>46117.39377314815</v>
      </c>
      <c r="C5933" s="3" t="n">
        <v>46117.75</v>
      </c>
      <c r="D5933" s="4">
        <f>(C5933-B5933)*24</f>
        <v/>
      </c>
      <c r="E5933" s="5">
        <f>IF(AND(HOUR(B5933)&gt;=6,HOUR(B5933)&lt;18),"Day Shift","Night Shift")</f>
        <v/>
      </c>
      <c r="F5933" s="6">
        <f>INT(B5933)</f>
        <v/>
      </c>
      <c r="G5933" s="6">
        <f>INT(C5933)</f>
        <v/>
      </c>
    </row>
    <row r="5934">
      <c r="A5934" s="7" t="inlineStr">
        <is>
          <t>LDW262</t>
        </is>
      </c>
      <c r="B5934" s="8" t="n">
        <v>46117.75</v>
      </c>
      <c r="C5934" s="8" t="n">
        <v>46118.25</v>
      </c>
      <c r="D5934" s="9">
        <f>(C5934-B5934)*24</f>
        <v/>
      </c>
      <c r="E5934" s="10">
        <f>IF(AND(HOUR(B5934)&gt;=6,HOUR(B5934)&lt;18),"Day Shift","Night Shift")</f>
        <v/>
      </c>
      <c r="F5934" s="11">
        <f>INT(B5934)</f>
        <v/>
      </c>
      <c r="G5934" s="11">
        <f>INT(C5934)</f>
        <v/>
      </c>
    </row>
    <row r="5935">
      <c r="A5935" s="2" t="inlineStr">
        <is>
          <t>LDW262</t>
        </is>
      </c>
      <c r="B5935" s="3" t="n">
        <v>46118.25</v>
      </c>
      <c r="C5935" s="3" t="n">
        <v>46118.40819444445</v>
      </c>
      <c r="D5935" s="4">
        <f>(C5935-B5935)*24</f>
        <v/>
      </c>
      <c r="E5935" s="5">
        <f>IF(AND(HOUR(B5935)&gt;=6,HOUR(B5935)&lt;18),"Day Shift","Night Shift")</f>
        <v/>
      </c>
      <c r="F5935" s="6">
        <f>INT(B5935)</f>
        <v/>
      </c>
      <c r="G5935" s="6">
        <f>INT(C5935)</f>
        <v/>
      </c>
    </row>
    <row r="5936">
      <c r="A5936" s="2" t="inlineStr">
        <is>
          <t>EDD2541;EDD812;EDD175;EDD1932</t>
        </is>
      </c>
      <c r="B5936" s="3" t="n">
        <v>46117.43402777778</v>
      </c>
      <c r="C5936" s="3" t="n">
        <v>46117.5174537037</v>
      </c>
      <c r="D5936" s="4">
        <f>(C5936-B5936)*24</f>
        <v/>
      </c>
      <c r="E5936" s="5">
        <f>IF(AND(HOUR(B5936)&gt;=6,HOUR(B5936)&lt;18),"Day Shift","Night Shift")</f>
        <v/>
      </c>
      <c r="F5936" s="6">
        <f>INT(B5936)</f>
        <v/>
      </c>
      <c r="G5936" s="6">
        <f>INT(C5936)</f>
        <v/>
      </c>
    </row>
    <row r="5937">
      <c r="A5937" s="2" t="inlineStr">
        <is>
          <t>EXD409</t>
        </is>
      </c>
      <c r="B5937" s="3" t="n">
        <v>46117.44307870371</v>
      </c>
      <c r="C5937" s="3" t="n">
        <v>46117.75</v>
      </c>
      <c r="D5937" s="4">
        <f>(C5937-B5937)*24</f>
        <v/>
      </c>
      <c r="E5937" s="5">
        <f>IF(AND(HOUR(B5937)&gt;=6,HOUR(B5937)&lt;18),"Day Shift","Night Shift")</f>
        <v/>
      </c>
      <c r="F5937" s="6">
        <f>INT(B5937)</f>
        <v/>
      </c>
      <c r="G5937" s="6">
        <f>INT(C5937)</f>
        <v/>
      </c>
    </row>
    <row r="5938">
      <c r="A5938" s="7" t="inlineStr">
        <is>
          <t>EXD409</t>
        </is>
      </c>
      <c r="B5938" s="8" t="n">
        <v>46117.75</v>
      </c>
      <c r="C5938" s="8" t="n">
        <v>46118.25</v>
      </c>
      <c r="D5938" s="9">
        <f>(C5938-B5938)*24</f>
        <v/>
      </c>
      <c r="E5938" s="10">
        <f>IF(AND(HOUR(B5938)&gt;=6,HOUR(B5938)&lt;18),"Day Shift","Night Shift")</f>
        <v/>
      </c>
      <c r="F5938" s="11">
        <f>INT(B5938)</f>
        <v/>
      </c>
      <c r="G5938" s="11">
        <f>INT(C5938)</f>
        <v/>
      </c>
    </row>
    <row r="5939">
      <c r="A5939" s="2" t="inlineStr">
        <is>
          <t>EXD409</t>
        </is>
      </c>
      <c r="B5939" s="3" t="n">
        <v>46118.25</v>
      </c>
      <c r="C5939" s="3" t="n">
        <v>46118.66288194444</v>
      </c>
      <c r="D5939" s="4">
        <f>(C5939-B5939)*24</f>
        <v/>
      </c>
      <c r="E5939" s="5">
        <f>IF(AND(HOUR(B5939)&gt;=6,HOUR(B5939)&lt;18),"Day Shift","Night Shift")</f>
        <v/>
      </c>
      <c r="F5939" s="6">
        <f>INT(B5939)</f>
        <v/>
      </c>
      <c r="G5939" s="6">
        <f>INT(C5939)</f>
        <v/>
      </c>
    </row>
    <row r="5940">
      <c r="A5940" s="2" t="inlineStr">
        <is>
          <t>EXD61</t>
        </is>
      </c>
      <c r="B5940" s="3" t="n">
        <v>46117.45978009259</v>
      </c>
      <c r="C5940" s="3" t="n">
        <v>46117.75</v>
      </c>
      <c r="D5940" s="4">
        <f>(C5940-B5940)*24</f>
        <v/>
      </c>
      <c r="E5940" s="5">
        <f>IF(AND(HOUR(B5940)&gt;=6,HOUR(B5940)&lt;18),"Day Shift","Night Shift")</f>
        <v/>
      </c>
      <c r="F5940" s="6">
        <f>INT(B5940)</f>
        <v/>
      </c>
      <c r="G5940" s="6">
        <f>INT(C5940)</f>
        <v/>
      </c>
    </row>
    <row r="5941">
      <c r="A5941" s="7" t="inlineStr">
        <is>
          <t>EXD61</t>
        </is>
      </c>
      <c r="B5941" s="8" t="n">
        <v>46117.75</v>
      </c>
      <c r="C5941" s="8" t="n">
        <v>46117.75258101852</v>
      </c>
      <c r="D5941" s="9">
        <f>(C5941-B5941)*24</f>
        <v/>
      </c>
      <c r="E5941" s="10">
        <f>IF(AND(HOUR(B5941)&gt;=6,HOUR(B5941)&lt;18),"Day Shift","Night Shift")</f>
        <v/>
      </c>
      <c r="F5941" s="11">
        <f>INT(B5941)</f>
        <v/>
      </c>
      <c r="G5941" s="11">
        <f>INT(C5941)</f>
        <v/>
      </c>
    </row>
    <row r="5942">
      <c r="A5942" s="2" t="inlineStr">
        <is>
          <t>SHE36</t>
        </is>
      </c>
      <c r="B5942" s="3" t="n">
        <v>46117.46344907407</v>
      </c>
      <c r="C5942" s="3" t="n">
        <v>46117.75</v>
      </c>
      <c r="D5942" s="4">
        <f>(C5942-B5942)*24</f>
        <v/>
      </c>
      <c r="E5942" s="5">
        <f>IF(AND(HOUR(B5942)&gt;=6,HOUR(B5942)&lt;18),"Day Shift","Night Shift")</f>
        <v/>
      </c>
      <c r="F5942" s="6">
        <f>INT(B5942)</f>
        <v/>
      </c>
      <c r="G5942" s="6">
        <f>INT(C5942)</f>
        <v/>
      </c>
    </row>
    <row r="5943">
      <c r="A5943" s="7" t="inlineStr">
        <is>
          <t>SHE36</t>
        </is>
      </c>
      <c r="B5943" s="8" t="n">
        <v>46117.75</v>
      </c>
      <c r="C5943" s="8" t="n">
        <v>46118.08636574074</v>
      </c>
      <c r="D5943" s="9">
        <f>(C5943-B5943)*24</f>
        <v/>
      </c>
      <c r="E5943" s="10">
        <f>IF(AND(HOUR(B5943)&gt;=6,HOUR(B5943)&lt;18),"Day Shift","Night Shift")</f>
        <v/>
      </c>
      <c r="F5943" s="11">
        <f>INT(B5943)</f>
        <v/>
      </c>
      <c r="G5943" s="11">
        <f>INT(C5943)</f>
        <v/>
      </c>
    </row>
    <row r="5944">
      <c r="A5944" s="2" t="inlineStr">
        <is>
          <t>DRE42</t>
        </is>
      </c>
      <c r="B5944" s="3" t="n">
        <v>46117.46600694444</v>
      </c>
      <c r="C5944" s="3" t="n">
        <v>46117.75</v>
      </c>
      <c r="D5944" s="4">
        <f>(C5944-B5944)*24</f>
        <v/>
      </c>
      <c r="E5944" s="5">
        <f>IF(AND(HOUR(B5944)&gt;=6,HOUR(B5944)&lt;18),"Day Shift","Night Shift")</f>
        <v/>
      </c>
      <c r="F5944" s="6">
        <f>INT(B5944)</f>
        <v/>
      </c>
      <c r="G5944" s="6">
        <f>INT(C5944)</f>
        <v/>
      </c>
    </row>
    <row r="5945">
      <c r="A5945" s="7" t="inlineStr">
        <is>
          <t>DRE42</t>
        </is>
      </c>
      <c r="B5945" s="8" t="n">
        <v>46117.75</v>
      </c>
      <c r="C5945" s="8" t="n">
        <v>46118.25</v>
      </c>
      <c r="D5945" s="9">
        <f>(C5945-B5945)*24</f>
        <v/>
      </c>
      <c r="E5945" s="10">
        <f>IF(AND(HOUR(B5945)&gt;=6,HOUR(B5945)&lt;18),"Day Shift","Night Shift")</f>
        <v/>
      </c>
      <c r="F5945" s="11">
        <f>INT(B5945)</f>
        <v/>
      </c>
      <c r="G5945" s="11">
        <f>INT(C5945)</f>
        <v/>
      </c>
    </row>
    <row r="5946">
      <c r="A5946" s="2" t="inlineStr">
        <is>
          <t>DRE42</t>
        </is>
      </c>
      <c r="B5946" s="3" t="n">
        <v>46118.25</v>
      </c>
      <c r="C5946" s="3" t="n">
        <v>46118.75</v>
      </c>
      <c r="D5946" s="4">
        <f>(C5946-B5946)*24</f>
        <v/>
      </c>
      <c r="E5946" s="5">
        <f>IF(AND(HOUR(B5946)&gt;=6,HOUR(B5946)&lt;18),"Day Shift","Night Shift")</f>
        <v/>
      </c>
      <c r="F5946" s="6">
        <f>INT(B5946)</f>
        <v/>
      </c>
      <c r="G5946" s="6">
        <f>INT(C5946)</f>
        <v/>
      </c>
    </row>
    <row r="5947">
      <c r="A5947" s="7" t="inlineStr">
        <is>
          <t>DRE42</t>
        </is>
      </c>
      <c r="B5947" s="8" t="n">
        <v>46118.75</v>
      </c>
      <c r="C5947" s="8" t="n">
        <v>46119.09034722222</v>
      </c>
      <c r="D5947" s="9">
        <f>(C5947-B5947)*24</f>
        <v/>
      </c>
      <c r="E5947" s="10">
        <f>IF(AND(HOUR(B5947)&gt;=6,HOUR(B5947)&lt;18),"Day Shift","Night Shift")</f>
        <v/>
      </c>
      <c r="F5947" s="11">
        <f>INT(B5947)</f>
        <v/>
      </c>
      <c r="G5947" s="11">
        <f>INT(C5947)</f>
        <v/>
      </c>
    </row>
    <row r="5948">
      <c r="A5948" s="2" t="inlineStr">
        <is>
          <t>EXD100</t>
        </is>
      </c>
      <c r="B5948" s="3" t="n">
        <v>46117.4834837963</v>
      </c>
      <c r="C5948" s="3" t="n">
        <v>46117.75</v>
      </c>
      <c r="D5948" s="4">
        <f>(C5948-B5948)*24</f>
        <v/>
      </c>
      <c r="E5948" s="5">
        <f>IF(AND(HOUR(B5948)&gt;=6,HOUR(B5948)&lt;18),"Day Shift","Night Shift")</f>
        <v/>
      </c>
      <c r="F5948" s="6">
        <f>INT(B5948)</f>
        <v/>
      </c>
      <c r="G5948" s="6">
        <f>INT(C5948)</f>
        <v/>
      </c>
    </row>
    <row r="5949">
      <c r="A5949" s="7" t="inlineStr">
        <is>
          <t>EXD100</t>
        </is>
      </c>
      <c r="B5949" s="8" t="n">
        <v>46117.75</v>
      </c>
      <c r="C5949" s="8" t="n">
        <v>46118.25</v>
      </c>
      <c r="D5949" s="9">
        <f>(C5949-B5949)*24</f>
        <v/>
      </c>
      <c r="E5949" s="10">
        <f>IF(AND(HOUR(B5949)&gt;=6,HOUR(B5949)&lt;18),"Day Shift","Night Shift")</f>
        <v/>
      </c>
      <c r="F5949" s="11">
        <f>INT(B5949)</f>
        <v/>
      </c>
      <c r="G5949" s="11">
        <f>INT(C5949)</f>
        <v/>
      </c>
    </row>
    <row r="5950">
      <c r="A5950" s="2" t="inlineStr">
        <is>
          <t>EXD100</t>
        </is>
      </c>
      <c r="B5950" s="3" t="n">
        <v>46118.25</v>
      </c>
      <c r="C5950" s="3" t="n">
        <v>46118.75</v>
      </c>
      <c r="D5950" s="4">
        <f>(C5950-B5950)*24</f>
        <v/>
      </c>
      <c r="E5950" s="5">
        <f>IF(AND(HOUR(B5950)&gt;=6,HOUR(B5950)&lt;18),"Day Shift","Night Shift")</f>
        <v/>
      </c>
      <c r="F5950" s="6">
        <f>INT(B5950)</f>
        <v/>
      </c>
      <c r="G5950" s="6">
        <f>INT(C5950)</f>
        <v/>
      </c>
    </row>
    <row r="5951">
      <c r="A5951" s="7" t="inlineStr">
        <is>
          <t>EXD100</t>
        </is>
      </c>
      <c r="B5951" s="8" t="n">
        <v>46118.75</v>
      </c>
      <c r="C5951" s="8" t="n">
        <v>46119.09502314815</v>
      </c>
      <c r="D5951" s="9">
        <f>(C5951-B5951)*24</f>
        <v/>
      </c>
      <c r="E5951" s="10">
        <f>IF(AND(HOUR(B5951)&gt;=6,HOUR(B5951)&lt;18),"Day Shift","Night Shift")</f>
        <v/>
      </c>
      <c r="F5951" s="11">
        <f>INT(B5951)</f>
        <v/>
      </c>
      <c r="G5951" s="11">
        <f>INT(C5951)</f>
        <v/>
      </c>
    </row>
    <row r="5952">
      <c r="A5952" s="2" t="inlineStr">
        <is>
          <t>EDD175;EDD1932;EDD2541;EDD812</t>
        </is>
      </c>
      <c r="B5952" s="3" t="n">
        <v>46117.5174537037</v>
      </c>
      <c r="C5952" s="3" t="n">
        <v>46117.58162037037</v>
      </c>
      <c r="D5952" s="4">
        <f>(C5952-B5952)*24</f>
        <v/>
      </c>
      <c r="E5952" s="5">
        <f>IF(AND(HOUR(B5952)&gt;=6,HOUR(B5952)&lt;18),"Day Shift","Night Shift")</f>
        <v/>
      </c>
      <c r="F5952" s="6">
        <f>INT(B5952)</f>
        <v/>
      </c>
      <c r="G5952" s="6">
        <f>INT(C5952)</f>
        <v/>
      </c>
    </row>
    <row r="5953">
      <c r="A5953" s="2" t="inlineStr">
        <is>
          <t>EXD101</t>
        </is>
      </c>
      <c r="B5953" s="3" t="n">
        <v>46117.57243055556</v>
      </c>
      <c r="C5953" s="3" t="n">
        <v>46117.75</v>
      </c>
      <c r="D5953" s="4">
        <f>(C5953-B5953)*24</f>
        <v/>
      </c>
      <c r="E5953" s="5">
        <f>IF(AND(HOUR(B5953)&gt;=6,HOUR(B5953)&lt;18),"Day Shift","Night Shift")</f>
        <v/>
      </c>
      <c r="F5953" s="6">
        <f>INT(B5953)</f>
        <v/>
      </c>
      <c r="G5953" s="6">
        <f>INT(C5953)</f>
        <v/>
      </c>
    </row>
    <row r="5954">
      <c r="A5954" s="7" t="inlineStr">
        <is>
          <t>EXD101</t>
        </is>
      </c>
      <c r="B5954" s="8" t="n">
        <v>46117.75</v>
      </c>
      <c r="C5954" s="8" t="n">
        <v>46117.83133101852</v>
      </c>
      <c r="D5954" s="9">
        <f>(C5954-B5954)*24</f>
        <v/>
      </c>
      <c r="E5954" s="10">
        <f>IF(AND(HOUR(B5954)&gt;=6,HOUR(B5954)&lt;18),"Day Shift","Night Shift")</f>
        <v/>
      </c>
      <c r="F5954" s="11">
        <f>INT(B5954)</f>
        <v/>
      </c>
      <c r="G5954" s="11">
        <f>INT(C5954)</f>
        <v/>
      </c>
    </row>
    <row r="5955">
      <c r="A5955" s="2" t="inlineStr">
        <is>
          <t>EDD175;EDD1932;EDD2541;EDD812</t>
        </is>
      </c>
      <c r="B5955" s="3" t="n">
        <v>46117.58162037037</v>
      </c>
      <c r="C5955" s="3" t="n">
        <v>46117.68990740741</v>
      </c>
      <c r="D5955" s="4">
        <f>(C5955-B5955)*24</f>
        <v/>
      </c>
      <c r="E5955" s="5">
        <f>IF(AND(HOUR(B5955)&gt;=6,HOUR(B5955)&lt;18),"Day Shift","Night Shift")</f>
        <v/>
      </c>
      <c r="F5955" s="6">
        <f>INT(B5955)</f>
        <v/>
      </c>
      <c r="G5955" s="6">
        <f>INT(C5955)</f>
        <v/>
      </c>
    </row>
    <row r="5956">
      <c r="A5956" s="2" t="inlineStr">
        <is>
          <t>Sprint 1</t>
        </is>
      </c>
      <c r="B5956" s="3" t="n">
        <v>46117.61484953704</v>
      </c>
      <c r="C5956" s="3" t="n">
        <v>46117.75</v>
      </c>
      <c r="D5956" s="4">
        <f>(C5956-B5956)*24</f>
        <v/>
      </c>
      <c r="E5956" s="5">
        <f>IF(AND(HOUR(B5956)&gt;=6,HOUR(B5956)&lt;18),"Day Shift","Night Shift")</f>
        <v/>
      </c>
      <c r="F5956" s="6">
        <f>INT(B5956)</f>
        <v/>
      </c>
      <c r="G5956" s="6">
        <f>INT(C5956)</f>
        <v/>
      </c>
    </row>
    <row r="5957">
      <c r="A5957" s="7" t="inlineStr">
        <is>
          <t>Sprint 1</t>
        </is>
      </c>
      <c r="B5957" s="8" t="n">
        <v>46117.75</v>
      </c>
      <c r="C5957" s="8" t="n">
        <v>46118.25</v>
      </c>
      <c r="D5957" s="9">
        <f>(C5957-B5957)*24</f>
        <v/>
      </c>
      <c r="E5957" s="10">
        <f>IF(AND(HOUR(B5957)&gt;=6,HOUR(B5957)&lt;18),"Day Shift","Night Shift")</f>
        <v/>
      </c>
      <c r="F5957" s="11">
        <f>INT(B5957)</f>
        <v/>
      </c>
      <c r="G5957" s="11">
        <f>INT(C5957)</f>
        <v/>
      </c>
    </row>
    <row r="5958">
      <c r="A5958" s="2" t="inlineStr">
        <is>
          <t>Sprint 1</t>
        </is>
      </c>
      <c r="B5958" s="3" t="n">
        <v>46118.25</v>
      </c>
      <c r="C5958" s="3" t="n">
        <v>46118.48327546296</v>
      </c>
      <c r="D5958" s="4">
        <f>(C5958-B5958)*24</f>
        <v/>
      </c>
      <c r="E5958" s="5">
        <f>IF(AND(HOUR(B5958)&gt;=6,HOUR(B5958)&lt;18),"Day Shift","Night Shift")</f>
        <v/>
      </c>
      <c r="F5958" s="6">
        <f>INT(B5958)</f>
        <v/>
      </c>
      <c r="G5958" s="6">
        <f>INT(C5958)</f>
        <v/>
      </c>
    </row>
    <row r="5959">
      <c r="A5959" s="2" t="inlineStr">
        <is>
          <t>EXD51</t>
        </is>
      </c>
      <c r="B5959" s="3" t="n">
        <v>46117.6609837963</v>
      </c>
      <c r="C5959" s="3" t="n">
        <v>46117.75</v>
      </c>
      <c r="D5959" s="4">
        <f>(C5959-B5959)*24</f>
        <v/>
      </c>
      <c r="E5959" s="5">
        <f>IF(AND(HOUR(B5959)&gt;=6,HOUR(B5959)&lt;18),"Day Shift","Night Shift")</f>
        <v/>
      </c>
      <c r="F5959" s="6">
        <f>INT(B5959)</f>
        <v/>
      </c>
      <c r="G5959" s="6">
        <f>INT(C5959)</f>
        <v/>
      </c>
    </row>
    <row r="5960">
      <c r="A5960" s="7" t="inlineStr">
        <is>
          <t>EXD51</t>
        </is>
      </c>
      <c r="B5960" s="8" t="n">
        <v>46117.75</v>
      </c>
      <c r="C5960" s="8" t="n">
        <v>46118.25</v>
      </c>
      <c r="D5960" s="9">
        <f>(C5960-B5960)*24</f>
        <v/>
      </c>
      <c r="E5960" s="10">
        <f>IF(AND(HOUR(B5960)&gt;=6,HOUR(B5960)&lt;18),"Day Shift","Night Shift")</f>
        <v/>
      </c>
      <c r="F5960" s="11">
        <f>INT(B5960)</f>
        <v/>
      </c>
      <c r="G5960" s="11">
        <f>INT(C5960)</f>
        <v/>
      </c>
    </row>
    <row r="5961">
      <c r="A5961" s="2" t="inlineStr">
        <is>
          <t>EXD51</t>
        </is>
      </c>
      <c r="B5961" s="3" t="n">
        <v>46118.25</v>
      </c>
      <c r="C5961" s="3" t="n">
        <v>46118.75</v>
      </c>
      <c r="D5961" s="4">
        <f>(C5961-B5961)*24</f>
        <v/>
      </c>
      <c r="E5961" s="5">
        <f>IF(AND(HOUR(B5961)&gt;=6,HOUR(B5961)&lt;18),"Day Shift","Night Shift")</f>
        <v/>
      </c>
      <c r="F5961" s="6">
        <f>INT(B5961)</f>
        <v/>
      </c>
      <c r="G5961" s="6">
        <f>INT(C5961)</f>
        <v/>
      </c>
    </row>
    <row r="5962">
      <c r="A5962" s="7" t="inlineStr">
        <is>
          <t>EXD51</t>
        </is>
      </c>
      <c r="B5962" s="8" t="n">
        <v>46118.75</v>
      </c>
      <c r="C5962" s="8" t="n">
        <v>46118.96386574074</v>
      </c>
      <c r="D5962" s="9">
        <f>(C5962-B5962)*24</f>
        <v/>
      </c>
      <c r="E5962" s="10">
        <f>IF(AND(HOUR(B5962)&gt;=6,HOUR(B5962)&lt;18),"Day Shift","Night Shift")</f>
        <v/>
      </c>
      <c r="F5962" s="11">
        <f>INT(B5962)</f>
        <v/>
      </c>
      <c r="G5962" s="11">
        <f>INT(C5962)</f>
        <v/>
      </c>
    </row>
    <row r="5963">
      <c r="A5963" s="2" t="inlineStr">
        <is>
          <t>EDD175;EDD1932;EDD2541;EDD812</t>
        </is>
      </c>
      <c r="B5963" s="3" t="n">
        <v>46117.68990740741</v>
      </c>
      <c r="C5963" s="3" t="n">
        <v>46117.75</v>
      </c>
      <c r="D5963" s="4">
        <f>(C5963-B5963)*24</f>
        <v/>
      </c>
      <c r="E5963" s="5">
        <f>IF(AND(HOUR(B5963)&gt;=6,HOUR(B5963)&lt;18),"Day Shift","Night Shift")</f>
        <v/>
      </c>
      <c r="F5963" s="6">
        <f>INT(B5963)</f>
        <v/>
      </c>
      <c r="G5963" s="6">
        <f>INT(C5963)</f>
        <v/>
      </c>
    </row>
    <row r="5964">
      <c r="A5964" s="7" t="inlineStr">
        <is>
          <t>EDD175;EDD1932;EDD2541;EDD812</t>
        </is>
      </c>
      <c r="B5964" s="8" t="n">
        <v>46117.75</v>
      </c>
      <c r="C5964" s="8" t="n">
        <v>46117.81106481481</v>
      </c>
      <c r="D5964" s="9">
        <f>(C5964-B5964)*24</f>
        <v/>
      </c>
      <c r="E5964" s="10">
        <f>IF(AND(HOUR(B5964)&gt;=6,HOUR(B5964)&lt;18),"Day Shift","Night Shift")</f>
        <v/>
      </c>
      <c r="F5964" s="11">
        <f>INT(B5964)</f>
        <v/>
      </c>
      <c r="G5964" s="11">
        <f>INT(C5964)</f>
        <v/>
      </c>
    </row>
    <row r="5965">
      <c r="A5965" s="7" t="inlineStr">
        <is>
          <t>EXD61</t>
        </is>
      </c>
      <c r="B5965" s="8" t="n">
        <v>46117.75258101852</v>
      </c>
      <c r="C5965" s="8" t="n">
        <v>46118.25</v>
      </c>
      <c r="D5965" s="9">
        <f>(C5965-B5965)*24</f>
        <v/>
      </c>
      <c r="E5965" s="10">
        <f>IF(AND(HOUR(B5965)&gt;=6,HOUR(B5965)&lt;18),"Day Shift","Night Shift")</f>
        <v/>
      </c>
      <c r="F5965" s="11">
        <f>INT(B5965)</f>
        <v/>
      </c>
      <c r="G5965" s="11">
        <f>INT(C5965)</f>
        <v/>
      </c>
    </row>
    <row r="5966">
      <c r="A5966" s="2" t="inlineStr">
        <is>
          <t>EXD61</t>
        </is>
      </c>
      <c r="B5966" s="3" t="n">
        <v>46118.25</v>
      </c>
      <c r="C5966" s="3" t="n">
        <v>46118.75</v>
      </c>
      <c r="D5966" s="4">
        <f>(C5966-B5966)*24</f>
        <v/>
      </c>
      <c r="E5966" s="5">
        <f>IF(AND(HOUR(B5966)&gt;=6,HOUR(B5966)&lt;18),"Day Shift","Night Shift")</f>
        <v/>
      </c>
      <c r="F5966" s="6">
        <f>INT(B5966)</f>
        <v/>
      </c>
      <c r="G5966" s="6">
        <f>INT(C5966)</f>
        <v/>
      </c>
    </row>
    <row r="5967">
      <c r="A5967" s="7" t="inlineStr">
        <is>
          <t>EXD61</t>
        </is>
      </c>
      <c r="B5967" s="8" t="n">
        <v>46118.75</v>
      </c>
      <c r="C5967" s="8" t="n">
        <v>46119.25</v>
      </c>
      <c r="D5967" s="9">
        <f>(C5967-B5967)*24</f>
        <v/>
      </c>
      <c r="E5967" s="10">
        <f>IF(AND(HOUR(B5967)&gt;=6,HOUR(B5967)&lt;18),"Day Shift","Night Shift")</f>
        <v/>
      </c>
      <c r="F5967" s="11">
        <f>INT(B5967)</f>
        <v/>
      </c>
      <c r="G5967" s="11">
        <f>INT(C5967)</f>
        <v/>
      </c>
    </row>
    <row r="5968">
      <c r="A5968" s="2" t="inlineStr">
        <is>
          <t>EXD61</t>
        </is>
      </c>
      <c r="B5968" s="3" t="n">
        <v>46119.25</v>
      </c>
      <c r="C5968" s="3" t="n">
        <v>46119.75</v>
      </c>
      <c r="D5968" s="4">
        <f>(C5968-B5968)*24</f>
        <v/>
      </c>
      <c r="E5968" s="5">
        <f>IF(AND(HOUR(B5968)&gt;=6,HOUR(B5968)&lt;18),"Day Shift","Night Shift")</f>
        <v/>
      </c>
      <c r="F5968" s="6">
        <f>INT(B5968)</f>
        <v/>
      </c>
      <c r="G5968" s="6">
        <f>INT(C5968)</f>
        <v/>
      </c>
    </row>
    <row r="5969">
      <c r="A5969" s="7" t="inlineStr">
        <is>
          <t>EXD61</t>
        </is>
      </c>
      <c r="B5969" s="8" t="n">
        <v>46119.75</v>
      </c>
      <c r="C5969" s="8" t="n">
        <v>46120.19244212963</v>
      </c>
      <c r="D5969" s="9">
        <f>(C5969-B5969)*24</f>
        <v/>
      </c>
      <c r="E5969" s="10">
        <f>IF(AND(HOUR(B5969)&gt;=6,HOUR(B5969)&lt;18),"Day Shift","Night Shift")</f>
        <v/>
      </c>
      <c r="F5969" s="11">
        <f>INT(B5969)</f>
        <v/>
      </c>
      <c r="G5969" s="11">
        <f>INT(C5969)</f>
        <v/>
      </c>
    </row>
    <row r="5970">
      <c r="A5970" s="7" t="inlineStr">
        <is>
          <t>EDD175;EDD1932;EDD2541;EDD812</t>
        </is>
      </c>
      <c r="B5970" s="8" t="n">
        <v>46117.81106481481</v>
      </c>
      <c r="C5970" s="8" t="n">
        <v>46117.91943287037</v>
      </c>
      <c r="D5970" s="9">
        <f>(C5970-B5970)*24</f>
        <v/>
      </c>
      <c r="E5970" s="10">
        <f>IF(AND(HOUR(B5970)&gt;=6,HOUR(B5970)&lt;18),"Day Shift","Night Shift")</f>
        <v/>
      </c>
      <c r="F5970" s="11">
        <f>INT(B5970)</f>
        <v/>
      </c>
      <c r="G5970" s="11">
        <f>INT(C5970)</f>
        <v/>
      </c>
    </row>
    <row r="5971">
      <c r="A5971" s="7" t="inlineStr">
        <is>
          <t>EXD408</t>
        </is>
      </c>
      <c r="B5971" s="8" t="n">
        <v>46117.83785879629</v>
      </c>
      <c r="C5971" s="8" t="n">
        <v>46118.25</v>
      </c>
      <c r="D5971" s="9">
        <f>(C5971-B5971)*24</f>
        <v/>
      </c>
      <c r="E5971" s="10">
        <f>IF(AND(HOUR(B5971)&gt;=6,HOUR(B5971)&lt;18),"Day Shift","Night Shift")</f>
        <v/>
      </c>
      <c r="F5971" s="11">
        <f>INT(B5971)</f>
        <v/>
      </c>
      <c r="G5971" s="11">
        <f>INT(C5971)</f>
        <v/>
      </c>
    </row>
    <row r="5972">
      <c r="A5972" s="2" t="inlineStr">
        <is>
          <t>EXD408</t>
        </is>
      </c>
      <c r="B5972" s="3" t="n">
        <v>46118.25</v>
      </c>
      <c r="C5972" s="3" t="n">
        <v>46118.75</v>
      </c>
      <c r="D5972" s="4">
        <f>(C5972-B5972)*24</f>
        <v/>
      </c>
      <c r="E5972" s="5">
        <f>IF(AND(HOUR(B5972)&gt;=6,HOUR(B5972)&lt;18),"Day Shift","Night Shift")</f>
        <v/>
      </c>
      <c r="F5972" s="6">
        <f>INT(B5972)</f>
        <v/>
      </c>
      <c r="G5972" s="6">
        <f>INT(C5972)</f>
        <v/>
      </c>
    </row>
    <row r="5973">
      <c r="A5973" s="7" t="inlineStr">
        <is>
          <t>EXD408</t>
        </is>
      </c>
      <c r="B5973" s="8" t="n">
        <v>46118.75</v>
      </c>
      <c r="C5973" s="8" t="n">
        <v>46119.25</v>
      </c>
      <c r="D5973" s="9">
        <f>(C5973-B5973)*24</f>
        <v/>
      </c>
      <c r="E5973" s="10">
        <f>IF(AND(HOUR(B5973)&gt;=6,HOUR(B5973)&lt;18),"Day Shift","Night Shift")</f>
        <v/>
      </c>
      <c r="F5973" s="11">
        <f>INT(B5973)</f>
        <v/>
      </c>
      <c r="G5973" s="11">
        <f>INT(C5973)</f>
        <v/>
      </c>
    </row>
    <row r="5974">
      <c r="A5974" s="2" t="inlineStr">
        <is>
          <t>EXD408</t>
        </is>
      </c>
      <c r="B5974" s="3" t="n">
        <v>46119.25</v>
      </c>
      <c r="C5974" s="3" t="n">
        <v>46119.75</v>
      </c>
      <c r="D5974" s="4">
        <f>(C5974-B5974)*24</f>
        <v/>
      </c>
      <c r="E5974" s="5">
        <f>IF(AND(HOUR(B5974)&gt;=6,HOUR(B5974)&lt;18),"Day Shift","Night Shift")</f>
        <v/>
      </c>
      <c r="F5974" s="6">
        <f>INT(B5974)</f>
        <v/>
      </c>
      <c r="G5974" s="6">
        <f>INT(C5974)</f>
        <v/>
      </c>
    </row>
    <row r="5975">
      <c r="A5975" s="7" t="inlineStr">
        <is>
          <t>EXD408</t>
        </is>
      </c>
      <c r="B5975" s="8" t="n">
        <v>46119.75</v>
      </c>
      <c r="C5975" s="8" t="n">
        <v>46120.25</v>
      </c>
      <c r="D5975" s="9">
        <f>(C5975-B5975)*24</f>
        <v/>
      </c>
      <c r="E5975" s="10">
        <f>IF(AND(HOUR(B5975)&gt;=6,HOUR(B5975)&lt;18),"Day Shift","Night Shift")</f>
        <v/>
      </c>
      <c r="F5975" s="11">
        <f>INT(B5975)</f>
        <v/>
      </c>
      <c r="G5975" s="11">
        <f>INT(C5975)</f>
        <v/>
      </c>
    </row>
    <row r="5976">
      <c r="A5976" s="2" t="inlineStr">
        <is>
          <t>EXD408</t>
        </is>
      </c>
      <c r="B5976" s="3" t="n">
        <v>46120.25</v>
      </c>
      <c r="C5976" s="3" t="n">
        <v>46120.45461805556</v>
      </c>
      <c r="D5976" s="4">
        <f>(C5976-B5976)*24</f>
        <v/>
      </c>
      <c r="E5976" s="5">
        <f>IF(AND(HOUR(B5976)&gt;=6,HOUR(B5976)&lt;18),"Day Shift","Night Shift")</f>
        <v/>
      </c>
      <c r="F5976" s="6">
        <f>INT(B5976)</f>
        <v/>
      </c>
      <c r="G5976" s="6">
        <f>INT(C5976)</f>
        <v/>
      </c>
    </row>
    <row r="5977">
      <c r="A5977" s="7" t="inlineStr">
        <is>
          <t>EXD101</t>
        </is>
      </c>
      <c r="B5977" s="8" t="n">
        <v>46117.8431712963</v>
      </c>
      <c r="C5977" s="8" t="n">
        <v>46118.25</v>
      </c>
      <c r="D5977" s="9">
        <f>(C5977-B5977)*24</f>
        <v/>
      </c>
      <c r="E5977" s="10">
        <f>IF(AND(HOUR(B5977)&gt;=6,HOUR(B5977)&lt;18),"Day Shift","Night Shift")</f>
        <v/>
      </c>
      <c r="F5977" s="11">
        <f>INT(B5977)</f>
        <v/>
      </c>
      <c r="G5977" s="11">
        <f>INT(C5977)</f>
        <v/>
      </c>
    </row>
    <row r="5978">
      <c r="A5978" s="2" t="inlineStr">
        <is>
          <t>EXD101</t>
        </is>
      </c>
      <c r="B5978" s="3" t="n">
        <v>46118.25</v>
      </c>
      <c r="C5978" s="3" t="n">
        <v>46118.75</v>
      </c>
      <c r="D5978" s="4">
        <f>(C5978-B5978)*24</f>
        <v/>
      </c>
      <c r="E5978" s="5">
        <f>IF(AND(HOUR(B5978)&gt;=6,HOUR(B5978)&lt;18),"Day Shift","Night Shift")</f>
        <v/>
      </c>
      <c r="F5978" s="6">
        <f>INT(B5978)</f>
        <v/>
      </c>
      <c r="G5978" s="6">
        <f>INT(C5978)</f>
        <v/>
      </c>
    </row>
    <row r="5979">
      <c r="A5979" s="7" t="inlineStr">
        <is>
          <t>EXD101</t>
        </is>
      </c>
      <c r="B5979" s="8" t="n">
        <v>46118.75</v>
      </c>
      <c r="C5979" s="8" t="n">
        <v>46119.25</v>
      </c>
      <c r="D5979" s="9">
        <f>(C5979-B5979)*24</f>
        <v/>
      </c>
      <c r="E5979" s="10">
        <f>IF(AND(HOUR(B5979)&gt;=6,HOUR(B5979)&lt;18),"Day Shift","Night Shift")</f>
        <v/>
      </c>
      <c r="F5979" s="11">
        <f>INT(B5979)</f>
        <v/>
      </c>
      <c r="G5979" s="11">
        <f>INT(C5979)</f>
        <v/>
      </c>
    </row>
    <row r="5980">
      <c r="A5980" s="2" t="inlineStr">
        <is>
          <t>EXD101</t>
        </is>
      </c>
      <c r="B5980" s="3" t="n">
        <v>46119.25</v>
      </c>
      <c r="C5980" s="3" t="n">
        <v>46119.63269675926</v>
      </c>
      <c r="D5980" s="4">
        <f>(C5980-B5980)*24</f>
        <v/>
      </c>
      <c r="E5980" s="5">
        <f>IF(AND(HOUR(B5980)&gt;=6,HOUR(B5980)&lt;18),"Day Shift","Night Shift")</f>
        <v/>
      </c>
      <c r="F5980" s="6">
        <f>INT(B5980)</f>
        <v/>
      </c>
      <c r="G5980" s="6">
        <f>INT(C5980)</f>
        <v/>
      </c>
    </row>
    <row r="5981">
      <c r="A5981" s="7" t="inlineStr">
        <is>
          <t>DRE12</t>
        </is>
      </c>
      <c r="B5981" s="8" t="n">
        <v>46117.8675</v>
      </c>
      <c r="C5981" s="8" t="n">
        <v>46118.25</v>
      </c>
      <c r="D5981" s="9">
        <f>(C5981-B5981)*24</f>
        <v/>
      </c>
      <c r="E5981" s="10">
        <f>IF(AND(HOUR(B5981)&gt;=6,HOUR(B5981)&lt;18),"Day Shift","Night Shift")</f>
        <v/>
      </c>
      <c r="F5981" s="11">
        <f>INT(B5981)</f>
        <v/>
      </c>
      <c r="G5981" s="11">
        <f>INT(C5981)</f>
        <v/>
      </c>
    </row>
    <row r="5982">
      <c r="A5982" s="2" t="inlineStr">
        <is>
          <t>DRE12</t>
        </is>
      </c>
      <c r="B5982" s="3" t="n">
        <v>46118.25</v>
      </c>
      <c r="C5982" s="3" t="n">
        <v>46118.75</v>
      </c>
      <c r="D5982" s="4">
        <f>(C5982-B5982)*24</f>
        <v/>
      </c>
      <c r="E5982" s="5">
        <f>IF(AND(HOUR(B5982)&gt;=6,HOUR(B5982)&lt;18),"Day Shift","Night Shift")</f>
        <v/>
      </c>
      <c r="F5982" s="6">
        <f>INT(B5982)</f>
        <v/>
      </c>
      <c r="G5982" s="6">
        <f>INT(C5982)</f>
        <v/>
      </c>
    </row>
    <row r="5983">
      <c r="A5983" s="7" t="inlineStr">
        <is>
          <t>DRE12</t>
        </is>
      </c>
      <c r="B5983" s="8" t="n">
        <v>46118.75</v>
      </c>
      <c r="C5983" s="8" t="n">
        <v>46119.12857638889</v>
      </c>
      <c r="D5983" s="9">
        <f>(C5983-B5983)*24</f>
        <v/>
      </c>
      <c r="E5983" s="10">
        <f>IF(AND(HOUR(B5983)&gt;=6,HOUR(B5983)&lt;18),"Day Shift","Night Shift")</f>
        <v/>
      </c>
      <c r="F5983" s="11">
        <f>INT(B5983)</f>
        <v/>
      </c>
      <c r="G5983" s="11">
        <f>INT(C5983)</f>
        <v/>
      </c>
    </row>
    <row r="5984">
      <c r="A5984" s="7" t="inlineStr">
        <is>
          <t>EDD175;EDD1932;EDD2541;EDD812</t>
        </is>
      </c>
      <c r="B5984" s="8" t="n">
        <v>46117.91943287037</v>
      </c>
      <c r="C5984" s="8" t="n">
        <v>46118.02980324074</v>
      </c>
      <c r="D5984" s="9">
        <f>(C5984-B5984)*24</f>
        <v/>
      </c>
      <c r="E5984" s="10">
        <f>IF(AND(HOUR(B5984)&gt;=6,HOUR(B5984)&lt;18),"Day Shift","Night Shift")</f>
        <v/>
      </c>
      <c r="F5984" s="11">
        <f>INT(B5984)</f>
        <v/>
      </c>
      <c r="G5984" s="11">
        <f>INT(C5984)</f>
        <v/>
      </c>
    </row>
    <row r="5985">
      <c r="A5985" s="7" t="inlineStr">
        <is>
          <t>DRE09</t>
        </is>
      </c>
      <c r="B5985" s="8" t="n">
        <v>46117.94899305556</v>
      </c>
      <c r="C5985" s="8" t="n">
        <v>46118.25</v>
      </c>
      <c r="D5985" s="9">
        <f>(C5985-B5985)*24</f>
        <v/>
      </c>
      <c r="E5985" s="10">
        <f>IF(AND(HOUR(B5985)&gt;=6,HOUR(B5985)&lt;18),"Day Shift","Night Shift")</f>
        <v/>
      </c>
      <c r="F5985" s="11">
        <f>INT(B5985)</f>
        <v/>
      </c>
      <c r="G5985" s="11">
        <f>INT(C5985)</f>
        <v/>
      </c>
    </row>
    <row r="5986">
      <c r="A5986" s="2" t="inlineStr">
        <is>
          <t>DRE09</t>
        </is>
      </c>
      <c r="B5986" s="3" t="n">
        <v>46118.25</v>
      </c>
      <c r="C5986" s="3" t="n">
        <v>46118.75</v>
      </c>
      <c r="D5986" s="4">
        <f>(C5986-B5986)*24</f>
        <v/>
      </c>
      <c r="E5986" s="5">
        <f>IF(AND(HOUR(B5986)&gt;=6,HOUR(B5986)&lt;18),"Day Shift","Night Shift")</f>
        <v/>
      </c>
      <c r="F5986" s="6">
        <f>INT(B5986)</f>
        <v/>
      </c>
      <c r="G5986" s="6">
        <f>INT(C5986)</f>
        <v/>
      </c>
    </row>
    <row r="5987">
      <c r="A5987" s="7" t="inlineStr">
        <is>
          <t>DRE09</t>
        </is>
      </c>
      <c r="B5987" s="8" t="n">
        <v>46118.75</v>
      </c>
      <c r="C5987" s="8" t="n">
        <v>46119.25</v>
      </c>
      <c r="D5987" s="9">
        <f>(C5987-B5987)*24</f>
        <v/>
      </c>
      <c r="E5987" s="10">
        <f>IF(AND(HOUR(B5987)&gt;=6,HOUR(B5987)&lt;18),"Day Shift","Night Shift")</f>
        <v/>
      </c>
      <c r="F5987" s="11">
        <f>INT(B5987)</f>
        <v/>
      </c>
      <c r="G5987" s="11">
        <f>INT(C5987)</f>
        <v/>
      </c>
    </row>
    <row r="5988">
      <c r="A5988" s="2" t="inlineStr">
        <is>
          <t>DRE09</t>
        </is>
      </c>
      <c r="B5988" s="3" t="n">
        <v>46119.25</v>
      </c>
      <c r="C5988" s="3" t="n">
        <v>46119.75</v>
      </c>
      <c r="D5988" s="4">
        <f>(C5988-B5988)*24</f>
        <v/>
      </c>
      <c r="E5988" s="5">
        <f>IF(AND(HOUR(B5988)&gt;=6,HOUR(B5988)&lt;18),"Day Shift","Night Shift")</f>
        <v/>
      </c>
      <c r="F5988" s="6">
        <f>INT(B5988)</f>
        <v/>
      </c>
      <c r="G5988" s="6">
        <f>INT(C5988)</f>
        <v/>
      </c>
    </row>
    <row r="5989">
      <c r="A5989" s="7" t="inlineStr">
        <is>
          <t>DRE09</t>
        </is>
      </c>
      <c r="B5989" s="8" t="n">
        <v>46119.75</v>
      </c>
      <c r="C5989" s="8" t="n">
        <v>46120.25</v>
      </c>
      <c r="D5989" s="9">
        <f>(C5989-B5989)*24</f>
        <v/>
      </c>
      <c r="E5989" s="10">
        <f>IF(AND(HOUR(B5989)&gt;=6,HOUR(B5989)&lt;18),"Day Shift","Night Shift")</f>
        <v/>
      </c>
      <c r="F5989" s="11">
        <f>INT(B5989)</f>
        <v/>
      </c>
      <c r="G5989" s="11">
        <f>INT(C5989)</f>
        <v/>
      </c>
    </row>
    <row r="5990">
      <c r="A5990" s="2" t="inlineStr">
        <is>
          <t>DRE09</t>
        </is>
      </c>
      <c r="B5990" s="3" t="n">
        <v>46120.25</v>
      </c>
      <c r="C5990" s="3" t="n">
        <v>46120.75</v>
      </c>
      <c r="D5990" s="4">
        <f>(C5990-B5990)*24</f>
        <v/>
      </c>
      <c r="E5990" s="5">
        <f>IF(AND(HOUR(B5990)&gt;=6,HOUR(B5990)&lt;18),"Day Shift","Night Shift")</f>
        <v/>
      </c>
      <c r="F5990" s="6">
        <f>INT(B5990)</f>
        <v/>
      </c>
      <c r="G5990" s="6">
        <f>INT(C5990)</f>
        <v/>
      </c>
    </row>
    <row r="5991">
      <c r="A5991" s="7" t="inlineStr">
        <is>
          <t>DRE09</t>
        </is>
      </c>
      <c r="B5991" s="8" t="n">
        <v>46120.75</v>
      </c>
      <c r="C5991" s="8" t="n">
        <v>46121.25</v>
      </c>
      <c r="D5991" s="9">
        <f>(C5991-B5991)*24</f>
        <v/>
      </c>
      <c r="E5991" s="10">
        <f>IF(AND(HOUR(B5991)&gt;=6,HOUR(B5991)&lt;18),"Day Shift","Night Shift")</f>
        <v/>
      </c>
      <c r="F5991" s="11">
        <f>INT(B5991)</f>
        <v/>
      </c>
      <c r="G5991" s="11">
        <f>INT(C5991)</f>
        <v/>
      </c>
    </row>
    <row r="5992">
      <c r="A5992" s="2" t="inlineStr">
        <is>
          <t>DRE09</t>
        </is>
      </c>
      <c r="B5992" s="3" t="n">
        <v>46121.25</v>
      </c>
      <c r="C5992" s="3" t="n">
        <v>46121.75</v>
      </c>
      <c r="D5992" s="4">
        <f>(C5992-B5992)*24</f>
        <v/>
      </c>
      <c r="E5992" s="5">
        <f>IF(AND(HOUR(B5992)&gt;=6,HOUR(B5992)&lt;18),"Day Shift","Night Shift")</f>
        <v/>
      </c>
      <c r="F5992" s="6">
        <f>INT(B5992)</f>
        <v/>
      </c>
      <c r="G5992" s="6">
        <f>INT(C5992)</f>
        <v/>
      </c>
    </row>
    <row r="5993">
      <c r="A5993" s="7" t="inlineStr">
        <is>
          <t>DRE09</t>
        </is>
      </c>
      <c r="B5993" s="8" t="n">
        <v>46121.75</v>
      </c>
      <c r="C5993" s="8" t="n">
        <v>46122.25</v>
      </c>
      <c r="D5993" s="9">
        <f>(C5993-B5993)*24</f>
        <v/>
      </c>
      <c r="E5993" s="10">
        <f>IF(AND(HOUR(B5993)&gt;=6,HOUR(B5993)&lt;18),"Day Shift","Night Shift")</f>
        <v/>
      </c>
      <c r="F5993" s="11">
        <f>INT(B5993)</f>
        <v/>
      </c>
      <c r="G5993" s="11">
        <f>INT(C5993)</f>
        <v/>
      </c>
    </row>
    <row r="5994">
      <c r="A5994" s="2" t="inlineStr">
        <is>
          <t>DRE09</t>
        </is>
      </c>
      <c r="B5994" s="3" t="n">
        <v>46122.25</v>
      </c>
      <c r="C5994" s="3" t="n">
        <v>46122.75</v>
      </c>
      <c r="D5994" s="4">
        <f>(C5994-B5994)*24</f>
        <v/>
      </c>
      <c r="E5994" s="5">
        <f>IF(AND(HOUR(B5994)&gt;=6,HOUR(B5994)&lt;18),"Day Shift","Night Shift")</f>
        <v/>
      </c>
      <c r="F5994" s="6">
        <f>INT(B5994)</f>
        <v/>
      </c>
      <c r="G5994" s="6">
        <f>INT(C5994)</f>
        <v/>
      </c>
    </row>
    <row r="5995">
      <c r="A5995" s="7" t="inlineStr">
        <is>
          <t>DRE09</t>
        </is>
      </c>
      <c r="B5995" s="8" t="n">
        <v>46122.75</v>
      </c>
      <c r="C5995" s="8" t="n">
        <v>46123.25</v>
      </c>
      <c r="D5995" s="9">
        <f>(C5995-B5995)*24</f>
        <v/>
      </c>
      <c r="E5995" s="10">
        <f>IF(AND(HOUR(B5995)&gt;=6,HOUR(B5995)&lt;18),"Day Shift","Night Shift")</f>
        <v/>
      </c>
      <c r="F5995" s="11">
        <f>INT(B5995)</f>
        <v/>
      </c>
      <c r="G5995" s="11">
        <f>INT(C5995)</f>
        <v/>
      </c>
    </row>
    <row r="5996">
      <c r="A5996" s="2" t="inlineStr">
        <is>
          <t>DRE09</t>
        </is>
      </c>
      <c r="B5996" s="3" t="n">
        <v>46123.25</v>
      </c>
      <c r="C5996" s="3" t="n">
        <v>46123.75</v>
      </c>
      <c r="D5996" s="4">
        <f>(C5996-B5996)*24</f>
        <v/>
      </c>
      <c r="E5996" s="5">
        <f>IF(AND(HOUR(B5996)&gt;=6,HOUR(B5996)&lt;18),"Day Shift","Night Shift")</f>
        <v/>
      </c>
      <c r="F5996" s="6">
        <f>INT(B5996)</f>
        <v/>
      </c>
      <c r="G5996" s="6">
        <f>INT(C5996)</f>
        <v/>
      </c>
    </row>
    <row r="5997">
      <c r="A5997" s="7" t="inlineStr">
        <is>
          <t>DRE09</t>
        </is>
      </c>
      <c r="B5997" s="8" t="n">
        <v>46123.75</v>
      </c>
      <c r="C5997" s="8" t="n">
        <v>46124.25</v>
      </c>
      <c r="D5997" s="9">
        <f>(C5997-B5997)*24</f>
        <v/>
      </c>
      <c r="E5997" s="10">
        <f>IF(AND(HOUR(B5997)&gt;=6,HOUR(B5997)&lt;18),"Day Shift","Night Shift")</f>
        <v/>
      </c>
      <c r="F5997" s="11">
        <f>INT(B5997)</f>
        <v/>
      </c>
      <c r="G5997" s="11">
        <f>INT(C5997)</f>
        <v/>
      </c>
    </row>
    <row r="5998">
      <c r="A5998" s="2" t="inlineStr">
        <is>
          <t>DRE09</t>
        </is>
      </c>
      <c r="B5998" s="3" t="n">
        <v>46124.25</v>
      </c>
      <c r="C5998" s="3" t="n">
        <v>46124.75</v>
      </c>
      <c r="D5998" s="4">
        <f>(C5998-B5998)*24</f>
        <v/>
      </c>
      <c r="E5998" s="5">
        <f>IF(AND(HOUR(B5998)&gt;=6,HOUR(B5998)&lt;18),"Day Shift","Night Shift")</f>
        <v/>
      </c>
      <c r="F5998" s="6">
        <f>INT(B5998)</f>
        <v/>
      </c>
      <c r="G5998" s="6">
        <f>INT(C5998)</f>
        <v/>
      </c>
    </row>
    <row r="5999">
      <c r="A5999" s="7" t="inlineStr">
        <is>
          <t>DRE09</t>
        </is>
      </c>
      <c r="B5999" s="8" t="n">
        <v>46124.75</v>
      </c>
      <c r="C5999" s="8" t="n">
        <v>46125.25</v>
      </c>
      <c r="D5999" s="9">
        <f>(C5999-B5999)*24</f>
        <v/>
      </c>
      <c r="E5999" s="10">
        <f>IF(AND(HOUR(B5999)&gt;=6,HOUR(B5999)&lt;18),"Day Shift","Night Shift")</f>
        <v/>
      </c>
      <c r="F5999" s="11">
        <f>INT(B5999)</f>
        <v/>
      </c>
      <c r="G5999" s="11">
        <f>INT(C5999)</f>
        <v/>
      </c>
    </row>
    <row r="6000">
      <c r="A6000" s="2" t="inlineStr">
        <is>
          <t>DRE09</t>
        </is>
      </c>
      <c r="B6000" s="3" t="n">
        <v>46125.25</v>
      </c>
      <c r="C6000" s="3" t="n">
        <v>46125.75</v>
      </c>
      <c r="D6000" s="4">
        <f>(C6000-B6000)*24</f>
        <v/>
      </c>
      <c r="E6000" s="5">
        <f>IF(AND(HOUR(B6000)&gt;=6,HOUR(B6000)&lt;18),"Day Shift","Night Shift")</f>
        <v/>
      </c>
      <c r="F6000" s="6">
        <f>INT(B6000)</f>
        <v/>
      </c>
      <c r="G6000" s="6">
        <f>INT(C6000)</f>
        <v/>
      </c>
    </row>
    <row r="6001">
      <c r="A6001" s="7" t="inlineStr">
        <is>
          <t>DRE09</t>
        </is>
      </c>
      <c r="B6001" s="8" t="n">
        <v>46125.75</v>
      </c>
      <c r="C6001" s="8" t="n">
        <v>46126.25</v>
      </c>
      <c r="D6001" s="9">
        <f>(C6001-B6001)*24</f>
        <v/>
      </c>
      <c r="E6001" s="10">
        <f>IF(AND(HOUR(B6001)&gt;=6,HOUR(B6001)&lt;18),"Day Shift","Night Shift")</f>
        <v/>
      </c>
      <c r="F6001" s="11">
        <f>INT(B6001)</f>
        <v/>
      </c>
      <c r="G6001" s="11">
        <f>INT(C6001)</f>
        <v/>
      </c>
    </row>
    <row r="6002">
      <c r="A6002" s="2" t="inlineStr">
        <is>
          <t>DRE09</t>
        </is>
      </c>
      <c r="B6002" s="3" t="n">
        <v>46126.25</v>
      </c>
      <c r="C6002" s="3" t="n">
        <v>46126.75</v>
      </c>
      <c r="D6002" s="4">
        <f>(C6002-B6002)*24</f>
        <v/>
      </c>
      <c r="E6002" s="5">
        <f>IF(AND(HOUR(B6002)&gt;=6,HOUR(B6002)&lt;18),"Day Shift","Night Shift")</f>
        <v/>
      </c>
      <c r="F6002" s="6">
        <f>INT(B6002)</f>
        <v/>
      </c>
      <c r="G6002" s="6">
        <f>INT(C6002)</f>
        <v/>
      </c>
    </row>
    <row r="6003">
      <c r="A6003" s="7" t="inlineStr">
        <is>
          <t>DRE09</t>
        </is>
      </c>
      <c r="B6003" s="8" t="n">
        <v>46126.75</v>
      </c>
      <c r="C6003" s="8" t="n">
        <v>46127.25</v>
      </c>
      <c r="D6003" s="9">
        <f>(C6003-B6003)*24</f>
        <v/>
      </c>
      <c r="E6003" s="10">
        <f>IF(AND(HOUR(B6003)&gt;=6,HOUR(B6003)&lt;18),"Day Shift","Night Shift")</f>
        <v/>
      </c>
      <c r="F6003" s="11">
        <f>INT(B6003)</f>
        <v/>
      </c>
      <c r="G6003" s="11">
        <f>INT(C6003)</f>
        <v/>
      </c>
    </row>
    <row r="6004">
      <c r="A6004" s="2" t="inlineStr">
        <is>
          <t>DRE09</t>
        </is>
      </c>
      <c r="B6004" s="3" t="n">
        <v>46127.25</v>
      </c>
      <c r="C6004" s="3" t="n">
        <v>46127.75</v>
      </c>
      <c r="D6004" s="4">
        <f>(C6004-B6004)*24</f>
        <v/>
      </c>
      <c r="E6004" s="5">
        <f>IF(AND(HOUR(B6004)&gt;=6,HOUR(B6004)&lt;18),"Day Shift","Night Shift")</f>
        <v/>
      </c>
      <c r="F6004" s="6">
        <f>INT(B6004)</f>
        <v/>
      </c>
      <c r="G6004" s="6">
        <f>INT(C6004)</f>
        <v/>
      </c>
    </row>
    <row r="6005">
      <c r="A6005" s="7" t="inlineStr">
        <is>
          <t>DRE09</t>
        </is>
      </c>
      <c r="B6005" s="8" t="n">
        <v>46127.75</v>
      </c>
      <c r="C6005" s="8" t="n">
        <v>46128.25</v>
      </c>
      <c r="D6005" s="9">
        <f>(C6005-B6005)*24</f>
        <v/>
      </c>
      <c r="E6005" s="10">
        <f>IF(AND(HOUR(B6005)&gt;=6,HOUR(B6005)&lt;18),"Day Shift","Night Shift")</f>
        <v/>
      </c>
      <c r="F6005" s="11">
        <f>INT(B6005)</f>
        <v/>
      </c>
      <c r="G6005" s="11">
        <f>INT(C6005)</f>
        <v/>
      </c>
    </row>
    <row r="6006">
      <c r="A6006" s="2" t="inlineStr">
        <is>
          <t>DRE09</t>
        </is>
      </c>
      <c r="B6006" s="3" t="n">
        <v>46128.25</v>
      </c>
      <c r="C6006" s="3" t="n">
        <v>46128.53563657407</v>
      </c>
      <c r="D6006" s="4">
        <f>(C6006-B6006)*24</f>
        <v/>
      </c>
      <c r="E6006" s="5">
        <f>IF(AND(HOUR(B6006)&gt;=6,HOUR(B6006)&lt;18),"Day Shift","Night Shift")</f>
        <v/>
      </c>
      <c r="F6006" s="6">
        <f>INT(B6006)</f>
        <v/>
      </c>
      <c r="G6006" s="6">
        <f>INT(C6006)</f>
        <v/>
      </c>
    </row>
    <row r="6007">
      <c r="A6007" s="7" t="inlineStr">
        <is>
          <t>EXD407</t>
        </is>
      </c>
      <c r="B6007" s="8" t="n">
        <v>46117.9796412037</v>
      </c>
      <c r="C6007" s="8" t="n">
        <v>46118.25</v>
      </c>
      <c r="D6007" s="9">
        <f>(C6007-B6007)*24</f>
        <v/>
      </c>
      <c r="E6007" s="10">
        <f>IF(AND(HOUR(B6007)&gt;=6,HOUR(B6007)&lt;18),"Day Shift","Night Shift")</f>
        <v/>
      </c>
      <c r="F6007" s="11">
        <f>INT(B6007)</f>
        <v/>
      </c>
      <c r="G6007" s="11">
        <f>INT(C6007)</f>
        <v/>
      </c>
    </row>
    <row r="6008">
      <c r="A6008" s="2" t="inlineStr">
        <is>
          <t>EXD407</t>
        </is>
      </c>
      <c r="B6008" s="3" t="n">
        <v>46118.25</v>
      </c>
      <c r="C6008" s="3" t="n">
        <v>46118.75</v>
      </c>
      <c r="D6008" s="4">
        <f>(C6008-B6008)*24</f>
        <v/>
      </c>
      <c r="E6008" s="5">
        <f>IF(AND(HOUR(B6008)&gt;=6,HOUR(B6008)&lt;18),"Day Shift","Night Shift")</f>
        <v/>
      </c>
      <c r="F6008" s="6">
        <f>INT(B6008)</f>
        <v/>
      </c>
      <c r="G6008" s="6">
        <f>INT(C6008)</f>
        <v/>
      </c>
    </row>
    <row r="6009">
      <c r="A6009" s="7" t="inlineStr">
        <is>
          <t>EXD407</t>
        </is>
      </c>
      <c r="B6009" s="8" t="n">
        <v>46118.75</v>
      </c>
      <c r="C6009" s="8" t="n">
        <v>46119.25</v>
      </c>
      <c r="D6009" s="9">
        <f>(C6009-B6009)*24</f>
        <v/>
      </c>
      <c r="E6009" s="10">
        <f>IF(AND(HOUR(B6009)&gt;=6,HOUR(B6009)&lt;18),"Day Shift","Night Shift")</f>
        <v/>
      </c>
      <c r="F6009" s="11">
        <f>INT(B6009)</f>
        <v/>
      </c>
      <c r="G6009" s="11">
        <f>INT(C6009)</f>
        <v/>
      </c>
    </row>
    <row r="6010">
      <c r="A6010" s="2" t="inlineStr">
        <is>
          <t>EXD407</t>
        </is>
      </c>
      <c r="B6010" s="3" t="n">
        <v>46119.25</v>
      </c>
      <c r="C6010" s="3" t="n">
        <v>46119.57542824074</v>
      </c>
      <c r="D6010" s="4">
        <f>(C6010-B6010)*24</f>
        <v/>
      </c>
      <c r="E6010" s="5">
        <f>IF(AND(HOUR(B6010)&gt;=6,HOUR(B6010)&lt;18),"Day Shift","Night Shift")</f>
        <v/>
      </c>
      <c r="F6010" s="6">
        <f>INT(B6010)</f>
        <v/>
      </c>
      <c r="G6010" s="6">
        <f>INT(C6010)</f>
        <v/>
      </c>
    </row>
    <row r="6011">
      <c r="A6011" s="7" t="inlineStr">
        <is>
          <t>EDD175;EDD1932;EDD2541;EDD812</t>
        </is>
      </c>
      <c r="B6011" s="8" t="n">
        <v>46118.02980324074</v>
      </c>
      <c r="C6011" s="8" t="n">
        <v>46118.13427083333</v>
      </c>
      <c r="D6011" s="9">
        <f>(C6011-B6011)*24</f>
        <v/>
      </c>
      <c r="E6011" s="10">
        <f>IF(AND(HOUR(B6011)&gt;=6,HOUR(B6011)&lt;18),"Day Shift","Night Shift")</f>
        <v/>
      </c>
      <c r="F6011" s="11">
        <f>INT(B6011)</f>
        <v/>
      </c>
      <c r="G6011" s="11">
        <f>INT(C6011)</f>
        <v/>
      </c>
    </row>
    <row r="6012">
      <c r="A6012" s="7" t="inlineStr">
        <is>
          <t>LDW265</t>
        </is>
      </c>
      <c r="B6012" s="8" t="n">
        <v>46118.03413194444</v>
      </c>
      <c r="C6012" s="8" t="n">
        <v>46118.25</v>
      </c>
      <c r="D6012" s="9">
        <f>(C6012-B6012)*24</f>
        <v/>
      </c>
      <c r="E6012" s="10">
        <f>IF(AND(HOUR(B6012)&gt;=6,HOUR(B6012)&lt;18),"Day Shift","Night Shift")</f>
        <v/>
      </c>
      <c r="F6012" s="11">
        <f>INT(B6012)</f>
        <v/>
      </c>
      <c r="G6012" s="11">
        <f>INT(C6012)</f>
        <v/>
      </c>
    </row>
    <row r="6013">
      <c r="A6013" s="2" t="inlineStr">
        <is>
          <t>LDW265</t>
        </is>
      </c>
      <c r="B6013" s="3" t="n">
        <v>46118.25</v>
      </c>
      <c r="C6013" s="3" t="n">
        <v>46118.75</v>
      </c>
      <c r="D6013" s="4">
        <f>(C6013-B6013)*24</f>
        <v/>
      </c>
      <c r="E6013" s="5">
        <f>IF(AND(HOUR(B6013)&gt;=6,HOUR(B6013)&lt;18),"Day Shift","Night Shift")</f>
        <v/>
      </c>
      <c r="F6013" s="6">
        <f>INT(B6013)</f>
        <v/>
      </c>
      <c r="G6013" s="6">
        <f>INT(C6013)</f>
        <v/>
      </c>
    </row>
    <row r="6014">
      <c r="A6014" s="7" t="inlineStr">
        <is>
          <t>LDW265</t>
        </is>
      </c>
      <c r="B6014" s="8" t="n">
        <v>46118.75</v>
      </c>
      <c r="C6014" s="8" t="n">
        <v>46118.81525462963</v>
      </c>
      <c r="D6014" s="9">
        <f>(C6014-B6014)*24</f>
        <v/>
      </c>
      <c r="E6014" s="10">
        <f>IF(AND(HOUR(B6014)&gt;=6,HOUR(B6014)&lt;18),"Day Shift","Night Shift")</f>
        <v/>
      </c>
      <c r="F6014" s="11">
        <f>INT(B6014)</f>
        <v/>
      </c>
      <c r="G6014" s="11">
        <f>INT(C6014)</f>
        <v/>
      </c>
    </row>
    <row r="6015">
      <c r="A6015" s="7" t="inlineStr">
        <is>
          <t>SHE36</t>
        </is>
      </c>
      <c r="B6015" s="8" t="n">
        <v>46118.08636574074</v>
      </c>
      <c r="C6015" s="8" t="n">
        <v>46118.25</v>
      </c>
      <c r="D6015" s="9">
        <f>(C6015-B6015)*24</f>
        <v/>
      </c>
      <c r="E6015" s="10">
        <f>IF(AND(HOUR(B6015)&gt;=6,HOUR(B6015)&lt;18),"Day Shift","Night Shift")</f>
        <v/>
      </c>
      <c r="F6015" s="11">
        <f>INT(B6015)</f>
        <v/>
      </c>
      <c r="G6015" s="11">
        <f>INT(C6015)</f>
        <v/>
      </c>
    </row>
    <row r="6016">
      <c r="A6016" s="2" t="inlineStr">
        <is>
          <t>SHE36</t>
        </is>
      </c>
      <c r="B6016" s="3" t="n">
        <v>46118.25</v>
      </c>
      <c r="C6016" s="3" t="n">
        <v>46118.33782407407</v>
      </c>
      <c r="D6016" s="4">
        <f>(C6016-B6016)*24</f>
        <v/>
      </c>
      <c r="E6016" s="5">
        <f>IF(AND(HOUR(B6016)&gt;=6,HOUR(B6016)&lt;18),"Day Shift","Night Shift")</f>
        <v/>
      </c>
      <c r="F6016" s="6">
        <f>INT(B6016)</f>
        <v/>
      </c>
      <c r="G6016" s="6">
        <f>INT(C6016)</f>
        <v/>
      </c>
    </row>
    <row r="6017">
      <c r="A6017" s="7" t="inlineStr">
        <is>
          <t>EDD175;EDD1932;EDD2541;EDD812</t>
        </is>
      </c>
      <c r="B6017" s="8" t="n">
        <v>46118.13427083333</v>
      </c>
      <c r="C6017" s="8" t="n">
        <v>46118.24630787037</v>
      </c>
      <c r="D6017" s="9">
        <f>(C6017-B6017)*24</f>
        <v/>
      </c>
      <c r="E6017" s="10">
        <f>IF(AND(HOUR(B6017)&gt;=6,HOUR(B6017)&lt;18),"Day Shift","Night Shift")</f>
        <v/>
      </c>
      <c r="F6017" s="11">
        <f>INT(B6017)</f>
        <v/>
      </c>
      <c r="G6017" s="11">
        <f>INT(C6017)</f>
        <v/>
      </c>
    </row>
    <row r="6018">
      <c r="A6018" s="7" t="inlineStr">
        <is>
          <t>EDD175;EDD1932;EDD2541;EDD812</t>
        </is>
      </c>
      <c r="B6018" s="8" t="n">
        <v>46118.24630787037</v>
      </c>
      <c r="C6018" s="8" t="n">
        <v>46118.25</v>
      </c>
      <c r="D6018" s="9">
        <f>(C6018-B6018)*24</f>
        <v/>
      </c>
      <c r="E6018" s="10">
        <f>IF(AND(HOUR(B6018)&gt;=6,HOUR(B6018)&lt;18),"Day Shift","Night Shift")</f>
        <v/>
      </c>
      <c r="F6018" s="11">
        <f>INT(B6018)</f>
        <v/>
      </c>
      <c r="G6018" s="11">
        <f>INT(C6018)</f>
        <v/>
      </c>
    </row>
    <row r="6019">
      <c r="A6019" s="2" t="inlineStr">
        <is>
          <t>EDD175;EDD1932;EDD2541;EDD812</t>
        </is>
      </c>
      <c r="B6019" s="3" t="n">
        <v>46118.25</v>
      </c>
      <c r="C6019" s="3" t="n">
        <v>46118.39869212963</v>
      </c>
      <c r="D6019" s="4">
        <f>(C6019-B6019)*24</f>
        <v/>
      </c>
      <c r="E6019" s="5">
        <f>IF(AND(HOUR(B6019)&gt;=6,HOUR(B6019)&lt;18),"Day Shift","Night Shift")</f>
        <v/>
      </c>
      <c r="F6019" s="6">
        <f>INT(B6019)</f>
        <v/>
      </c>
      <c r="G6019" s="6">
        <f>INT(C6019)</f>
        <v/>
      </c>
    </row>
    <row r="6020">
      <c r="A6020" s="2" t="inlineStr">
        <is>
          <t>DRE08</t>
        </is>
      </c>
      <c r="B6020" s="3" t="n">
        <v>46118.30444444445</v>
      </c>
      <c r="C6020" s="3" t="n">
        <v>46118.75</v>
      </c>
      <c r="D6020" s="4">
        <f>(C6020-B6020)*24</f>
        <v/>
      </c>
      <c r="E6020" s="5">
        <f>IF(AND(HOUR(B6020)&gt;=6,HOUR(B6020)&lt;18),"Day Shift","Night Shift")</f>
        <v/>
      </c>
      <c r="F6020" s="6">
        <f>INT(B6020)</f>
        <v/>
      </c>
      <c r="G6020" s="6">
        <f>INT(C6020)</f>
        <v/>
      </c>
    </row>
    <row r="6021">
      <c r="A6021" s="7" t="inlineStr">
        <is>
          <t>DRE08</t>
        </is>
      </c>
      <c r="B6021" s="8" t="n">
        <v>46118.75</v>
      </c>
      <c r="C6021" s="8" t="n">
        <v>46119.25</v>
      </c>
      <c r="D6021" s="9">
        <f>(C6021-B6021)*24</f>
        <v/>
      </c>
      <c r="E6021" s="10">
        <f>IF(AND(HOUR(B6021)&gt;=6,HOUR(B6021)&lt;18),"Day Shift","Night Shift")</f>
        <v/>
      </c>
      <c r="F6021" s="11">
        <f>INT(B6021)</f>
        <v/>
      </c>
      <c r="G6021" s="11">
        <f>INT(C6021)</f>
        <v/>
      </c>
    </row>
    <row r="6022">
      <c r="A6022" s="2" t="inlineStr">
        <is>
          <t>DRE08</t>
        </is>
      </c>
      <c r="B6022" s="3" t="n">
        <v>46119.25</v>
      </c>
      <c r="C6022" s="3" t="n">
        <v>46119.75</v>
      </c>
      <c r="D6022" s="4">
        <f>(C6022-B6022)*24</f>
        <v/>
      </c>
      <c r="E6022" s="5">
        <f>IF(AND(HOUR(B6022)&gt;=6,HOUR(B6022)&lt;18),"Day Shift","Night Shift")</f>
        <v/>
      </c>
      <c r="F6022" s="6">
        <f>INT(B6022)</f>
        <v/>
      </c>
      <c r="G6022" s="6">
        <f>INT(C6022)</f>
        <v/>
      </c>
    </row>
    <row r="6023">
      <c r="A6023" s="7" t="inlineStr">
        <is>
          <t>DRE08</t>
        </is>
      </c>
      <c r="B6023" s="8" t="n">
        <v>46119.75</v>
      </c>
      <c r="C6023" s="8" t="n">
        <v>46120.25</v>
      </c>
      <c r="D6023" s="9">
        <f>(C6023-B6023)*24</f>
        <v/>
      </c>
      <c r="E6023" s="10">
        <f>IF(AND(HOUR(B6023)&gt;=6,HOUR(B6023)&lt;18),"Day Shift","Night Shift")</f>
        <v/>
      </c>
      <c r="F6023" s="11">
        <f>INT(B6023)</f>
        <v/>
      </c>
      <c r="G6023" s="11">
        <f>INT(C6023)</f>
        <v/>
      </c>
    </row>
    <row r="6024">
      <c r="A6024" s="2" t="inlineStr">
        <is>
          <t>DRE08</t>
        </is>
      </c>
      <c r="B6024" s="3" t="n">
        <v>46120.25</v>
      </c>
      <c r="C6024" s="3" t="n">
        <v>46120.75</v>
      </c>
      <c r="D6024" s="4">
        <f>(C6024-B6024)*24</f>
        <v/>
      </c>
      <c r="E6024" s="5">
        <f>IF(AND(HOUR(B6024)&gt;=6,HOUR(B6024)&lt;18),"Day Shift","Night Shift")</f>
        <v/>
      </c>
      <c r="F6024" s="6">
        <f>INT(B6024)</f>
        <v/>
      </c>
      <c r="G6024" s="6">
        <f>INT(C6024)</f>
        <v/>
      </c>
    </row>
    <row r="6025">
      <c r="A6025" s="7" t="inlineStr">
        <is>
          <t>DRE08</t>
        </is>
      </c>
      <c r="B6025" s="8" t="n">
        <v>46120.75</v>
      </c>
      <c r="C6025" s="8" t="n">
        <v>46121.25</v>
      </c>
      <c r="D6025" s="9">
        <f>(C6025-B6025)*24</f>
        <v/>
      </c>
      <c r="E6025" s="10">
        <f>IF(AND(HOUR(B6025)&gt;=6,HOUR(B6025)&lt;18),"Day Shift","Night Shift")</f>
        <v/>
      </c>
      <c r="F6025" s="11">
        <f>INT(B6025)</f>
        <v/>
      </c>
      <c r="G6025" s="11">
        <f>INT(C6025)</f>
        <v/>
      </c>
    </row>
    <row r="6026">
      <c r="A6026" s="2" t="inlineStr">
        <is>
          <t>DRE08</t>
        </is>
      </c>
      <c r="B6026" s="3" t="n">
        <v>46121.25</v>
      </c>
      <c r="C6026" s="3" t="n">
        <v>46121.75</v>
      </c>
      <c r="D6026" s="4">
        <f>(C6026-B6026)*24</f>
        <v/>
      </c>
      <c r="E6026" s="5">
        <f>IF(AND(HOUR(B6026)&gt;=6,HOUR(B6026)&lt;18),"Day Shift","Night Shift")</f>
        <v/>
      </c>
      <c r="F6026" s="6">
        <f>INT(B6026)</f>
        <v/>
      </c>
      <c r="G6026" s="6">
        <f>INT(C6026)</f>
        <v/>
      </c>
    </row>
    <row r="6027">
      <c r="A6027" s="7" t="inlineStr">
        <is>
          <t>DRE08</t>
        </is>
      </c>
      <c r="B6027" s="8" t="n">
        <v>46121.75</v>
      </c>
      <c r="C6027" s="8" t="n">
        <v>46122.20295138889</v>
      </c>
      <c r="D6027" s="9">
        <f>(C6027-B6027)*24</f>
        <v/>
      </c>
      <c r="E6027" s="10">
        <f>IF(AND(HOUR(B6027)&gt;=6,HOUR(B6027)&lt;18),"Day Shift","Night Shift")</f>
        <v/>
      </c>
      <c r="F6027" s="11">
        <f>INT(B6027)</f>
        <v/>
      </c>
      <c r="G6027" s="11">
        <f>INT(C6027)</f>
        <v/>
      </c>
    </row>
    <row r="6028">
      <c r="A6028" s="2" t="inlineStr">
        <is>
          <t>SHE36</t>
        </is>
      </c>
      <c r="B6028" s="3" t="n">
        <v>46118.33782407407</v>
      </c>
      <c r="C6028" s="3" t="n">
        <v>46118.75</v>
      </c>
      <c r="D6028" s="4">
        <f>(C6028-B6028)*24</f>
        <v/>
      </c>
      <c r="E6028" s="5">
        <f>IF(AND(HOUR(B6028)&gt;=6,HOUR(B6028)&lt;18),"Day Shift","Night Shift")</f>
        <v/>
      </c>
      <c r="F6028" s="6">
        <f>INT(B6028)</f>
        <v/>
      </c>
      <c r="G6028" s="6">
        <f>INT(C6028)</f>
        <v/>
      </c>
    </row>
    <row r="6029">
      <c r="A6029" s="7" t="inlineStr">
        <is>
          <t>SHE36</t>
        </is>
      </c>
      <c r="B6029" s="8" t="n">
        <v>46118.75</v>
      </c>
      <c r="C6029" s="8" t="n">
        <v>46119.04061342592</v>
      </c>
      <c r="D6029" s="9">
        <f>(C6029-B6029)*24</f>
        <v/>
      </c>
      <c r="E6029" s="10">
        <f>IF(AND(HOUR(B6029)&gt;=6,HOUR(B6029)&lt;18),"Day Shift","Night Shift")</f>
        <v/>
      </c>
      <c r="F6029" s="11">
        <f>INT(B6029)</f>
        <v/>
      </c>
      <c r="G6029" s="11">
        <f>INT(C6029)</f>
        <v/>
      </c>
    </row>
    <row r="6030">
      <c r="A6030" s="2" t="inlineStr">
        <is>
          <t>EXD98</t>
        </is>
      </c>
      <c r="B6030" s="3" t="n">
        <v>46118.34842592593</v>
      </c>
      <c r="C6030" s="3" t="n">
        <v>46118.75</v>
      </c>
      <c r="D6030" s="4">
        <f>(C6030-B6030)*24</f>
        <v/>
      </c>
      <c r="E6030" s="5">
        <f>IF(AND(HOUR(B6030)&gt;=6,HOUR(B6030)&lt;18),"Day Shift","Night Shift")</f>
        <v/>
      </c>
      <c r="F6030" s="6">
        <f>INT(B6030)</f>
        <v/>
      </c>
      <c r="G6030" s="6">
        <f>INT(C6030)</f>
        <v/>
      </c>
    </row>
    <row r="6031">
      <c r="A6031" s="7" t="inlineStr">
        <is>
          <t>EXD98</t>
        </is>
      </c>
      <c r="B6031" s="8" t="n">
        <v>46118.75</v>
      </c>
      <c r="C6031" s="8" t="n">
        <v>46119.25</v>
      </c>
      <c r="D6031" s="9">
        <f>(C6031-B6031)*24</f>
        <v/>
      </c>
      <c r="E6031" s="10">
        <f>IF(AND(HOUR(B6031)&gt;=6,HOUR(B6031)&lt;18),"Day Shift","Night Shift")</f>
        <v/>
      </c>
      <c r="F6031" s="11">
        <f>INT(B6031)</f>
        <v/>
      </c>
      <c r="G6031" s="11">
        <f>INT(C6031)</f>
        <v/>
      </c>
    </row>
    <row r="6032">
      <c r="A6032" s="2" t="inlineStr">
        <is>
          <t>EXD98</t>
        </is>
      </c>
      <c r="B6032" s="3" t="n">
        <v>46119.25</v>
      </c>
      <c r="C6032" s="3" t="n">
        <v>46119.3047337963</v>
      </c>
      <c r="D6032" s="4">
        <f>(C6032-B6032)*24</f>
        <v/>
      </c>
      <c r="E6032" s="5">
        <f>IF(AND(HOUR(B6032)&gt;=6,HOUR(B6032)&lt;18),"Day Shift","Night Shift")</f>
        <v/>
      </c>
      <c r="F6032" s="6">
        <f>INT(B6032)</f>
        <v/>
      </c>
      <c r="G6032" s="6">
        <f>INT(C6032)</f>
        <v/>
      </c>
    </row>
    <row r="6033">
      <c r="A6033" s="2" t="inlineStr">
        <is>
          <t>EDD175;EDD1932;EDD2541;EDD812</t>
        </is>
      </c>
      <c r="B6033" s="3" t="n">
        <v>46118.39869212963</v>
      </c>
      <c r="C6033" s="3" t="n">
        <v>46118.48163194444</v>
      </c>
      <c r="D6033" s="4">
        <f>(C6033-B6033)*24</f>
        <v/>
      </c>
      <c r="E6033" s="5">
        <f>IF(AND(HOUR(B6033)&gt;=6,HOUR(B6033)&lt;18),"Day Shift","Night Shift")</f>
        <v/>
      </c>
      <c r="F6033" s="6">
        <f>INT(B6033)</f>
        <v/>
      </c>
      <c r="G6033" s="6">
        <f>INT(C6033)</f>
        <v/>
      </c>
    </row>
    <row r="6034">
      <c r="A6034" s="2" t="inlineStr">
        <is>
          <t>EDD2541</t>
        </is>
      </c>
      <c r="B6034" s="3" t="n">
        <v>46118.48163194444</v>
      </c>
      <c r="C6034" s="3" t="n">
        <v>46118.75</v>
      </c>
      <c r="D6034" s="4">
        <f>(C6034-B6034)*24</f>
        <v/>
      </c>
      <c r="E6034" s="5">
        <f>IF(AND(HOUR(B6034)&gt;=6,HOUR(B6034)&lt;18),"Day Shift","Night Shift")</f>
        <v/>
      </c>
      <c r="F6034" s="6">
        <f>INT(B6034)</f>
        <v/>
      </c>
      <c r="G6034" s="6">
        <f>INT(C6034)</f>
        <v/>
      </c>
    </row>
    <row r="6035">
      <c r="A6035" s="7" t="inlineStr">
        <is>
          <t>EDD2541</t>
        </is>
      </c>
      <c r="B6035" s="8" t="n">
        <v>46118.75</v>
      </c>
      <c r="C6035" s="8" t="n">
        <v>46119.0656712963</v>
      </c>
      <c r="D6035" s="9">
        <f>(C6035-B6035)*24</f>
        <v/>
      </c>
      <c r="E6035" s="10">
        <f>IF(AND(HOUR(B6035)&gt;=6,HOUR(B6035)&lt;18),"Day Shift","Night Shift")</f>
        <v/>
      </c>
      <c r="F6035" s="11">
        <f>INT(B6035)</f>
        <v/>
      </c>
      <c r="G6035" s="11">
        <f>INT(C6035)</f>
        <v/>
      </c>
    </row>
    <row r="6036">
      <c r="A6036" s="2" t="inlineStr">
        <is>
          <t>Sprint 1</t>
        </is>
      </c>
      <c r="B6036" s="3" t="n">
        <v>46118.48327546296</v>
      </c>
      <c r="C6036" s="3" t="n">
        <v>46118.75</v>
      </c>
      <c r="D6036" s="4">
        <f>(C6036-B6036)*24</f>
        <v/>
      </c>
      <c r="E6036" s="5">
        <f>IF(AND(HOUR(B6036)&gt;=6,HOUR(B6036)&lt;18),"Day Shift","Night Shift")</f>
        <v/>
      </c>
      <c r="F6036" s="6">
        <f>INT(B6036)</f>
        <v/>
      </c>
      <c r="G6036" s="6">
        <f>INT(C6036)</f>
        <v/>
      </c>
    </row>
    <row r="6037">
      <c r="A6037" s="7" t="inlineStr">
        <is>
          <t>Sprint 1</t>
        </is>
      </c>
      <c r="B6037" s="8" t="n">
        <v>46118.75</v>
      </c>
      <c r="C6037" s="8" t="n">
        <v>46119.25</v>
      </c>
      <c r="D6037" s="9">
        <f>(C6037-B6037)*24</f>
        <v/>
      </c>
      <c r="E6037" s="10">
        <f>IF(AND(HOUR(B6037)&gt;=6,HOUR(B6037)&lt;18),"Day Shift","Night Shift")</f>
        <v/>
      </c>
      <c r="F6037" s="11">
        <f>INT(B6037)</f>
        <v/>
      </c>
      <c r="G6037" s="11">
        <f>INT(C6037)</f>
        <v/>
      </c>
    </row>
    <row r="6038">
      <c r="A6038" s="2" t="inlineStr">
        <is>
          <t>Sprint 1</t>
        </is>
      </c>
      <c r="B6038" s="3" t="n">
        <v>46119.25</v>
      </c>
      <c r="C6038" s="3" t="n">
        <v>46119.37719907407</v>
      </c>
      <c r="D6038" s="4">
        <f>(C6038-B6038)*24</f>
        <v/>
      </c>
      <c r="E6038" s="5">
        <f>IF(AND(HOUR(B6038)&gt;=6,HOUR(B6038)&lt;18),"Day Shift","Night Shift")</f>
        <v/>
      </c>
      <c r="F6038" s="6">
        <f>INT(B6038)</f>
        <v/>
      </c>
      <c r="G6038" s="6">
        <f>INT(C6038)</f>
        <v/>
      </c>
    </row>
    <row r="6039">
      <c r="A6039" s="2" t="inlineStr">
        <is>
          <t>EXD55</t>
        </is>
      </c>
      <c r="B6039" s="3" t="n">
        <v>46118.5266550926</v>
      </c>
      <c r="C6039" s="3" t="n">
        <v>46118.75</v>
      </c>
      <c r="D6039" s="4">
        <f>(C6039-B6039)*24</f>
        <v/>
      </c>
      <c r="E6039" s="5">
        <f>IF(AND(HOUR(B6039)&gt;=6,HOUR(B6039)&lt;18),"Day Shift","Night Shift")</f>
        <v/>
      </c>
      <c r="F6039" s="6">
        <f>INT(B6039)</f>
        <v/>
      </c>
      <c r="G6039" s="6">
        <f>INT(C6039)</f>
        <v/>
      </c>
    </row>
    <row r="6040">
      <c r="A6040" s="7" t="inlineStr">
        <is>
          <t>EXD55</t>
        </is>
      </c>
      <c r="B6040" s="8" t="n">
        <v>46118.75</v>
      </c>
      <c r="C6040" s="8" t="n">
        <v>46119.25</v>
      </c>
      <c r="D6040" s="9">
        <f>(C6040-B6040)*24</f>
        <v/>
      </c>
      <c r="E6040" s="10">
        <f>IF(AND(HOUR(B6040)&gt;=6,HOUR(B6040)&lt;18),"Day Shift","Night Shift")</f>
        <v/>
      </c>
      <c r="F6040" s="11">
        <f>INT(B6040)</f>
        <v/>
      </c>
      <c r="G6040" s="11">
        <f>INT(C6040)</f>
        <v/>
      </c>
    </row>
    <row r="6041">
      <c r="A6041" s="2" t="inlineStr">
        <is>
          <t>EXD55</t>
        </is>
      </c>
      <c r="B6041" s="3" t="n">
        <v>46119.25</v>
      </c>
      <c r="C6041" s="3" t="n">
        <v>46119.75</v>
      </c>
      <c r="D6041" s="4">
        <f>(C6041-B6041)*24</f>
        <v/>
      </c>
      <c r="E6041" s="5">
        <f>IF(AND(HOUR(B6041)&gt;=6,HOUR(B6041)&lt;18),"Day Shift","Night Shift")</f>
        <v/>
      </c>
      <c r="F6041" s="6">
        <f>INT(B6041)</f>
        <v/>
      </c>
      <c r="G6041" s="6">
        <f>INT(C6041)</f>
        <v/>
      </c>
    </row>
    <row r="6042">
      <c r="A6042" s="7" t="inlineStr">
        <is>
          <t>EXD55</t>
        </is>
      </c>
      <c r="B6042" s="8" t="n">
        <v>46119.75</v>
      </c>
      <c r="C6042" s="8" t="n">
        <v>46120.25</v>
      </c>
      <c r="D6042" s="9">
        <f>(C6042-B6042)*24</f>
        <v/>
      </c>
      <c r="E6042" s="10">
        <f>IF(AND(HOUR(B6042)&gt;=6,HOUR(B6042)&lt;18),"Day Shift","Night Shift")</f>
        <v/>
      </c>
      <c r="F6042" s="11">
        <f>INT(B6042)</f>
        <v/>
      </c>
      <c r="G6042" s="11">
        <f>INT(C6042)</f>
        <v/>
      </c>
    </row>
    <row r="6043">
      <c r="A6043" s="2" t="inlineStr">
        <is>
          <t>EXD55</t>
        </is>
      </c>
      <c r="B6043" s="3" t="n">
        <v>46120.25</v>
      </c>
      <c r="C6043" s="3" t="n">
        <v>46120.75</v>
      </c>
      <c r="D6043" s="4">
        <f>(C6043-B6043)*24</f>
        <v/>
      </c>
      <c r="E6043" s="5">
        <f>IF(AND(HOUR(B6043)&gt;=6,HOUR(B6043)&lt;18),"Day Shift","Night Shift")</f>
        <v/>
      </c>
      <c r="F6043" s="6">
        <f>INT(B6043)</f>
        <v/>
      </c>
      <c r="G6043" s="6">
        <f>INT(C6043)</f>
        <v/>
      </c>
    </row>
    <row r="6044">
      <c r="A6044" s="7" t="inlineStr">
        <is>
          <t>EXD55</t>
        </is>
      </c>
      <c r="B6044" s="8" t="n">
        <v>46120.75</v>
      </c>
      <c r="C6044" s="8" t="n">
        <v>46120.91900462963</v>
      </c>
      <c r="D6044" s="9">
        <f>(C6044-B6044)*24</f>
        <v/>
      </c>
      <c r="E6044" s="10">
        <f>IF(AND(HOUR(B6044)&gt;=6,HOUR(B6044)&lt;18),"Day Shift","Night Shift")</f>
        <v/>
      </c>
      <c r="F6044" s="11">
        <f>INT(B6044)</f>
        <v/>
      </c>
      <c r="G6044" s="11">
        <f>INT(C6044)</f>
        <v/>
      </c>
    </row>
    <row r="6045">
      <c r="A6045" s="2" t="inlineStr">
        <is>
          <t>LDW262</t>
        </is>
      </c>
      <c r="B6045" s="3" t="n">
        <v>46118.57018518518</v>
      </c>
      <c r="C6045" s="3" t="n">
        <v>46118.75</v>
      </c>
      <c r="D6045" s="4">
        <f>(C6045-B6045)*24</f>
        <v/>
      </c>
      <c r="E6045" s="5">
        <f>IF(AND(HOUR(B6045)&gt;=6,HOUR(B6045)&lt;18),"Day Shift","Night Shift")</f>
        <v/>
      </c>
      <c r="F6045" s="6">
        <f>INT(B6045)</f>
        <v/>
      </c>
      <c r="G6045" s="6">
        <f>INT(C6045)</f>
        <v/>
      </c>
    </row>
    <row r="6046">
      <c r="A6046" s="7" t="inlineStr">
        <is>
          <t>LDW262</t>
        </is>
      </c>
      <c r="B6046" s="8" t="n">
        <v>46118.75</v>
      </c>
      <c r="C6046" s="8" t="n">
        <v>46118.77505787037</v>
      </c>
      <c r="D6046" s="9">
        <f>(C6046-B6046)*24</f>
        <v/>
      </c>
      <c r="E6046" s="10">
        <f>IF(AND(HOUR(B6046)&gt;=6,HOUR(B6046)&lt;18),"Day Shift","Night Shift")</f>
        <v/>
      </c>
      <c r="F6046" s="11">
        <f>INT(B6046)</f>
        <v/>
      </c>
      <c r="G6046" s="11">
        <f>INT(C6046)</f>
        <v/>
      </c>
    </row>
    <row r="6047">
      <c r="A6047" s="2" t="inlineStr">
        <is>
          <t>EXD409</t>
        </is>
      </c>
      <c r="B6047" s="3" t="n">
        <v>46118.66288194444</v>
      </c>
      <c r="C6047" s="3" t="n">
        <v>46118.75</v>
      </c>
      <c r="D6047" s="4">
        <f>(C6047-B6047)*24</f>
        <v/>
      </c>
      <c r="E6047" s="5">
        <f>IF(AND(HOUR(B6047)&gt;=6,HOUR(B6047)&lt;18),"Day Shift","Night Shift")</f>
        <v/>
      </c>
      <c r="F6047" s="6">
        <f>INT(B6047)</f>
        <v/>
      </c>
      <c r="G6047" s="6">
        <f>INT(C6047)</f>
        <v/>
      </c>
    </row>
    <row r="6048">
      <c r="A6048" s="7" t="inlineStr">
        <is>
          <t>EXD409</t>
        </is>
      </c>
      <c r="B6048" s="8" t="n">
        <v>46118.75</v>
      </c>
      <c r="C6048" s="8" t="n">
        <v>46119.25</v>
      </c>
      <c r="D6048" s="9">
        <f>(C6048-B6048)*24</f>
        <v/>
      </c>
      <c r="E6048" s="10">
        <f>IF(AND(HOUR(B6048)&gt;=6,HOUR(B6048)&lt;18),"Day Shift","Night Shift")</f>
        <v/>
      </c>
      <c r="F6048" s="11">
        <f>INT(B6048)</f>
        <v/>
      </c>
      <c r="G6048" s="11">
        <f>INT(C6048)</f>
        <v/>
      </c>
    </row>
    <row r="6049">
      <c r="A6049" s="2" t="inlineStr">
        <is>
          <t>EXD409</t>
        </is>
      </c>
      <c r="B6049" s="3" t="n">
        <v>46119.25</v>
      </c>
      <c r="C6049" s="3" t="n">
        <v>46119.75</v>
      </c>
      <c r="D6049" s="4">
        <f>(C6049-B6049)*24</f>
        <v/>
      </c>
      <c r="E6049" s="5">
        <f>IF(AND(HOUR(B6049)&gt;=6,HOUR(B6049)&lt;18),"Day Shift","Night Shift")</f>
        <v/>
      </c>
      <c r="F6049" s="6">
        <f>INT(B6049)</f>
        <v/>
      </c>
      <c r="G6049" s="6">
        <f>INT(C6049)</f>
        <v/>
      </c>
    </row>
    <row r="6050">
      <c r="A6050" s="7" t="inlineStr">
        <is>
          <t>EXD409</t>
        </is>
      </c>
      <c r="B6050" s="8" t="n">
        <v>46119.75</v>
      </c>
      <c r="C6050" s="8" t="n">
        <v>46120.025</v>
      </c>
      <c r="D6050" s="9">
        <f>(C6050-B6050)*24</f>
        <v/>
      </c>
      <c r="E6050" s="10">
        <f>IF(AND(HOUR(B6050)&gt;=6,HOUR(B6050)&lt;18),"Day Shift","Night Shift")</f>
        <v/>
      </c>
      <c r="F6050" s="11">
        <f>INT(B6050)</f>
        <v/>
      </c>
      <c r="G6050" s="11">
        <f>INT(C6050)</f>
        <v/>
      </c>
    </row>
    <row r="6051">
      <c r="A6051" s="7" t="inlineStr">
        <is>
          <t>LDW262</t>
        </is>
      </c>
      <c r="B6051" s="8" t="n">
        <v>46118.77505787037</v>
      </c>
      <c r="C6051" s="8" t="n">
        <v>46119.25</v>
      </c>
      <c r="D6051" s="9">
        <f>(C6051-B6051)*24</f>
        <v/>
      </c>
      <c r="E6051" s="10">
        <f>IF(AND(HOUR(B6051)&gt;=6,HOUR(B6051)&lt;18),"Day Shift","Night Shift")</f>
        <v/>
      </c>
      <c r="F6051" s="11">
        <f>INT(B6051)</f>
        <v/>
      </c>
      <c r="G6051" s="11">
        <f>INT(C6051)</f>
        <v/>
      </c>
    </row>
    <row r="6052">
      <c r="A6052" s="2" t="inlineStr">
        <is>
          <t>LDW262</t>
        </is>
      </c>
      <c r="B6052" s="3" t="n">
        <v>46119.25</v>
      </c>
      <c r="C6052" s="3" t="n">
        <v>46119.75</v>
      </c>
      <c r="D6052" s="4">
        <f>(C6052-B6052)*24</f>
        <v/>
      </c>
      <c r="E6052" s="5">
        <f>IF(AND(HOUR(B6052)&gt;=6,HOUR(B6052)&lt;18),"Day Shift","Night Shift")</f>
        <v/>
      </c>
      <c r="F6052" s="6">
        <f>INT(B6052)</f>
        <v/>
      </c>
      <c r="G6052" s="6">
        <f>INT(C6052)</f>
        <v/>
      </c>
    </row>
    <row r="6053">
      <c r="A6053" s="7" t="inlineStr">
        <is>
          <t>LDW262</t>
        </is>
      </c>
      <c r="B6053" s="8" t="n">
        <v>46119.75</v>
      </c>
      <c r="C6053" s="8" t="n">
        <v>46120.25</v>
      </c>
      <c r="D6053" s="9">
        <f>(C6053-B6053)*24</f>
        <v/>
      </c>
      <c r="E6053" s="10">
        <f>IF(AND(HOUR(B6053)&gt;=6,HOUR(B6053)&lt;18),"Day Shift","Night Shift")</f>
        <v/>
      </c>
      <c r="F6053" s="11">
        <f>INT(B6053)</f>
        <v/>
      </c>
      <c r="G6053" s="11">
        <f>INT(C6053)</f>
        <v/>
      </c>
    </row>
    <row r="6054">
      <c r="A6054" s="2" t="inlineStr">
        <is>
          <t>LDW262</t>
        </is>
      </c>
      <c r="B6054" s="3" t="n">
        <v>46120.25</v>
      </c>
      <c r="C6054" s="3" t="n">
        <v>46120.75</v>
      </c>
      <c r="D6054" s="4">
        <f>(C6054-B6054)*24</f>
        <v/>
      </c>
      <c r="E6054" s="5">
        <f>IF(AND(HOUR(B6054)&gt;=6,HOUR(B6054)&lt;18),"Day Shift","Night Shift")</f>
        <v/>
      </c>
      <c r="F6054" s="6">
        <f>INT(B6054)</f>
        <v/>
      </c>
      <c r="G6054" s="6">
        <f>INT(C6054)</f>
        <v/>
      </c>
    </row>
    <row r="6055">
      <c r="A6055" s="7" t="inlineStr">
        <is>
          <t>LDW262</t>
        </is>
      </c>
      <c r="B6055" s="8" t="n">
        <v>46120.75</v>
      </c>
      <c r="C6055" s="8" t="n">
        <v>46120.79646990741</v>
      </c>
      <c r="D6055" s="9">
        <f>(C6055-B6055)*24</f>
        <v/>
      </c>
      <c r="E6055" s="10">
        <f>IF(AND(HOUR(B6055)&gt;=6,HOUR(B6055)&lt;18),"Day Shift","Night Shift")</f>
        <v/>
      </c>
      <c r="F6055" s="11">
        <f>INT(B6055)</f>
        <v/>
      </c>
      <c r="G6055" s="11">
        <f>INT(C6055)</f>
        <v/>
      </c>
    </row>
    <row r="6056">
      <c r="A6056" s="7" t="inlineStr">
        <is>
          <t>LDW265</t>
        </is>
      </c>
      <c r="B6056" s="8" t="n">
        <v>46118.81525462963</v>
      </c>
      <c r="C6056" s="8" t="n">
        <v>46119.25</v>
      </c>
      <c r="D6056" s="9">
        <f>(C6056-B6056)*24</f>
        <v/>
      </c>
      <c r="E6056" s="10">
        <f>IF(AND(HOUR(B6056)&gt;=6,HOUR(B6056)&lt;18),"Day Shift","Night Shift")</f>
        <v/>
      </c>
      <c r="F6056" s="11">
        <f>INT(B6056)</f>
        <v/>
      </c>
      <c r="G6056" s="11">
        <f>INT(C6056)</f>
        <v/>
      </c>
    </row>
    <row r="6057">
      <c r="A6057" s="2" t="inlineStr">
        <is>
          <t>LDW265</t>
        </is>
      </c>
      <c r="B6057" s="3" t="n">
        <v>46119.25</v>
      </c>
      <c r="C6057" s="3" t="n">
        <v>46119.41068287037</v>
      </c>
      <c r="D6057" s="4">
        <f>(C6057-B6057)*24</f>
        <v/>
      </c>
      <c r="E6057" s="5">
        <f>IF(AND(HOUR(B6057)&gt;=6,HOUR(B6057)&lt;18),"Day Shift","Night Shift")</f>
        <v/>
      </c>
      <c r="F6057" s="6">
        <f>INT(B6057)</f>
        <v/>
      </c>
      <c r="G6057" s="6">
        <f>INT(C6057)</f>
        <v/>
      </c>
    </row>
    <row r="6058">
      <c r="A6058" s="7" t="inlineStr">
        <is>
          <t>EXD51</t>
        </is>
      </c>
      <c r="B6058" s="8" t="n">
        <v>46118.96386574074</v>
      </c>
      <c r="C6058" s="8" t="n">
        <v>46119.25</v>
      </c>
      <c r="D6058" s="9">
        <f>(C6058-B6058)*24</f>
        <v/>
      </c>
      <c r="E6058" s="10">
        <f>IF(AND(HOUR(B6058)&gt;=6,HOUR(B6058)&lt;18),"Day Shift","Night Shift")</f>
        <v/>
      </c>
      <c r="F6058" s="11">
        <f>INT(B6058)</f>
        <v/>
      </c>
      <c r="G6058" s="11">
        <f>INT(C6058)</f>
        <v/>
      </c>
    </row>
    <row r="6059">
      <c r="A6059" s="2" t="inlineStr">
        <is>
          <t>EXD51</t>
        </is>
      </c>
      <c r="B6059" s="3" t="n">
        <v>46119.25</v>
      </c>
      <c r="C6059" s="3" t="n">
        <v>46119.75</v>
      </c>
      <c r="D6059" s="4">
        <f>(C6059-B6059)*24</f>
        <v/>
      </c>
      <c r="E6059" s="5">
        <f>IF(AND(HOUR(B6059)&gt;=6,HOUR(B6059)&lt;18),"Day Shift","Night Shift")</f>
        <v/>
      </c>
      <c r="F6059" s="6">
        <f>INT(B6059)</f>
        <v/>
      </c>
      <c r="G6059" s="6">
        <f>INT(C6059)</f>
        <v/>
      </c>
    </row>
    <row r="6060">
      <c r="A6060" s="7" t="inlineStr">
        <is>
          <t>EXD51</t>
        </is>
      </c>
      <c r="B6060" s="8" t="n">
        <v>46119.75</v>
      </c>
      <c r="C6060" s="8" t="n">
        <v>46120.25</v>
      </c>
      <c r="D6060" s="9">
        <f>(C6060-B6060)*24</f>
        <v/>
      </c>
      <c r="E6060" s="10">
        <f>IF(AND(HOUR(B6060)&gt;=6,HOUR(B6060)&lt;18),"Day Shift","Night Shift")</f>
        <v/>
      </c>
      <c r="F6060" s="11">
        <f>INT(B6060)</f>
        <v/>
      </c>
      <c r="G6060" s="11">
        <f>INT(C6060)</f>
        <v/>
      </c>
    </row>
    <row r="6061">
      <c r="A6061" s="2" t="inlineStr">
        <is>
          <t>EXD51</t>
        </is>
      </c>
      <c r="B6061" s="3" t="n">
        <v>46120.25</v>
      </c>
      <c r="C6061" s="3" t="n">
        <v>46120.26680555556</v>
      </c>
      <c r="D6061" s="4">
        <f>(C6061-B6061)*24</f>
        <v/>
      </c>
      <c r="E6061" s="5">
        <f>IF(AND(HOUR(B6061)&gt;=6,HOUR(B6061)&lt;18),"Day Shift","Night Shift")</f>
        <v/>
      </c>
      <c r="F6061" s="6">
        <f>INT(B6061)</f>
        <v/>
      </c>
      <c r="G6061" s="6">
        <f>INT(C6061)</f>
        <v/>
      </c>
    </row>
    <row r="6062">
      <c r="A6062" s="7" t="inlineStr">
        <is>
          <t>SHE36</t>
        </is>
      </c>
      <c r="B6062" s="8" t="n">
        <v>46119.04061342592</v>
      </c>
      <c r="C6062" s="8" t="n">
        <v>46119.25</v>
      </c>
      <c r="D6062" s="9">
        <f>(C6062-B6062)*24</f>
        <v/>
      </c>
      <c r="E6062" s="10">
        <f>IF(AND(HOUR(B6062)&gt;=6,HOUR(B6062)&lt;18),"Day Shift","Night Shift")</f>
        <v/>
      </c>
      <c r="F6062" s="11">
        <f>INT(B6062)</f>
        <v/>
      </c>
      <c r="G6062" s="11">
        <f>INT(C6062)</f>
        <v/>
      </c>
    </row>
    <row r="6063">
      <c r="A6063" s="2" t="inlineStr">
        <is>
          <t>SHE36</t>
        </is>
      </c>
      <c r="B6063" s="3" t="n">
        <v>46119.25</v>
      </c>
      <c r="C6063" s="3" t="n">
        <v>46119.75</v>
      </c>
      <c r="D6063" s="4">
        <f>(C6063-B6063)*24</f>
        <v/>
      </c>
      <c r="E6063" s="5">
        <f>IF(AND(HOUR(B6063)&gt;=6,HOUR(B6063)&lt;18),"Day Shift","Night Shift")</f>
        <v/>
      </c>
      <c r="F6063" s="6">
        <f>INT(B6063)</f>
        <v/>
      </c>
      <c r="G6063" s="6">
        <f>INT(C6063)</f>
        <v/>
      </c>
    </row>
    <row r="6064">
      <c r="A6064" s="7" t="inlineStr">
        <is>
          <t>SHE36</t>
        </is>
      </c>
      <c r="B6064" s="8" t="n">
        <v>46119.75</v>
      </c>
      <c r="C6064" s="8" t="n">
        <v>46120.08994212963</v>
      </c>
      <c r="D6064" s="9">
        <f>(C6064-B6064)*24</f>
        <v/>
      </c>
      <c r="E6064" s="10">
        <f>IF(AND(HOUR(B6064)&gt;=6,HOUR(B6064)&lt;18),"Day Shift","Night Shift")</f>
        <v/>
      </c>
      <c r="F6064" s="11">
        <f>INT(B6064)</f>
        <v/>
      </c>
      <c r="G6064" s="11">
        <f>INT(C6064)</f>
        <v/>
      </c>
    </row>
    <row r="6065">
      <c r="A6065" s="7" t="inlineStr">
        <is>
          <t>EDD2541</t>
        </is>
      </c>
      <c r="B6065" s="8" t="n">
        <v>46119.0656712963</v>
      </c>
      <c r="C6065" s="8" t="n">
        <v>46119.25</v>
      </c>
      <c r="D6065" s="9">
        <f>(C6065-B6065)*24</f>
        <v/>
      </c>
      <c r="E6065" s="10">
        <f>IF(AND(HOUR(B6065)&gt;=6,HOUR(B6065)&lt;18),"Day Shift","Night Shift")</f>
        <v/>
      </c>
      <c r="F6065" s="11">
        <f>INT(B6065)</f>
        <v/>
      </c>
      <c r="G6065" s="11">
        <f>INT(C6065)</f>
        <v/>
      </c>
    </row>
    <row r="6066">
      <c r="A6066" s="2" t="inlineStr">
        <is>
          <t>EDD2541</t>
        </is>
      </c>
      <c r="B6066" s="3" t="n">
        <v>46119.25</v>
      </c>
      <c r="C6066" s="3" t="n">
        <v>46119.75</v>
      </c>
      <c r="D6066" s="4">
        <f>(C6066-B6066)*24</f>
        <v/>
      </c>
      <c r="E6066" s="5">
        <f>IF(AND(HOUR(B6066)&gt;=6,HOUR(B6066)&lt;18),"Day Shift","Night Shift")</f>
        <v/>
      </c>
      <c r="F6066" s="6">
        <f>INT(B6066)</f>
        <v/>
      </c>
      <c r="G6066" s="6">
        <f>INT(C6066)</f>
        <v/>
      </c>
    </row>
    <row r="6067">
      <c r="A6067" s="7" t="inlineStr">
        <is>
          <t>EDD2541</t>
        </is>
      </c>
      <c r="B6067" s="8" t="n">
        <v>46119.75</v>
      </c>
      <c r="C6067" s="8" t="n">
        <v>46120.24494212963</v>
      </c>
      <c r="D6067" s="9">
        <f>(C6067-B6067)*24</f>
        <v/>
      </c>
      <c r="E6067" s="10">
        <f>IF(AND(HOUR(B6067)&gt;=6,HOUR(B6067)&lt;18),"Day Shift","Night Shift")</f>
        <v/>
      </c>
      <c r="F6067" s="11">
        <f>INT(B6067)</f>
        <v/>
      </c>
      <c r="G6067" s="11">
        <f>INT(C6067)</f>
        <v/>
      </c>
    </row>
    <row r="6068">
      <c r="A6068" s="7" t="inlineStr">
        <is>
          <t>DRE42</t>
        </is>
      </c>
      <c r="B6068" s="8" t="n">
        <v>46119.09034722222</v>
      </c>
      <c r="C6068" s="8" t="n">
        <v>46119.25</v>
      </c>
      <c r="D6068" s="9">
        <f>(C6068-B6068)*24</f>
        <v/>
      </c>
      <c r="E6068" s="10">
        <f>IF(AND(HOUR(B6068)&gt;=6,HOUR(B6068)&lt;18),"Day Shift","Night Shift")</f>
        <v/>
      </c>
      <c r="F6068" s="11">
        <f>INT(B6068)</f>
        <v/>
      </c>
      <c r="G6068" s="11">
        <f>INT(C6068)</f>
        <v/>
      </c>
    </row>
    <row r="6069">
      <c r="A6069" s="2" t="inlineStr">
        <is>
          <t>DRE42</t>
        </is>
      </c>
      <c r="B6069" s="3" t="n">
        <v>46119.25</v>
      </c>
      <c r="C6069" s="3" t="n">
        <v>46119.69376157408</v>
      </c>
      <c r="D6069" s="4">
        <f>(C6069-B6069)*24</f>
        <v/>
      </c>
      <c r="E6069" s="5">
        <f>IF(AND(HOUR(B6069)&gt;=6,HOUR(B6069)&lt;18),"Day Shift","Night Shift")</f>
        <v/>
      </c>
      <c r="F6069" s="6">
        <f>INT(B6069)</f>
        <v/>
      </c>
      <c r="G6069" s="6">
        <f>INT(C6069)</f>
        <v/>
      </c>
    </row>
    <row r="6070">
      <c r="A6070" s="7" t="inlineStr">
        <is>
          <t>EXD100</t>
        </is>
      </c>
      <c r="B6070" s="8" t="n">
        <v>46119.09502314815</v>
      </c>
      <c r="C6070" s="8" t="n">
        <v>46119.25</v>
      </c>
      <c r="D6070" s="9">
        <f>(C6070-B6070)*24</f>
        <v/>
      </c>
      <c r="E6070" s="10">
        <f>IF(AND(HOUR(B6070)&gt;=6,HOUR(B6070)&lt;18),"Day Shift","Night Shift")</f>
        <v/>
      </c>
      <c r="F6070" s="11">
        <f>INT(B6070)</f>
        <v/>
      </c>
      <c r="G6070" s="11">
        <f>INT(C6070)</f>
        <v/>
      </c>
    </row>
    <row r="6071">
      <c r="A6071" s="2" t="inlineStr">
        <is>
          <t>EXD100</t>
        </is>
      </c>
      <c r="B6071" s="3" t="n">
        <v>46119.25</v>
      </c>
      <c r="C6071" s="3" t="n">
        <v>46119.75</v>
      </c>
      <c r="D6071" s="4">
        <f>(C6071-B6071)*24</f>
        <v/>
      </c>
      <c r="E6071" s="5">
        <f>IF(AND(HOUR(B6071)&gt;=6,HOUR(B6071)&lt;18),"Day Shift","Night Shift")</f>
        <v/>
      </c>
      <c r="F6071" s="6">
        <f>INT(B6071)</f>
        <v/>
      </c>
      <c r="G6071" s="6">
        <f>INT(C6071)</f>
        <v/>
      </c>
    </row>
    <row r="6072">
      <c r="A6072" s="7" t="inlineStr">
        <is>
          <t>EXD100</t>
        </is>
      </c>
      <c r="B6072" s="8" t="n">
        <v>46119.75</v>
      </c>
      <c r="C6072" s="8" t="n">
        <v>46120.06211805555</v>
      </c>
      <c r="D6072" s="9">
        <f>(C6072-B6072)*24</f>
        <v/>
      </c>
      <c r="E6072" s="10">
        <f>IF(AND(HOUR(B6072)&gt;=6,HOUR(B6072)&lt;18),"Day Shift","Night Shift")</f>
        <v/>
      </c>
      <c r="F6072" s="11">
        <f>INT(B6072)</f>
        <v/>
      </c>
      <c r="G6072" s="11">
        <f>INT(C6072)</f>
        <v/>
      </c>
    </row>
    <row r="6073">
      <c r="A6073" s="7" t="inlineStr">
        <is>
          <t>DRE12</t>
        </is>
      </c>
      <c r="B6073" s="8" t="n">
        <v>46119.14085648148</v>
      </c>
      <c r="C6073" s="8" t="n">
        <v>46119.25</v>
      </c>
      <c r="D6073" s="9">
        <f>(C6073-B6073)*24</f>
        <v/>
      </c>
      <c r="E6073" s="10">
        <f>IF(AND(HOUR(B6073)&gt;=6,HOUR(B6073)&lt;18),"Day Shift","Night Shift")</f>
        <v/>
      </c>
      <c r="F6073" s="11">
        <f>INT(B6073)</f>
        <v/>
      </c>
      <c r="G6073" s="11">
        <f>INT(C6073)</f>
        <v/>
      </c>
    </row>
    <row r="6074">
      <c r="A6074" s="2" t="inlineStr">
        <is>
          <t>DRE12</t>
        </is>
      </c>
      <c r="B6074" s="3" t="n">
        <v>46119.25</v>
      </c>
      <c r="C6074" s="3" t="n">
        <v>46119.75</v>
      </c>
      <c r="D6074" s="4">
        <f>(C6074-B6074)*24</f>
        <v/>
      </c>
      <c r="E6074" s="5">
        <f>IF(AND(HOUR(B6074)&gt;=6,HOUR(B6074)&lt;18),"Day Shift","Night Shift")</f>
        <v/>
      </c>
      <c r="F6074" s="6">
        <f>INT(B6074)</f>
        <v/>
      </c>
      <c r="G6074" s="6">
        <f>INT(C6074)</f>
        <v/>
      </c>
    </row>
    <row r="6075">
      <c r="A6075" s="7" t="inlineStr">
        <is>
          <t>DRE12</t>
        </is>
      </c>
      <c r="B6075" s="8" t="n">
        <v>46119.75</v>
      </c>
      <c r="C6075" s="8" t="n">
        <v>46120.25</v>
      </c>
      <c r="D6075" s="9">
        <f>(C6075-B6075)*24</f>
        <v/>
      </c>
      <c r="E6075" s="10">
        <f>IF(AND(HOUR(B6075)&gt;=6,HOUR(B6075)&lt;18),"Day Shift","Night Shift")</f>
        <v/>
      </c>
      <c r="F6075" s="11">
        <f>INT(B6075)</f>
        <v/>
      </c>
      <c r="G6075" s="11">
        <f>INT(C6075)</f>
        <v/>
      </c>
    </row>
    <row r="6076">
      <c r="A6076" s="2" t="inlineStr">
        <is>
          <t>DRE12</t>
        </is>
      </c>
      <c r="B6076" s="3" t="n">
        <v>46120.25</v>
      </c>
      <c r="C6076" s="3" t="n">
        <v>46120.51685185185</v>
      </c>
      <c r="D6076" s="4">
        <f>(C6076-B6076)*24</f>
        <v/>
      </c>
      <c r="E6076" s="5">
        <f>IF(AND(HOUR(B6076)&gt;=6,HOUR(B6076)&lt;18),"Day Shift","Night Shift")</f>
        <v/>
      </c>
      <c r="F6076" s="6">
        <f>INT(B6076)</f>
        <v/>
      </c>
      <c r="G6076" s="6">
        <f>INT(C6076)</f>
        <v/>
      </c>
    </row>
    <row r="6077">
      <c r="A6077" s="7" t="inlineStr">
        <is>
          <t>EXD73</t>
        </is>
      </c>
      <c r="B6077" s="8" t="n">
        <v>46119.1524537037</v>
      </c>
      <c r="C6077" s="8" t="n">
        <v>46119.25</v>
      </c>
      <c r="D6077" s="9">
        <f>(C6077-B6077)*24</f>
        <v/>
      </c>
      <c r="E6077" s="10">
        <f>IF(AND(HOUR(B6077)&gt;=6,HOUR(B6077)&lt;18),"Day Shift","Night Shift")</f>
        <v/>
      </c>
      <c r="F6077" s="11">
        <f>INT(B6077)</f>
        <v/>
      </c>
      <c r="G6077" s="11">
        <f>INT(C6077)</f>
        <v/>
      </c>
    </row>
    <row r="6078">
      <c r="A6078" s="2" t="inlineStr">
        <is>
          <t>EXD73</t>
        </is>
      </c>
      <c r="B6078" s="3" t="n">
        <v>46119.25</v>
      </c>
      <c r="C6078" s="3" t="n">
        <v>46119.75</v>
      </c>
      <c r="D6078" s="4">
        <f>(C6078-B6078)*24</f>
        <v/>
      </c>
      <c r="E6078" s="5">
        <f>IF(AND(HOUR(B6078)&gt;=6,HOUR(B6078)&lt;18),"Day Shift","Night Shift")</f>
        <v/>
      </c>
      <c r="F6078" s="6">
        <f>INT(B6078)</f>
        <v/>
      </c>
      <c r="G6078" s="6">
        <f>INT(C6078)</f>
        <v/>
      </c>
    </row>
    <row r="6079">
      <c r="A6079" s="7" t="inlineStr">
        <is>
          <t>EXD73</t>
        </is>
      </c>
      <c r="B6079" s="8" t="n">
        <v>46119.75</v>
      </c>
      <c r="C6079" s="8" t="n">
        <v>46120.17819444444</v>
      </c>
      <c r="D6079" s="9">
        <f>(C6079-B6079)*24</f>
        <v/>
      </c>
      <c r="E6079" s="10">
        <f>IF(AND(HOUR(B6079)&gt;=6,HOUR(B6079)&lt;18),"Day Shift","Night Shift")</f>
        <v/>
      </c>
      <c r="F6079" s="11">
        <f>INT(B6079)</f>
        <v/>
      </c>
      <c r="G6079" s="11">
        <f>INT(C6079)</f>
        <v/>
      </c>
    </row>
    <row r="6080">
      <c r="A6080" s="2" t="inlineStr">
        <is>
          <t>EXD98</t>
        </is>
      </c>
      <c r="B6080" s="3" t="n">
        <v>46119.3047337963</v>
      </c>
      <c r="C6080" s="3" t="n">
        <v>46119.75</v>
      </c>
      <c r="D6080" s="4">
        <f>(C6080-B6080)*24</f>
        <v/>
      </c>
      <c r="E6080" s="5">
        <f>IF(AND(HOUR(B6080)&gt;=6,HOUR(B6080)&lt;18),"Day Shift","Night Shift")</f>
        <v/>
      </c>
      <c r="F6080" s="6">
        <f>INT(B6080)</f>
        <v/>
      </c>
      <c r="G6080" s="6">
        <f>INT(C6080)</f>
        <v/>
      </c>
    </row>
    <row r="6081">
      <c r="A6081" s="7" t="inlineStr">
        <is>
          <t>EXD98</t>
        </is>
      </c>
      <c r="B6081" s="8" t="n">
        <v>46119.75</v>
      </c>
      <c r="C6081" s="8" t="n">
        <v>46120.20258101852</v>
      </c>
      <c r="D6081" s="9">
        <f>(C6081-B6081)*24</f>
        <v/>
      </c>
      <c r="E6081" s="10">
        <f>IF(AND(HOUR(B6081)&gt;=6,HOUR(B6081)&lt;18),"Day Shift","Night Shift")</f>
        <v/>
      </c>
      <c r="F6081" s="11">
        <f>INT(B6081)</f>
        <v/>
      </c>
      <c r="G6081" s="11">
        <f>INT(C6081)</f>
        <v/>
      </c>
    </row>
    <row r="6082">
      <c r="A6082" s="2" t="inlineStr">
        <is>
          <t>Sprint 1</t>
        </is>
      </c>
      <c r="B6082" s="3" t="n">
        <v>46119.37719907407</v>
      </c>
      <c r="C6082" s="3" t="n">
        <v>46119.75</v>
      </c>
      <c r="D6082" s="4">
        <f>(C6082-B6082)*24</f>
        <v/>
      </c>
      <c r="E6082" s="5">
        <f>IF(AND(HOUR(B6082)&gt;=6,HOUR(B6082)&lt;18),"Day Shift","Night Shift")</f>
        <v/>
      </c>
      <c r="F6082" s="6">
        <f>INT(B6082)</f>
        <v/>
      </c>
      <c r="G6082" s="6">
        <f>INT(C6082)</f>
        <v/>
      </c>
    </row>
    <row r="6083">
      <c r="A6083" s="7" t="inlineStr">
        <is>
          <t>Sprint 1</t>
        </is>
      </c>
      <c r="B6083" s="8" t="n">
        <v>46119.75</v>
      </c>
      <c r="C6083" s="8" t="n">
        <v>46120.19739583333</v>
      </c>
      <c r="D6083" s="9">
        <f>(C6083-B6083)*24</f>
        <v/>
      </c>
      <c r="E6083" s="10">
        <f>IF(AND(HOUR(B6083)&gt;=6,HOUR(B6083)&lt;18),"Day Shift","Night Shift")</f>
        <v/>
      </c>
      <c r="F6083" s="11">
        <f>INT(B6083)</f>
        <v/>
      </c>
      <c r="G6083" s="11">
        <f>INT(C6083)</f>
        <v/>
      </c>
    </row>
    <row r="6084">
      <c r="A6084" s="2" t="inlineStr">
        <is>
          <t>LDW265</t>
        </is>
      </c>
      <c r="B6084" s="3" t="n">
        <v>46119.41068287037</v>
      </c>
      <c r="C6084" s="3" t="n">
        <v>46119.75</v>
      </c>
      <c r="D6084" s="4">
        <f>(C6084-B6084)*24</f>
        <v/>
      </c>
      <c r="E6084" s="5">
        <f>IF(AND(HOUR(B6084)&gt;=6,HOUR(B6084)&lt;18),"Day Shift","Night Shift")</f>
        <v/>
      </c>
      <c r="F6084" s="6">
        <f>INT(B6084)</f>
        <v/>
      </c>
      <c r="G6084" s="6">
        <f>INT(C6084)</f>
        <v/>
      </c>
    </row>
    <row r="6085">
      <c r="A6085" s="7" t="inlineStr">
        <is>
          <t>LDW265</t>
        </is>
      </c>
      <c r="B6085" s="8" t="n">
        <v>46119.75</v>
      </c>
      <c r="C6085" s="8" t="n">
        <v>46120.25</v>
      </c>
      <c r="D6085" s="9">
        <f>(C6085-B6085)*24</f>
        <v/>
      </c>
      <c r="E6085" s="10">
        <f>IF(AND(HOUR(B6085)&gt;=6,HOUR(B6085)&lt;18),"Day Shift","Night Shift")</f>
        <v/>
      </c>
      <c r="F6085" s="11">
        <f>INT(B6085)</f>
        <v/>
      </c>
      <c r="G6085" s="11">
        <f>INT(C6085)</f>
        <v/>
      </c>
    </row>
    <row r="6086">
      <c r="A6086" s="2" t="inlineStr">
        <is>
          <t>LDW265</t>
        </is>
      </c>
      <c r="B6086" s="3" t="n">
        <v>46120.25</v>
      </c>
      <c r="C6086" s="3" t="n">
        <v>46120.31509259259</v>
      </c>
      <c r="D6086" s="4">
        <f>(C6086-B6086)*24</f>
        <v/>
      </c>
      <c r="E6086" s="5">
        <f>IF(AND(HOUR(B6086)&gt;=6,HOUR(B6086)&lt;18),"Day Shift","Night Shift")</f>
        <v/>
      </c>
      <c r="F6086" s="6">
        <f>INT(B6086)</f>
        <v/>
      </c>
      <c r="G6086" s="6">
        <f>INT(C6086)</f>
        <v/>
      </c>
    </row>
    <row r="6087">
      <c r="A6087" s="2" t="inlineStr">
        <is>
          <t>EXD60</t>
        </is>
      </c>
      <c r="B6087" s="3" t="n">
        <v>46119.51480324074</v>
      </c>
      <c r="C6087" s="3" t="n">
        <v>46119.75</v>
      </c>
      <c r="D6087" s="4">
        <f>(C6087-B6087)*24</f>
        <v/>
      </c>
      <c r="E6087" s="5">
        <f>IF(AND(HOUR(B6087)&gt;=6,HOUR(B6087)&lt;18),"Day Shift","Night Shift")</f>
        <v/>
      </c>
      <c r="F6087" s="6">
        <f>INT(B6087)</f>
        <v/>
      </c>
      <c r="G6087" s="6">
        <f>INT(C6087)</f>
        <v/>
      </c>
    </row>
    <row r="6088">
      <c r="A6088" s="7" t="inlineStr">
        <is>
          <t>EXD60</t>
        </is>
      </c>
      <c r="B6088" s="8" t="n">
        <v>46119.75</v>
      </c>
      <c r="C6088" s="8" t="n">
        <v>46120.25</v>
      </c>
      <c r="D6088" s="9">
        <f>(C6088-B6088)*24</f>
        <v/>
      </c>
      <c r="E6088" s="10">
        <f>IF(AND(HOUR(B6088)&gt;=6,HOUR(B6088)&lt;18),"Day Shift","Night Shift")</f>
        <v/>
      </c>
      <c r="F6088" s="11">
        <f>INT(B6088)</f>
        <v/>
      </c>
      <c r="G6088" s="11">
        <f>INT(C6088)</f>
        <v/>
      </c>
    </row>
    <row r="6089">
      <c r="A6089" s="2" t="inlineStr">
        <is>
          <t>EXD60</t>
        </is>
      </c>
      <c r="B6089" s="3" t="n">
        <v>46120.25</v>
      </c>
      <c r="C6089" s="3" t="n">
        <v>46120.75</v>
      </c>
      <c r="D6089" s="4">
        <f>(C6089-B6089)*24</f>
        <v/>
      </c>
      <c r="E6089" s="5">
        <f>IF(AND(HOUR(B6089)&gt;=6,HOUR(B6089)&lt;18),"Day Shift","Night Shift")</f>
        <v/>
      </c>
      <c r="F6089" s="6">
        <f>INT(B6089)</f>
        <v/>
      </c>
      <c r="G6089" s="6">
        <f>INT(C6089)</f>
        <v/>
      </c>
    </row>
    <row r="6090">
      <c r="A6090" s="7" t="inlineStr">
        <is>
          <t>EXD60</t>
        </is>
      </c>
      <c r="B6090" s="8" t="n">
        <v>46120.75</v>
      </c>
      <c r="C6090" s="8" t="n">
        <v>46120.89216435186</v>
      </c>
      <c r="D6090" s="9">
        <f>(C6090-B6090)*24</f>
        <v/>
      </c>
      <c r="E6090" s="10">
        <f>IF(AND(HOUR(B6090)&gt;=6,HOUR(B6090)&lt;18),"Day Shift","Night Shift")</f>
        <v/>
      </c>
      <c r="F6090" s="11">
        <f>INT(B6090)</f>
        <v/>
      </c>
      <c r="G6090" s="11">
        <f>INT(C6090)</f>
        <v/>
      </c>
    </row>
    <row r="6091">
      <c r="A6091" s="2" t="inlineStr">
        <is>
          <t>EXD407</t>
        </is>
      </c>
      <c r="B6091" s="3" t="n">
        <v>46119.57542824074</v>
      </c>
      <c r="C6091" s="3" t="n">
        <v>46119.75</v>
      </c>
      <c r="D6091" s="4">
        <f>(C6091-B6091)*24</f>
        <v/>
      </c>
      <c r="E6091" s="5">
        <f>IF(AND(HOUR(B6091)&gt;=6,HOUR(B6091)&lt;18),"Day Shift","Night Shift")</f>
        <v/>
      </c>
      <c r="F6091" s="6">
        <f>INT(B6091)</f>
        <v/>
      </c>
      <c r="G6091" s="6">
        <f>INT(C6091)</f>
        <v/>
      </c>
    </row>
    <row r="6092">
      <c r="A6092" s="7" t="inlineStr">
        <is>
          <t>EXD407</t>
        </is>
      </c>
      <c r="B6092" s="8" t="n">
        <v>46119.75</v>
      </c>
      <c r="C6092" s="8" t="n">
        <v>46120.25</v>
      </c>
      <c r="D6092" s="9">
        <f>(C6092-B6092)*24</f>
        <v/>
      </c>
      <c r="E6092" s="10">
        <f>IF(AND(HOUR(B6092)&gt;=6,HOUR(B6092)&lt;18),"Day Shift","Night Shift")</f>
        <v/>
      </c>
      <c r="F6092" s="11">
        <f>INT(B6092)</f>
        <v/>
      </c>
      <c r="G6092" s="11">
        <f>INT(C6092)</f>
        <v/>
      </c>
    </row>
    <row r="6093">
      <c r="A6093" s="2" t="inlineStr">
        <is>
          <t>EXD407</t>
        </is>
      </c>
      <c r="B6093" s="3" t="n">
        <v>46120.25</v>
      </c>
      <c r="C6093" s="3" t="n">
        <v>46120.75</v>
      </c>
      <c r="D6093" s="4">
        <f>(C6093-B6093)*24</f>
        <v/>
      </c>
      <c r="E6093" s="5">
        <f>IF(AND(HOUR(B6093)&gt;=6,HOUR(B6093)&lt;18),"Day Shift","Night Shift")</f>
        <v/>
      </c>
      <c r="F6093" s="6">
        <f>INT(B6093)</f>
        <v/>
      </c>
      <c r="G6093" s="6">
        <f>INT(C6093)</f>
        <v/>
      </c>
    </row>
    <row r="6094">
      <c r="A6094" s="7" t="inlineStr">
        <is>
          <t>EXD407</t>
        </is>
      </c>
      <c r="B6094" s="8" t="n">
        <v>46120.75</v>
      </c>
      <c r="C6094" s="8" t="n">
        <v>46121.24802083334</v>
      </c>
      <c r="D6094" s="9">
        <f>(C6094-B6094)*24</f>
        <v/>
      </c>
      <c r="E6094" s="10">
        <f>IF(AND(HOUR(B6094)&gt;=6,HOUR(B6094)&lt;18),"Day Shift","Night Shift")</f>
        <v/>
      </c>
      <c r="F6094" s="11">
        <f>INT(B6094)</f>
        <v/>
      </c>
      <c r="G6094" s="11">
        <f>INT(C6094)</f>
        <v/>
      </c>
    </row>
    <row r="6095">
      <c r="A6095" s="2" t="inlineStr">
        <is>
          <t>EXD101</t>
        </is>
      </c>
      <c r="B6095" s="3" t="n">
        <v>46119.63269675926</v>
      </c>
      <c r="C6095" s="3" t="n">
        <v>46119.75</v>
      </c>
      <c r="D6095" s="4">
        <f>(C6095-B6095)*24</f>
        <v/>
      </c>
      <c r="E6095" s="5">
        <f>IF(AND(HOUR(B6095)&gt;=6,HOUR(B6095)&lt;18),"Day Shift","Night Shift")</f>
        <v/>
      </c>
      <c r="F6095" s="6">
        <f>INT(B6095)</f>
        <v/>
      </c>
      <c r="G6095" s="6">
        <f>INT(C6095)</f>
        <v/>
      </c>
    </row>
    <row r="6096">
      <c r="A6096" s="7" t="inlineStr">
        <is>
          <t>EXD101</t>
        </is>
      </c>
      <c r="B6096" s="8" t="n">
        <v>46119.75</v>
      </c>
      <c r="C6096" s="8" t="n">
        <v>46120.25</v>
      </c>
      <c r="D6096" s="9">
        <f>(C6096-B6096)*24</f>
        <v/>
      </c>
      <c r="E6096" s="10">
        <f>IF(AND(HOUR(B6096)&gt;=6,HOUR(B6096)&lt;18),"Day Shift","Night Shift")</f>
        <v/>
      </c>
      <c r="F6096" s="11">
        <f>INT(B6096)</f>
        <v/>
      </c>
      <c r="G6096" s="11">
        <f>INT(C6096)</f>
        <v/>
      </c>
    </row>
    <row r="6097">
      <c r="A6097" s="2" t="inlineStr">
        <is>
          <t>EXD101</t>
        </is>
      </c>
      <c r="B6097" s="3" t="n">
        <v>46120.25</v>
      </c>
      <c r="C6097" s="3" t="n">
        <v>46120.75</v>
      </c>
      <c r="D6097" s="4">
        <f>(C6097-B6097)*24</f>
        <v/>
      </c>
      <c r="E6097" s="5">
        <f>IF(AND(HOUR(B6097)&gt;=6,HOUR(B6097)&lt;18),"Day Shift","Night Shift")</f>
        <v/>
      </c>
      <c r="F6097" s="6">
        <f>INT(B6097)</f>
        <v/>
      </c>
      <c r="G6097" s="6">
        <f>INT(C6097)</f>
        <v/>
      </c>
    </row>
    <row r="6098">
      <c r="A6098" s="7" t="inlineStr">
        <is>
          <t>EXD101</t>
        </is>
      </c>
      <c r="B6098" s="8" t="n">
        <v>46120.75</v>
      </c>
      <c r="C6098" s="8" t="n">
        <v>46121.17274305555</v>
      </c>
      <c r="D6098" s="9">
        <f>(C6098-B6098)*24</f>
        <v/>
      </c>
      <c r="E6098" s="10">
        <f>IF(AND(HOUR(B6098)&gt;=6,HOUR(B6098)&lt;18),"Day Shift","Night Shift")</f>
        <v/>
      </c>
      <c r="F6098" s="11">
        <f>INT(B6098)</f>
        <v/>
      </c>
      <c r="G6098" s="11">
        <f>INT(C6098)</f>
        <v/>
      </c>
    </row>
    <row r="6099">
      <c r="A6099" s="2" t="inlineStr">
        <is>
          <t>EDD175;EDD1932;EDD2134;EDD812</t>
        </is>
      </c>
      <c r="B6099" s="3" t="n">
        <v>46119.63768518518</v>
      </c>
      <c r="C6099" s="3" t="n">
        <v>46119.75</v>
      </c>
      <c r="D6099" s="4">
        <f>(C6099-B6099)*24</f>
        <v/>
      </c>
      <c r="E6099" s="5">
        <f>IF(AND(HOUR(B6099)&gt;=6,HOUR(B6099)&lt;18),"Day Shift","Night Shift")</f>
        <v/>
      </c>
      <c r="F6099" s="6">
        <f>INT(B6099)</f>
        <v/>
      </c>
      <c r="G6099" s="6">
        <f>INT(C6099)</f>
        <v/>
      </c>
    </row>
    <row r="6100">
      <c r="A6100" s="7" t="inlineStr">
        <is>
          <t>EDD175;EDD1932;EDD2134;EDD812</t>
        </is>
      </c>
      <c r="B6100" s="8" t="n">
        <v>46119.75</v>
      </c>
      <c r="C6100" s="8" t="n">
        <v>46120.25</v>
      </c>
      <c r="D6100" s="9">
        <f>(C6100-B6100)*24</f>
        <v/>
      </c>
      <c r="E6100" s="10">
        <f>IF(AND(HOUR(B6100)&gt;=6,HOUR(B6100)&lt;18),"Day Shift","Night Shift")</f>
        <v/>
      </c>
      <c r="F6100" s="11">
        <f>INT(B6100)</f>
        <v/>
      </c>
      <c r="G6100" s="11">
        <f>INT(C6100)</f>
        <v/>
      </c>
    </row>
    <row r="6101">
      <c r="A6101" s="2" t="inlineStr">
        <is>
          <t>EDD175;EDD1932;EDD2134;EDD812</t>
        </is>
      </c>
      <c r="B6101" s="3" t="n">
        <v>46120.25</v>
      </c>
      <c r="C6101" s="3" t="n">
        <v>46120.75</v>
      </c>
      <c r="D6101" s="4">
        <f>(C6101-B6101)*24</f>
        <v/>
      </c>
      <c r="E6101" s="5">
        <f>IF(AND(HOUR(B6101)&gt;=6,HOUR(B6101)&lt;18),"Day Shift","Night Shift")</f>
        <v/>
      </c>
      <c r="F6101" s="6">
        <f>INT(B6101)</f>
        <v/>
      </c>
      <c r="G6101" s="6">
        <f>INT(C6101)</f>
        <v/>
      </c>
    </row>
    <row r="6102">
      <c r="A6102" s="7" t="inlineStr">
        <is>
          <t>EDD175;EDD1932;EDD2134;EDD812</t>
        </is>
      </c>
      <c r="B6102" s="8" t="n">
        <v>46120.75</v>
      </c>
      <c r="C6102" s="8" t="n">
        <v>46121.20899305555</v>
      </c>
      <c r="D6102" s="9">
        <f>(C6102-B6102)*24</f>
        <v/>
      </c>
      <c r="E6102" s="10">
        <f>IF(AND(HOUR(B6102)&gt;=6,HOUR(B6102)&lt;18),"Day Shift","Night Shift")</f>
        <v/>
      </c>
      <c r="F6102" s="11">
        <f>INT(B6102)</f>
        <v/>
      </c>
      <c r="G6102" s="11">
        <f>INT(C6102)</f>
        <v/>
      </c>
    </row>
    <row r="6103">
      <c r="A6103" s="2" t="inlineStr">
        <is>
          <t>EXD56</t>
        </is>
      </c>
      <c r="B6103" s="3" t="n">
        <v>46119.63903935185</v>
      </c>
      <c r="C6103" s="3" t="n">
        <v>46119.75</v>
      </c>
      <c r="D6103" s="4">
        <f>(C6103-B6103)*24</f>
        <v/>
      </c>
      <c r="E6103" s="5">
        <f>IF(AND(HOUR(B6103)&gt;=6,HOUR(B6103)&lt;18),"Day Shift","Night Shift")</f>
        <v/>
      </c>
      <c r="F6103" s="6">
        <f>INT(B6103)</f>
        <v/>
      </c>
      <c r="G6103" s="6">
        <f>INT(C6103)</f>
        <v/>
      </c>
    </row>
    <row r="6104">
      <c r="A6104" s="7" t="inlineStr">
        <is>
          <t>EXD56</t>
        </is>
      </c>
      <c r="B6104" s="8" t="n">
        <v>46119.75</v>
      </c>
      <c r="C6104" s="8" t="n">
        <v>46120.25</v>
      </c>
      <c r="D6104" s="9">
        <f>(C6104-B6104)*24</f>
        <v/>
      </c>
      <c r="E6104" s="10">
        <f>IF(AND(HOUR(B6104)&gt;=6,HOUR(B6104)&lt;18),"Day Shift","Night Shift")</f>
        <v/>
      </c>
      <c r="F6104" s="11">
        <f>INT(B6104)</f>
        <v/>
      </c>
      <c r="G6104" s="11">
        <f>INT(C6104)</f>
        <v/>
      </c>
    </row>
    <row r="6105">
      <c r="A6105" s="2" t="inlineStr">
        <is>
          <t>EXD56</t>
        </is>
      </c>
      <c r="B6105" s="3" t="n">
        <v>46120.25</v>
      </c>
      <c r="C6105" s="3" t="n">
        <v>46120.75</v>
      </c>
      <c r="D6105" s="4">
        <f>(C6105-B6105)*24</f>
        <v/>
      </c>
      <c r="E6105" s="5">
        <f>IF(AND(HOUR(B6105)&gt;=6,HOUR(B6105)&lt;18),"Day Shift","Night Shift")</f>
        <v/>
      </c>
      <c r="F6105" s="6">
        <f>INT(B6105)</f>
        <v/>
      </c>
      <c r="G6105" s="6">
        <f>INT(C6105)</f>
        <v/>
      </c>
    </row>
    <row r="6106">
      <c r="A6106" s="7" t="inlineStr">
        <is>
          <t>EXD56</t>
        </is>
      </c>
      <c r="B6106" s="8" t="n">
        <v>46120.75</v>
      </c>
      <c r="C6106" s="8" t="n">
        <v>46121.25</v>
      </c>
      <c r="D6106" s="9">
        <f>(C6106-B6106)*24</f>
        <v/>
      </c>
      <c r="E6106" s="10">
        <f>IF(AND(HOUR(B6106)&gt;=6,HOUR(B6106)&lt;18),"Day Shift","Night Shift")</f>
        <v/>
      </c>
      <c r="F6106" s="11">
        <f>INT(B6106)</f>
        <v/>
      </c>
      <c r="G6106" s="11">
        <f>INT(C6106)</f>
        <v/>
      </c>
    </row>
    <row r="6107">
      <c r="A6107" s="2" t="inlineStr">
        <is>
          <t>EXD56</t>
        </is>
      </c>
      <c r="B6107" s="3" t="n">
        <v>46121.25</v>
      </c>
      <c r="C6107" s="3" t="n">
        <v>46121.75</v>
      </c>
      <c r="D6107" s="4">
        <f>(C6107-B6107)*24</f>
        <v/>
      </c>
      <c r="E6107" s="5">
        <f>IF(AND(HOUR(B6107)&gt;=6,HOUR(B6107)&lt;18),"Day Shift","Night Shift")</f>
        <v/>
      </c>
      <c r="F6107" s="6">
        <f>INT(B6107)</f>
        <v/>
      </c>
      <c r="G6107" s="6">
        <f>INT(C6107)</f>
        <v/>
      </c>
    </row>
    <row r="6108">
      <c r="A6108" s="7" t="inlineStr">
        <is>
          <t>EXD56</t>
        </is>
      </c>
      <c r="B6108" s="8" t="n">
        <v>46121.75</v>
      </c>
      <c r="C6108" s="8" t="n">
        <v>46122.25</v>
      </c>
      <c r="D6108" s="9">
        <f>(C6108-B6108)*24</f>
        <v/>
      </c>
      <c r="E6108" s="10">
        <f>IF(AND(HOUR(B6108)&gt;=6,HOUR(B6108)&lt;18),"Day Shift","Night Shift")</f>
        <v/>
      </c>
      <c r="F6108" s="11">
        <f>INT(B6108)</f>
        <v/>
      </c>
      <c r="G6108" s="11">
        <f>INT(C6108)</f>
        <v/>
      </c>
    </row>
    <row r="6109">
      <c r="A6109" s="2" t="inlineStr">
        <is>
          <t>EXD56</t>
        </is>
      </c>
      <c r="B6109" s="3" t="n">
        <v>46122.25</v>
      </c>
      <c r="C6109" s="3" t="n">
        <v>46122.75</v>
      </c>
      <c r="D6109" s="4">
        <f>(C6109-B6109)*24</f>
        <v/>
      </c>
      <c r="E6109" s="5">
        <f>IF(AND(HOUR(B6109)&gt;=6,HOUR(B6109)&lt;18),"Day Shift","Night Shift")</f>
        <v/>
      </c>
      <c r="F6109" s="6">
        <f>INT(B6109)</f>
        <v/>
      </c>
      <c r="G6109" s="6">
        <f>INT(C6109)</f>
        <v/>
      </c>
    </row>
    <row r="6110">
      <c r="A6110" s="7" t="inlineStr">
        <is>
          <t>EXD56</t>
        </is>
      </c>
      <c r="B6110" s="8" t="n">
        <v>46122.75</v>
      </c>
      <c r="C6110" s="8" t="n">
        <v>46123.23486111111</v>
      </c>
      <c r="D6110" s="9">
        <f>(C6110-B6110)*24</f>
        <v/>
      </c>
      <c r="E6110" s="10">
        <f>IF(AND(HOUR(B6110)&gt;=6,HOUR(B6110)&lt;18),"Day Shift","Night Shift")</f>
        <v/>
      </c>
      <c r="F6110" s="11">
        <f>INT(B6110)</f>
        <v/>
      </c>
      <c r="G6110" s="11">
        <f>INT(C6110)</f>
        <v/>
      </c>
    </row>
    <row r="6111">
      <c r="A6111" s="2" t="inlineStr">
        <is>
          <t>DRE42</t>
        </is>
      </c>
      <c r="B6111" s="3" t="n">
        <v>46119.69376157408</v>
      </c>
      <c r="C6111" s="3" t="n">
        <v>46119.75</v>
      </c>
      <c r="D6111" s="4">
        <f>(C6111-B6111)*24</f>
        <v/>
      </c>
      <c r="E6111" s="5">
        <f>IF(AND(HOUR(B6111)&gt;=6,HOUR(B6111)&lt;18),"Day Shift","Night Shift")</f>
        <v/>
      </c>
      <c r="F6111" s="6">
        <f>INT(B6111)</f>
        <v/>
      </c>
      <c r="G6111" s="6">
        <f>INT(C6111)</f>
        <v/>
      </c>
    </row>
    <row r="6112">
      <c r="A6112" s="7" t="inlineStr">
        <is>
          <t>DRE42</t>
        </is>
      </c>
      <c r="B6112" s="8" t="n">
        <v>46119.75</v>
      </c>
      <c r="C6112" s="8" t="n">
        <v>46120.25</v>
      </c>
      <c r="D6112" s="9">
        <f>(C6112-B6112)*24</f>
        <v/>
      </c>
      <c r="E6112" s="10">
        <f>IF(AND(HOUR(B6112)&gt;=6,HOUR(B6112)&lt;18),"Day Shift","Night Shift")</f>
        <v/>
      </c>
      <c r="F6112" s="11">
        <f>INT(B6112)</f>
        <v/>
      </c>
      <c r="G6112" s="11">
        <f>INT(C6112)</f>
        <v/>
      </c>
    </row>
    <row r="6113">
      <c r="A6113" s="2" t="inlineStr">
        <is>
          <t>DRE42</t>
        </is>
      </c>
      <c r="B6113" s="3" t="n">
        <v>46120.25</v>
      </c>
      <c r="C6113" s="3" t="n">
        <v>46120.75</v>
      </c>
      <c r="D6113" s="4">
        <f>(C6113-B6113)*24</f>
        <v/>
      </c>
      <c r="E6113" s="5">
        <f>IF(AND(HOUR(B6113)&gt;=6,HOUR(B6113)&lt;18),"Day Shift","Night Shift")</f>
        <v/>
      </c>
      <c r="F6113" s="6">
        <f>INT(B6113)</f>
        <v/>
      </c>
      <c r="G6113" s="6">
        <f>INT(C6113)</f>
        <v/>
      </c>
    </row>
    <row r="6114">
      <c r="A6114" s="7" t="inlineStr">
        <is>
          <t>DRE42</t>
        </is>
      </c>
      <c r="B6114" s="8" t="n">
        <v>46120.75</v>
      </c>
      <c r="C6114" s="8" t="n">
        <v>46121.25</v>
      </c>
      <c r="D6114" s="9">
        <f>(C6114-B6114)*24</f>
        <v/>
      </c>
      <c r="E6114" s="10">
        <f>IF(AND(HOUR(B6114)&gt;=6,HOUR(B6114)&lt;18),"Day Shift","Night Shift")</f>
        <v/>
      </c>
      <c r="F6114" s="11">
        <f>INT(B6114)</f>
        <v/>
      </c>
      <c r="G6114" s="11">
        <f>INT(C6114)</f>
        <v/>
      </c>
    </row>
    <row r="6115">
      <c r="A6115" s="2" t="inlineStr">
        <is>
          <t>DRE42</t>
        </is>
      </c>
      <c r="B6115" s="3" t="n">
        <v>46121.25</v>
      </c>
      <c r="C6115" s="3" t="n">
        <v>46121.75</v>
      </c>
      <c r="D6115" s="4">
        <f>(C6115-B6115)*24</f>
        <v/>
      </c>
      <c r="E6115" s="5">
        <f>IF(AND(HOUR(B6115)&gt;=6,HOUR(B6115)&lt;18),"Day Shift","Night Shift")</f>
        <v/>
      </c>
      <c r="F6115" s="6">
        <f>INT(B6115)</f>
        <v/>
      </c>
      <c r="G6115" s="6">
        <f>INT(C6115)</f>
        <v/>
      </c>
    </row>
    <row r="6116">
      <c r="A6116" s="7" t="inlineStr">
        <is>
          <t>DRE42</t>
        </is>
      </c>
      <c r="B6116" s="8" t="n">
        <v>46121.75</v>
      </c>
      <c r="C6116" s="8" t="n">
        <v>46122.25</v>
      </c>
      <c r="D6116" s="9">
        <f>(C6116-B6116)*24</f>
        <v/>
      </c>
      <c r="E6116" s="10">
        <f>IF(AND(HOUR(B6116)&gt;=6,HOUR(B6116)&lt;18),"Day Shift","Night Shift")</f>
        <v/>
      </c>
      <c r="F6116" s="11">
        <f>INT(B6116)</f>
        <v/>
      </c>
      <c r="G6116" s="11">
        <f>INT(C6116)</f>
        <v/>
      </c>
    </row>
    <row r="6117">
      <c r="A6117" s="2" t="inlineStr">
        <is>
          <t>DRE42</t>
        </is>
      </c>
      <c r="B6117" s="3" t="n">
        <v>46122.25</v>
      </c>
      <c r="C6117" s="3" t="n">
        <v>46122.25378472222</v>
      </c>
      <c r="D6117" s="4">
        <f>(C6117-B6117)*24</f>
        <v/>
      </c>
      <c r="E6117" s="5">
        <f>IF(AND(HOUR(B6117)&gt;=6,HOUR(B6117)&lt;18),"Day Shift","Night Shift")</f>
        <v/>
      </c>
      <c r="F6117" s="6">
        <f>INT(B6117)</f>
        <v/>
      </c>
      <c r="G6117" s="6">
        <f>INT(C6117)</f>
        <v/>
      </c>
    </row>
    <row r="6118">
      <c r="A6118" s="7" t="inlineStr">
        <is>
          <t>EXD100</t>
        </is>
      </c>
      <c r="B6118" s="8" t="n">
        <v>46120.06211805555</v>
      </c>
      <c r="C6118" s="8" t="n">
        <v>46120.25</v>
      </c>
      <c r="D6118" s="9">
        <f>(C6118-B6118)*24</f>
        <v/>
      </c>
      <c r="E6118" s="10">
        <f>IF(AND(HOUR(B6118)&gt;=6,HOUR(B6118)&lt;18),"Day Shift","Night Shift")</f>
        <v/>
      </c>
      <c r="F6118" s="11">
        <f>INT(B6118)</f>
        <v/>
      </c>
      <c r="G6118" s="11">
        <f>INT(C6118)</f>
        <v/>
      </c>
    </row>
    <row r="6119">
      <c r="A6119" s="2" t="inlineStr">
        <is>
          <t>EXD100</t>
        </is>
      </c>
      <c r="B6119" s="3" t="n">
        <v>46120.25</v>
      </c>
      <c r="C6119" s="3" t="n">
        <v>46120.59888888889</v>
      </c>
      <c r="D6119" s="4">
        <f>(C6119-B6119)*24</f>
        <v/>
      </c>
      <c r="E6119" s="5">
        <f>IF(AND(HOUR(B6119)&gt;=6,HOUR(B6119)&lt;18),"Day Shift","Night Shift")</f>
        <v/>
      </c>
      <c r="F6119" s="6">
        <f>INT(B6119)</f>
        <v/>
      </c>
      <c r="G6119" s="6">
        <f>INT(C6119)</f>
        <v/>
      </c>
    </row>
    <row r="6120">
      <c r="A6120" s="7" t="inlineStr">
        <is>
          <t>SHE36</t>
        </is>
      </c>
      <c r="B6120" s="8" t="n">
        <v>46120.08994212963</v>
      </c>
      <c r="C6120" s="8" t="n">
        <v>46120.25</v>
      </c>
      <c r="D6120" s="9">
        <f>(C6120-B6120)*24</f>
        <v/>
      </c>
      <c r="E6120" s="10">
        <f>IF(AND(HOUR(B6120)&gt;=6,HOUR(B6120)&lt;18),"Day Shift","Night Shift")</f>
        <v/>
      </c>
      <c r="F6120" s="11">
        <f>INT(B6120)</f>
        <v/>
      </c>
      <c r="G6120" s="11">
        <f>INT(C6120)</f>
        <v/>
      </c>
    </row>
    <row r="6121">
      <c r="A6121" s="2" t="inlineStr">
        <is>
          <t>SHE36</t>
        </is>
      </c>
      <c r="B6121" s="3" t="n">
        <v>46120.25</v>
      </c>
      <c r="C6121" s="3" t="n">
        <v>46120.75</v>
      </c>
      <c r="D6121" s="4">
        <f>(C6121-B6121)*24</f>
        <v/>
      </c>
      <c r="E6121" s="5">
        <f>IF(AND(HOUR(B6121)&gt;=6,HOUR(B6121)&lt;18),"Day Shift","Night Shift")</f>
        <v/>
      </c>
      <c r="F6121" s="6">
        <f>INT(B6121)</f>
        <v/>
      </c>
      <c r="G6121" s="6">
        <f>INT(C6121)</f>
        <v/>
      </c>
    </row>
    <row r="6122">
      <c r="A6122" s="7" t="inlineStr">
        <is>
          <t>SHE36</t>
        </is>
      </c>
      <c r="B6122" s="8" t="n">
        <v>46120.75</v>
      </c>
      <c r="C6122" s="8" t="n">
        <v>46120.94438657408</v>
      </c>
      <c r="D6122" s="9">
        <f>(C6122-B6122)*24</f>
        <v/>
      </c>
      <c r="E6122" s="10">
        <f>IF(AND(HOUR(B6122)&gt;=6,HOUR(B6122)&lt;18),"Day Shift","Night Shift")</f>
        <v/>
      </c>
      <c r="F6122" s="11">
        <f>INT(B6122)</f>
        <v/>
      </c>
      <c r="G6122" s="11">
        <f>INT(C6122)</f>
        <v/>
      </c>
    </row>
    <row r="6123">
      <c r="A6123" s="7" t="inlineStr">
        <is>
          <t>EXD73</t>
        </is>
      </c>
      <c r="B6123" s="8" t="n">
        <v>46120.17819444444</v>
      </c>
      <c r="C6123" s="8" t="n">
        <v>46120.25</v>
      </c>
      <c r="D6123" s="9">
        <f>(C6123-B6123)*24</f>
        <v/>
      </c>
      <c r="E6123" s="10">
        <f>IF(AND(HOUR(B6123)&gt;=6,HOUR(B6123)&lt;18),"Day Shift","Night Shift")</f>
        <v/>
      </c>
      <c r="F6123" s="11">
        <f>INT(B6123)</f>
        <v/>
      </c>
      <c r="G6123" s="11">
        <f>INT(C6123)</f>
        <v/>
      </c>
    </row>
    <row r="6124">
      <c r="A6124" s="2" t="inlineStr">
        <is>
          <t>EXD73</t>
        </is>
      </c>
      <c r="B6124" s="3" t="n">
        <v>46120.25</v>
      </c>
      <c r="C6124" s="3" t="n">
        <v>46120.75</v>
      </c>
      <c r="D6124" s="4">
        <f>(C6124-B6124)*24</f>
        <v/>
      </c>
      <c r="E6124" s="5">
        <f>IF(AND(HOUR(B6124)&gt;=6,HOUR(B6124)&lt;18),"Day Shift","Night Shift")</f>
        <v/>
      </c>
      <c r="F6124" s="6">
        <f>INT(B6124)</f>
        <v/>
      </c>
      <c r="G6124" s="6">
        <f>INT(C6124)</f>
        <v/>
      </c>
    </row>
    <row r="6125">
      <c r="A6125" s="7" t="inlineStr">
        <is>
          <t>EXD73</t>
        </is>
      </c>
      <c r="B6125" s="8" t="n">
        <v>46120.75</v>
      </c>
      <c r="C6125" s="8" t="n">
        <v>46120.97754629629</v>
      </c>
      <c r="D6125" s="9">
        <f>(C6125-B6125)*24</f>
        <v/>
      </c>
      <c r="E6125" s="10">
        <f>IF(AND(HOUR(B6125)&gt;=6,HOUR(B6125)&lt;18),"Day Shift","Night Shift")</f>
        <v/>
      </c>
      <c r="F6125" s="11">
        <f>INT(B6125)</f>
        <v/>
      </c>
      <c r="G6125" s="11">
        <f>INT(C6125)</f>
        <v/>
      </c>
    </row>
    <row r="6126">
      <c r="A6126" s="7" t="inlineStr">
        <is>
          <t>EXD61</t>
        </is>
      </c>
      <c r="B6126" s="8" t="n">
        <v>46120.19244212963</v>
      </c>
      <c r="C6126" s="8" t="n">
        <v>46120.25</v>
      </c>
      <c r="D6126" s="9">
        <f>(C6126-B6126)*24</f>
        <v/>
      </c>
      <c r="E6126" s="10">
        <f>IF(AND(HOUR(B6126)&gt;=6,HOUR(B6126)&lt;18),"Day Shift","Night Shift")</f>
        <v/>
      </c>
      <c r="F6126" s="11">
        <f>INT(B6126)</f>
        <v/>
      </c>
      <c r="G6126" s="11">
        <f>INT(C6126)</f>
        <v/>
      </c>
    </row>
    <row r="6127">
      <c r="A6127" s="2" t="inlineStr">
        <is>
          <t>EXD61</t>
        </is>
      </c>
      <c r="B6127" s="3" t="n">
        <v>46120.25</v>
      </c>
      <c r="C6127" s="3" t="n">
        <v>46120.75</v>
      </c>
      <c r="D6127" s="4">
        <f>(C6127-B6127)*24</f>
        <v/>
      </c>
      <c r="E6127" s="5">
        <f>IF(AND(HOUR(B6127)&gt;=6,HOUR(B6127)&lt;18),"Day Shift","Night Shift")</f>
        <v/>
      </c>
      <c r="F6127" s="6">
        <f>INT(B6127)</f>
        <v/>
      </c>
      <c r="G6127" s="6">
        <f>INT(C6127)</f>
        <v/>
      </c>
    </row>
    <row r="6128">
      <c r="A6128" s="7" t="inlineStr">
        <is>
          <t>EXD61</t>
        </is>
      </c>
      <c r="B6128" s="8" t="n">
        <v>46120.75</v>
      </c>
      <c r="C6128" s="8" t="n">
        <v>46121.25</v>
      </c>
      <c r="D6128" s="9">
        <f>(C6128-B6128)*24</f>
        <v/>
      </c>
      <c r="E6128" s="10">
        <f>IF(AND(HOUR(B6128)&gt;=6,HOUR(B6128)&lt;18),"Day Shift","Night Shift")</f>
        <v/>
      </c>
      <c r="F6128" s="11">
        <f>INT(B6128)</f>
        <v/>
      </c>
      <c r="G6128" s="11">
        <f>INT(C6128)</f>
        <v/>
      </c>
    </row>
    <row r="6129">
      <c r="A6129" s="2" t="inlineStr">
        <is>
          <t>EXD61</t>
        </is>
      </c>
      <c r="B6129" s="3" t="n">
        <v>46121.25</v>
      </c>
      <c r="C6129" s="3" t="n">
        <v>46121.75</v>
      </c>
      <c r="D6129" s="4">
        <f>(C6129-B6129)*24</f>
        <v/>
      </c>
      <c r="E6129" s="5">
        <f>IF(AND(HOUR(B6129)&gt;=6,HOUR(B6129)&lt;18),"Day Shift","Night Shift")</f>
        <v/>
      </c>
      <c r="F6129" s="6">
        <f>INT(B6129)</f>
        <v/>
      </c>
      <c r="G6129" s="6">
        <f>INT(C6129)</f>
        <v/>
      </c>
    </row>
    <row r="6130">
      <c r="A6130" s="7" t="inlineStr">
        <is>
          <t>EXD61</t>
        </is>
      </c>
      <c r="B6130" s="8" t="n">
        <v>46121.75</v>
      </c>
      <c r="C6130" s="8" t="n">
        <v>46122.25</v>
      </c>
      <c r="D6130" s="9">
        <f>(C6130-B6130)*24</f>
        <v/>
      </c>
      <c r="E6130" s="10">
        <f>IF(AND(HOUR(B6130)&gt;=6,HOUR(B6130)&lt;18),"Day Shift","Night Shift")</f>
        <v/>
      </c>
      <c r="F6130" s="11">
        <f>INT(B6130)</f>
        <v/>
      </c>
      <c r="G6130" s="11">
        <f>INT(C6130)</f>
        <v/>
      </c>
    </row>
    <row r="6131">
      <c r="A6131" s="2" t="inlineStr">
        <is>
          <t>EXD61</t>
        </is>
      </c>
      <c r="B6131" s="3" t="n">
        <v>46122.25</v>
      </c>
      <c r="C6131" s="3" t="n">
        <v>46122.57666666667</v>
      </c>
      <c r="D6131" s="4">
        <f>(C6131-B6131)*24</f>
        <v/>
      </c>
      <c r="E6131" s="5">
        <f>IF(AND(HOUR(B6131)&gt;=6,HOUR(B6131)&lt;18),"Day Shift","Night Shift")</f>
        <v/>
      </c>
      <c r="F6131" s="6">
        <f>INT(B6131)</f>
        <v/>
      </c>
      <c r="G6131" s="6">
        <f>INT(C6131)</f>
        <v/>
      </c>
    </row>
    <row r="6132">
      <c r="A6132" s="7" t="inlineStr">
        <is>
          <t>Sprint 1</t>
        </is>
      </c>
      <c r="B6132" s="8" t="n">
        <v>46120.19739583333</v>
      </c>
      <c r="C6132" s="8" t="n">
        <v>46120.25</v>
      </c>
      <c r="D6132" s="9">
        <f>(C6132-B6132)*24</f>
        <v/>
      </c>
      <c r="E6132" s="10">
        <f>IF(AND(HOUR(B6132)&gt;=6,HOUR(B6132)&lt;18),"Day Shift","Night Shift")</f>
        <v/>
      </c>
      <c r="F6132" s="11">
        <f>INT(B6132)</f>
        <v/>
      </c>
      <c r="G6132" s="11">
        <f>INT(C6132)</f>
        <v/>
      </c>
    </row>
    <row r="6133">
      <c r="A6133" s="2" t="inlineStr">
        <is>
          <t>Sprint 1</t>
        </is>
      </c>
      <c r="B6133" s="3" t="n">
        <v>46120.25</v>
      </c>
      <c r="C6133" s="3" t="n">
        <v>46120.75</v>
      </c>
      <c r="D6133" s="4">
        <f>(C6133-B6133)*24</f>
        <v/>
      </c>
      <c r="E6133" s="5">
        <f>IF(AND(HOUR(B6133)&gt;=6,HOUR(B6133)&lt;18),"Day Shift","Night Shift")</f>
        <v/>
      </c>
      <c r="F6133" s="6">
        <f>INT(B6133)</f>
        <v/>
      </c>
      <c r="G6133" s="6">
        <f>INT(C6133)</f>
        <v/>
      </c>
    </row>
    <row r="6134">
      <c r="A6134" s="7" t="inlineStr">
        <is>
          <t>Sprint 1</t>
        </is>
      </c>
      <c r="B6134" s="8" t="n">
        <v>46120.75</v>
      </c>
      <c r="C6134" s="8" t="n">
        <v>46120.91836805556</v>
      </c>
      <c r="D6134" s="9">
        <f>(C6134-B6134)*24</f>
        <v/>
      </c>
      <c r="E6134" s="10">
        <f>IF(AND(HOUR(B6134)&gt;=6,HOUR(B6134)&lt;18),"Day Shift","Night Shift")</f>
        <v/>
      </c>
      <c r="F6134" s="11">
        <f>INT(B6134)</f>
        <v/>
      </c>
      <c r="G6134" s="11">
        <f>INT(C6134)</f>
        <v/>
      </c>
    </row>
    <row r="6135">
      <c r="A6135" s="7" t="inlineStr">
        <is>
          <t>EXD98</t>
        </is>
      </c>
      <c r="B6135" s="8" t="n">
        <v>46120.20258101852</v>
      </c>
      <c r="C6135" s="8" t="n">
        <v>46120.25</v>
      </c>
      <c r="D6135" s="9">
        <f>(C6135-B6135)*24</f>
        <v/>
      </c>
      <c r="E6135" s="10">
        <f>IF(AND(HOUR(B6135)&gt;=6,HOUR(B6135)&lt;18),"Day Shift","Night Shift")</f>
        <v/>
      </c>
      <c r="F6135" s="11">
        <f>INT(B6135)</f>
        <v/>
      </c>
      <c r="G6135" s="11">
        <f>INT(C6135)</f>
        <v/>
      </c>
    </row>
    <row r="6136">
      <c r="A6136" s="2" t="inlineStr">
        <is>
          <t>EXD98</t>
        </is>
      </c>
      <c r="B6136" s="3" t="n">
        <v>46120.25</v>
      </c>
      <c r="C6136" s="3" t="n">
        <v>46120.75</v>
      </c>
      <c r="D6136" s="4">
        <f>(C6136-B6136)*24</f>
        <v/>
      </c>
      <c r="E6136" s="5">
        <f>IF(AND(HOUR(B6136)&gt;=6,HOUR(B6136)&lt;18),"Day Shift","Night Shift")</f>
        <v/>
      </c>
      <c r="F6136" s="6">
        <f>INT(B6136)</f>
        <v/>
      </c>
      <c r="G6136" s="6">
        <f>INT(C6136)</f>
        <v/>
      </c>
    </row>
    <row r="6137">
      <c r="A6137" s="7" t="inlineStr">
        <is>
          <t>EXD98</t>
        </is>
      </c>
      <c r="B6137" s="8" t="n">
        <v>46120.75</v>
      </c>
      <c r="C6137" s="8" t="n">
        <v>46121.04908564815</v>
      </c>
      <c r="D6137" s="9">
        <f>(C6137-B6137)*24</f>
        <v/>
      </c>
      <c r="E6137" s="10">
        <f>IF(AND(HOUR(B6137)&gt;=6,HOUR(B6137)&lt;18),"Day Shift","Night Shift")</f>
        <v/>
      </c>
      <c r="F6137" s="11">
        <f>INT(B6137)</f>
        <v/>
      </c>
      <c r="G6137" s="11">
        <f>INT(C6137)</f>
        <v/>
      </c>
    </row>
    <row r="6138">
      <c r="A6138" s="7" t="inlineStr">
        <is>
          <t>EDD2541</t>
        </is>
      </c>
      <c r="B6138" s="8" t="n">
        <v>46120.24494212963</v>
      </c>
      <c r="C6138" s="8" t="n">
        <v>46120.25</v>
      </c>
      <c r="D6138" s="9">
        <f>(C6138-B6138)*24</f>
        <v/>
      </c>
      <c r="E6138" s="10">
        <f>IF(AND(HOUR(B6138)&gt;=6,HOUR(B6138)&lt;18),"Day Shift","Night Shift")</f>
        <v/>
      </c>
      <c r="F6138" s="11">
        <f>INT(B6138)</f>
        <v/>
      </c>
      <c r="G6138" s="11">
        <f>INT(C6138)</f>
        <v/>
      </c>
    </row>
    <row r="6139">
      <c r="A6139" s="2" t="inlineStr">
        <is>
          <t>EDD2541</t>
        </is>
      </c>
      <c r="B6139" s="3" t="n">
        <v>46120.25</v>
      </c>
      <c r="C6139" s="3" t="n">
        <v>46120.75</v>
      </c>
      <c r="D6139" s="4">
        <f>(C6139-B6139)*24</f>
        <v/>
      </c>
      <c r="E6139" s="5">
        <f>IF(AND(HOUR(B6139)&gt;=6,HOUR(B6139)&lt;18),"Day Shift","Night Shift")</f>
        <v/>
      </c>
      <c r="F6139" s="6">
        <f>INT(B6139)</f>
        <v/>
      </c>
      <c r="G6139" s="6">
        <f>INT(C6139)</f>
        <v/>
      </c>
    </row>
    <row r="6140">
      <c r="A6140" s="7" t="inlineStr">
        <is>
          <t>EDD2541</t>
        </is>
      </c>
      <c r="B6140" s="8" t="n">
        <v>46120.75</v>
      </c>
      <c r="C6140" s="8" t="n">
        <v>46121.25</v>
      </c>
      <c r="D6140" s="9">
        <f>(C6140-B6140)*24</f>
        <v/>
      </c>
      <c r="E6140" s="10">
        <f>IF(AND(HOUR(B6140)&gt;=6,HOUR(B6140)&lt;18),"Day Shift","Night Shift")</f>
        <v/>
      </c>
      <c r="F6140" s="11">
        <f>INT(B6140)</f>
        <v/>
      </c>
      <c r="G6140" s="11">
        <f>INT(C6140)</f>
        <v/>
      </c>
    </row>
    <row r="6141">
      <c r="A6141" s="2" t="inlineStr">
        <is>
          <t>EDD2541</t>
        </is>
      </c>
      <c r="B6141" s="3" t="n">
        <v>46121.25</v>
      </c>
      <c r="C6141" s="3" t="n">
        <v>46121.75</v>
      </c>
      <c r="D6141" s="4">
        <f>(C6141-B6141)*24</f>
        <v/>
      </c>
      <c r="E6141" s="5">
        <f>IF(AND(HOUR(B6141)&gt;=6,HOUR(B6141)&lt;18),"Day Shift","Night Shift")</f>
        <v/>
      </c>
      <c r="F6141" s="6">
        <f>INT(B6141)</f>
        <v/>
      </c>
      <c r="G6141" s="6">
        <f>INT(C6141)</f>
        <v/>
      </c>
    </row>
    <row r="6142">
      <c r="A6142" s="7" t="inlineStr">
        <is>
          <t>EDD2541</t>
        </is>
      </c>
      <c r="B6142" s="8" t="n">
        <v>46121.75</v>
      </c>
      <c r="C6142" s="8" t="n">
        <v>46122.25</v>
      </c>
      <c r="D6142" s="9">
        <f>(C6142-B6142)*24</f>
        <v/>
      </c>
      <c r="E6142" s="10">
        <f>IF(AND(HOUR(B6142)&gt;=6,HOUR(B6142)&lt;18),"Day Shift","Night Shift")</f>
        <v/>
      </c>
      <c r="F6142" s="11">
        <f>INT(B6142)</f>
        <v/>
      </c>
      <c r="G6142" s="11">
        <f>INT(C6142)</f>
        <v/>
      </c>
    </row>
    <row r="6143">
      <c r="A6143" s="2" t="inlineStr">
        <is>
          <t>EDD2541</t>
        </is>
      </c>
      <c r="B6143" s="3" t="n">
        <v>46122.25</v>
      </c>
      <c r="C6143" s="3" t="n">
        <v>46122.40565972222</v>
      </c>
      <c r="D6143" s="4">
        <f>(C6143-B6143)*24</f>
        <v/>
      </c>
      <c r="E6143" s="5">
        <f>IF(AND(HOUR(B6143)&gt;=6,HOUR(B6143)&lt;18),"Day Shift","Night Shift")</f>
        <v/>
      </c>
      <c r="F6143" s="6">
        <f>INT(B6143)</f>
        <v/>
      </c>
      <c r="G6143" s="6">
        <f>INT(C6143)</f>
        <v/>
      </c>
    </row>
    <row r="6144">
      <c r="A6144" s="2" t="inlineStr">
        <is>
          <t>EXD409</t>
        </is>
      </c>
      <c r="B6144" s="3" t="n">
        <v>46120.25202546296</v>
      </c>
      <c r="C6144" s="3" t="n">
        <v>46120.75</v>
      </c>
      <c r="D6144" s="4">
        <f>(C6144-B6144)*24</f>
        <v/>
      </c>
      <c r="E6144" s="5">
        <f>IF(AND(HOUR(B6144)&gt;=6,HOUR(B6144)&lt;18),"Day Shift","Night Shift")</f>
        <v/>
      </c>
      <c r="F6144" s="6">
        <f>INT(B6144)</f>
        <v/>
      </c>
      <c r="G6144" s="6">
        <f>INT(C6144)</f>
        <v/>
      </c>
    </row>
    <row r="6145">
      <c r="A6145" s="7" t="inlineStr">
        <is>
          <t>EXD409</t>
        </is>
      </c>
      <c r="B6145" s="8" t="n">
        <v>46120.75</v>
      </c>
      <c r="C6145" s="8" t="n">
        <v>46121.25</v>
      </c>
      <c r="D6145" s="9">
        <f>(C6145-B6145)*24</f>
        <v/>
      </c>
      <c r="E6145" s="10">
        <f>IF(AND(HOUR(B6145)&gt;=6,HOUR(B6145)&lt;18),"Day Shift","Night Shift")</f>
        <v/>
      </c>
      <c r="F6145" s="11">
        <f>INT(B6145)</f>
        <v/>
      </c>
      <c r="G6145" s="11">
        <f>INT(C6145)</f>
        <v/>
      </c>
    </row>
    <row r="6146">
      <c r="A6146" s="2" t="inlineStr">
        <is>
          <t>EXD409</t>
        </is>
      </c>
      <c r="B6146" s="3" t="n">
        <v>46121.25</v>
      </c>
      <c r="C6146" s="3" t="n">
        <v>46121.75</v>
      </c>
      <c r="D6146" s="4">
        <f>(C6146-B6146)*24</f>
        <v/>
      </c>
      <c r="E6146" s="5">
        <f>IF(AND(HOUR(B6146)&gt;=6,HOUR(B6146)&lt;18),"Day Shift","Night Shift")</f>
        <v/>
      </c>
      <c r="F6146" s="6">
        <f>INT(B6146)</f>
        <v/>
      </c>
      <c r="G6146" s="6">
        <f>INT(C6146)</f>
        <v/>
      </c>
    </row>
    <row r="6147">
      <c r="A6147" s="7" t="inlineStr">
        <is>
          <t>EXD409</t>
        </is>
      </c>
      <c r="B6147" s="8" t="n">
        <v>46121.75</v>
      </c>
      <c r="C6147" s="8" t="n">
        <v>46121.97568287037</v>
      </c>
      <c r="D6147" s="9">
        <f>(C6147-B6147)*24</f>
        <v/>
      </c>
      <c r="E6147" s="10">
        <f>IF(AND(HOUR(B6147)&gt;=6,HOUR(B6147)&lt;18),"Day Shift","Night Shift")</f>
        <v/>
      </c>
      <c r="F6147" s="11">
        <f>INT(B6147)</f>
        <v/>
      </c>
      <c r="G6147" s="11">
        <f>INT(C6147)</f>
        <v/>
      </c>
    </row>
    <row r="6148">
      <c r="A6148" s="2" t="inlineStr">
        <is>
          <t>EXD51</t>
        </is>
      </c>
      <c r="B6148" s="3" t="n">
        <v>46120.26680555556</v>
      </c>
      <c r="C6148" s="3" t="n">
        <v>46120.75</v>
      </c>
      <c r="D6148" s="4">
        <f>(C6148-B6148)*24</f>
        <v/>
      </c>
      <c r="E6148" s="5">
        <f>IF(AND(HOUR(B6148)&gt;=6,HOUR(B6148)&lt;18),"Day Shift","Night Shift")</f>
        <v/>
      </c>
      <c r="F6148" s="6">
        <f>INT(B6148)</f>
        <v/>
      </c>
      <c r="G6148" s="6">
        <f>INT(C6148)</f>
        <v/>
      </c>
    </row>
    <row r="6149">
      <c r="A6149" s="7" t="inlineStr">
        <is>
          <t>EXD51</t>
        </is>
      </c>
      <c r="B6149" s="8" t="n">
        <v>46120.75</v>
      </c>
      <c r="C6149" s="8" t="n">
        <v>46120.91842592593</v>
      </c>
      <c r="D6149" s="9">
        <f>(C6149-B6149)*24</f>
        <v/>
      </c>
      <c r="E6149" s="10">
        <f>IF(AND(HOUR(B6149)&gt;=6,HOUR(B6149)&lt;18),"Day Shift","Night Shift")</f>
        <v/>
      </c>
      <c r="F6149" s="11">
        <f>INT(B6149)</f>
        <v/>
      </c>
      <c r="G6149" s="11">
        <f>INT(C6149)</f>
        <v/>
      </c>
    </row>
    <row r="6150">
      <c r="A6150" s="2" t="inlineStr">
        <is>
          <t>LDW265</t>
        </is>
      </c>
      <c r="B6150" s="3" t="n">
        <v>46120.31509259259</v>
      </c>
      <c r="C6150" s="3" t="n">
        <v>46120.75</v>
      </c>
      <c r="D6150" s="4">
        <f>(C6150-B6150)*24</f>
        <v/>
      </c>
      <c r="E6150" s="5">
        <f>IF(AND(HOUR(B6150)&gt;=6,HOUR(B6150)&lt;18),"Day Shift","Night Shift")</f>
        <v/>
      </c>
      <c r="F6150" s="6">
        <f>INT(B6150)</f>
        <v/>
      </c>
      <c r="G6150" s="6">
        <f>INT(C6150)</f>
        <v/>
      </c>
    </row>
    <row r="6151">
      <c r="A6151" s="7" t="inlineStr">
        <is>
          <t>LDW265</t>
        </is>
      </c>
      <c r="B6151" s="8" t="n">
        <v>46120.75</v>
      </c>
      <c r="C6151" s="8" t="n">
        <v>46120.78585648148</v>
      </c>
      <c r="D6151" s="9">
        <f>(C6151-B6151)*24</f>
        <v/>
      </c>
      <c r="E6151" s="10">
        <f>IF(AND(HOUR(B6151)&gt;=6,HOUR(B6151)&lt;18),"Day Shift","Night Shift")</f>
        <v/>
      </c>
      <c r="F6151" s="11">
        <f>INT(B6151)</f>
        <v/>
      </c>
      <c r="G6151" s="11">
        <f>INT(C6151)</f>
        <v/>
      </c>
    </row>
    <row r="6152">
      <c r="A6152" s="2" t="inlineStr">
        <is>
          <t>EXD408</t>
        </is>
      </c>
      <c r="B6152" s="3" t="n">
        <v>46120.45461805556</v>
      </c>
      <c r="C6152" s="3" t="n">
        <v>46120.75</v>
      </c>
      <c r="D6152" s="4">
        <f>(C6152-B6152)*24</f>
        <v/>
      </c>
      <c r="E6152" s="5">
        <f>IF(AND(HOUR(B6152)&gt;=6,HOUR(B6152)&lt;18),"Day Shift","Night Shift")</f>
        <v/>
      </c>
      <c r="F6152" s="6">
        <f>INT(B6152)</f>
        <v/>
      </c>
      <c r="G6152" s="6">
        <f>INT(C6152)</f>
        <v/>
      </c>
    </row>
    <row r="6153">
      <c r="A6153" s="7" t="inlineStr">
        <is>
          <t>EXD408</t>
        </is>
      </c>
      <c r="B6153" s="8" t="n">
        <v>46120.75</v>
      </c>
      <c r="C6153" s="8" t="n">
        <v>46121.25</v>
      </c>
      <c r="D6153" s="9">
        <f>(C6153-B6153)*24</f>
        <v/>
      </c>
      <c r="E6153" s="10">
        <f>IF(AND(HOUR(B6153)&gt;=6,HOUR(B6153)&lt;18),"Day Shift","Night Shift")</f>
        <v/>
      </c>
      <c r="F6153" s="11">
        <f>INT(B6153)</f>
        <v/>
      </c>
      <c r="G6153" s="11">
        <f>INT(C6153)</f>
        <v/>
      </c>
    </row>
    <row r="6154">
      <c r="A6154" s="2" t="inlineStr">
        <is>
          <t>EXD408</t>
        </is>
      </c>
      <c r="B6154" s="3" t="n">
        <v>46121.25</v>
      </c>
      <c r="C6154" s="3" t="n">
        <v>46121.56273148148</v>
      </c>
      <c r="D6154" s="4">
        <f>(C6154-B6154)*24</f>
        <v/>
      </c>
      <c r="E6154" s="5">
        <f>IF(AND(HOUR(B6154)&gt;=6,HOUR(B6154)&lt;18),"Day Shift","Night Shift")</f>
        <v/>
      </c>
      <c r="F6154" s="6">
        <f>INT(B6154)</f>
        <v/>
      </c>
      <c r="G6154" s="6">
        <f>INT(C6154)</f>
        <v/>
      </c>
    </row>
    <row r="6155">
      <c r="A6155" s="2" t="inlineStr">
        <is>
          <t>DRE12</t>
        </is>
      </c>
      <c r="B6155" s="3" t="n">
        <v>46120.51685185185</v>
      </c>
      <c r="C6155" s="3" t="n">
        <v>46120.75</v>
      </c>
      <c r="D6155" s="4">
        <f>(C6155-B6155)*24</f>
        <v/>
      </c>
      <c r="E6155" s="5">
        <f>IF(AND(HOUR(B6155)&gt;=6,HOUR(B6155)&lt;18),"Day Shift","Night Shift")</f>
        <v/>
      </c>
      <c r="F6155" s="6">
        <f>INT(B6155)</f>
        <v/>
      </c>
      <c r="G6155" s="6">
        <f>INT(C6155)</f>
        <v/>
      </c>
    </row>
    <row r="6156">
      <c r="A6156" s="7" t="inlineStr">
        <is>
          <t>DRE12</t>
        </is>
      </c>
      <c r="B6156" s="8" t="n">
        <v>46120.75</v>
      </c>
      <c r="C6156" s="8" t="n">
        <v>46121.25</v>
      </c>
      <c r="D6156" s="9">
        <f>(C6156-B6156)*24</f>
        <v/>
      </c>
      <c r="E6156" s="10">
        <f>IF(AND(HOUR(B6156)&gt;=6,HOUR(B6156)&lt;18),"Day Shift","Night Shift")</f>
        <v/>
      </c>
      <c r="F6156" s="11">
        <f>INT(B6156)</f>
        <v/>
      </c>
      <c r="G6156" s="11">
        <f>INT(C6156)</f>
        <v/>
      </c>
    </row>
    <row r="6157">
      <c r="A6157" s="2" t="inlineStr">
        <is>
          <t>DRE12</t>
        </is>
      </c>
      <c r="B6157" s="3" t="n">
        <v>46121.25</v>
      </c>
      <c r="C6157" s="3" t="n">
        <v>46121.75</v>
      </c>
      <c r="D6157" s="4">
        <f>(C6157-B6157)*24</f>
        <v/>
      </c>
      <c r="E6157" s="5">
        <f>IF(AND(HOUR(B6157)&gt;=6,HOUR(B6157)&lt;18),"Day Shift","Night Shift")</f>
        <v/>
      </c>
      <c r="F6157" s="6">
        <f>INT(B6157)</f>
        <v/>
      </c>
      <c r="G6157" s="6">
        <f>INT(C6157)</f>
        <v/>
      </c>
    </row>
    <row r="6158">
      <c r="A6158" s="7" t="inlineStr">
        <is>
          <t>DRE12</t>
        </is>
      </c>
      <c r="B6158" s="8" t="n">
        <v>46121.75</v>
      </c>
      <c r="C6158" s="8" t="n">
        <v>46121.89709490741</v>
      </c>
      <c r="D6158" s="9">
        <f>(C6158-B6158)*24</f>
        <v/>
      </c>
      <c r="E6158" s="10">
        <f>IF(AND(HOUR(B6158)&gt;=6,HOUR(B6158)&lt;18),"Day Shift","Night Shift")</f>
        <v/>
      </c>
      <c r="F6158" s="11">
        <f>INT(B6158)</f>
        <v/>
      </c>
      <c r="G6158" s="11">
        <f>INT(C6158)</f>
        <v/>
      </c>
    </row>
    <row r="6159">
      <c r="A6159" s="2" t="inlineStr">
        <is>
          <t>EXD100</t>
        </is>
      </c>
      <c r="B6159" s="3" t="n">
        <v>46120.59888888889</v>
      </c>
      <c r="C6159" s="3" t="n">
        <v>46120.75</v>
      </c>
      <c r="D6159" s="4">
        <f>(C6159-B6159)*24</f>
        <v/>
      </c>
      <c r="E6159" s="5">
        <f>IF(AND(HOUR(B6159)&gt;=6,HOUR(B6159)&lt;18),"Day Shift","Night Shift")</f>
        <v/>
      </c>
      <c r="F6159" s="6">
        <f>INT(B6159)</f>
        <v/>
      </c>
      <c r="G6159" s="6">
        <f>INT(C6159)</f>
        <v/>
      </c>
    </row>
    <row r="6160">
      <c r="A6160" s="7" t="inlineStr">
        <is>
          <t>EXD100</t>
        </is>
      </c>
      <c r="B6160" s="8" t="n">
        <v>46120.75</v>
      </c>
      <c r="C6160" s="8" t="n">
        <v>46121.11311342593</v>
      </c>
      <c r="D6160" s="9">
        <f>(C6160-B6160)*24</f>
        <v/>
      </c>
      <c r="E6160" s="10">
        <f>IF(AND(HOUR(B6160)&gt;=6,HOUR(B6160)&lt;18),"Day Shift","Night Shift")</f>
        <v/>
      </c>
      <c r="F6160" s="11">
        <f>INT(B6160)</f>
        <v/>
      </c>
      <c r="G6160" s="11">
        <f>INT(C6160)</f>
        <v/>
      </c>
    </row>
    <row r="6161">
      <c r="A6161" s="7" t="inlineStr">
        <is>
          <t>LDW265</t>
        </is>
      </c>
      <c r="B6161" s="8" t="n">
        <v>46120.78585648148</v>
      </c>
      <c r="C6161" s="8" t="n">
        <v>46121.25</v>
      </c>
      <c r="D6161" s="9">
        <f>(C6161-B6161)*24</f>
        <v/>
      </c>
      <c r="E6161" s="10">
        <f>IF(AND(HOUR(B6161)&gt;=6,HOUR(B6161)&lt;18),"Day Shift","Night Shift")</f>
        <v/>
      </c>
      <c r="F6161" s="11">
        <f>INT(B6161)</f>
        <v/>
      </c>
      <c r="G6161" s="11">
        <f>INT(C6161)</f>
        <v/>
      </c>
    </row>
    <row r="6162">
      <c r="A6162" s="2" t="inlineStr">
        <is>
          <t>LDW265</t>
        </is>
      </c>
      <c r="B6162" s="3" t="n">
        <v>46121.25</v>
      </c>
      <c r="C6162" s="3" t="n">
        <v>46121.75</v>
      </c>
      <c r="D6162" s="4">
        <f>(C6162-B6162)*24</f>
        <v/>
      </c>
      <c r="E6162" s="5">
        <f>IF(AND(HOUR(B6162)&gt;=6,HOUR(B6162)&lt;18),"Day Shift","Night Shift")</f>
        <v/>
      </c>
      <c r="F6162" s="6">
        <f>INT(B6162)</f>
        <v/>
      </c>
      <c r="G6162" s="6">
        <f>INT(C6162)</f>
        <v/>
      </c>
    </row>
    <row r="6163">
      <c r="A6163" s="7" t="inlineStr">
        <is>
          <t>LDW265</t>
        </is>
      </c>
      <c r="B6163" s="8" t="n">
        <v>46121.75</v>
      </c>
      <c r="C6163" s="8" t="n">
        <v>46122.0221875</v>
      </c>
      <c r="D6163" s="9">
        <f>(C6163-B6163)*24</f>
        <v/>
      </c>
      <c r="E6163" s="10">
        <f>IF(AND(HOUR(B6163)&gt;=6,HOUR(B6163)&lt;18),"Day Shift","Night Shift")</f>
        <v/>
      </c>
      <c r="F6163" s="11">
        <f>INT(B6163)</f>
        <v/>
      </c>
      <c r="G6163" s="11">
        <f>INT(C6163)</f>
        <v/>
      </c>
    </row>
    <row r="6164">
      <c r="A6164" s="7" t="inlineStr">
        <is>
          <t>LDW262</t>
        </is>
      </c>
      <c r="B6164" s="8" t="n">
        <v>46120.79646990741</v>
      </c>
      <c r="C6164" s="8" t="n">
        <v>46121.25</v>
      </c>
      <c r="D6164" s="9">
        <f>(C6164-B6164)*24</f>
        <v/>
      </c>
      <c r="E6164" s="10">
        <f>IF(AND(HOUR(B6164)&gt;=6,HOUR(B6164)&lt;18),"Day Shift","Night Shift")</f>
        <v/>
      </c>
      <c r="F6164" s="11">
        <f>INT(B6164)</f>
        <v/>
      </c>
      <c r="G6164" s="11">
        <f>INT(C6164)</f>
        <v/>
      </c>
    </row>
    <row r="6165">
      <c r="A6165" s="2" t="inlineStr">
        <is>
          <t>LDW262</t>
        </is>
      </c>
      <c r="B6165" s="3" t="n">
        <v>46121.25</v>
      </c>
      <c r="C6165" s="3" t="n">
        <v>46121.62277777777</v>
      </c>
      <c r="D6165" s="4">
        <f>(C6165-B6165)*24</f>
        <v/>
      </c>
      <c r="E6165" s="5">
        <f>IF(AND(HOUR(B6165)&gt;=6,HOUR(B6165)&lt;18),"Day Shift","Night Shift")</f>
        <v/>
      </c>
      <c r="F6165" s="6">
        <f>INT(B6165)</f>
        <v/>
      </c>
      <c r="G6165" s="6">
        <f>INT(C6165)</f>
        <v/>
      </c>
    </row>
    <row r="6166">
      <c r="A6166" s="7" t="inlineStr">
        <is>
          <t>EXD60</t>
        </is>
      </c>
      <c r="B6166" s="8" t="n">
        <v>46120.89216435186</v>
      </c>
      <c r="C6166" s="8" t="n">
        <v>46121.25</v>
      </c>
      <c r="D6166" s="9">
        <f>(C6166-B6166)*24</f>
        <v/>
      </c>
      <c r="E6166" s="10">
        <f>IF(AND(HOUR(B6166)&gt;=6,HOUR(B6166)&lt;18),"Day Shift","Night Shift")</f>
        <v/>
      </c>
      <c r="F6166" s="11">
        <f>INT(B6166)</f>
        <v/>
      </c>
      <c r="G6166" s="11">
        <f>INT(C6166)</f>
        <v/>
      </c>
    </row>
    <row r="6167">
      <c r="A6167" s="2" t="inlineStr">
        <is>
          <t>EXD60</t>
        </is>
      </c>
      <c r="B6167" s="3" t="n">
        <v>46121.25</v>
      </c>
      <c r="C6167" s="3" t="n">
        <v>46121.25931712963</v>
      </c>
      <c r="D6167" s="4">
        <f>(C6167-B6167)*24</f>
        <v/>
      </c>
      <c r="E6167" s="5">
        <f>IF(AND(HOUR(B6167)&gt;=6,HOUR(B6167)&lt;18),"Day Shift","Night Shift")</f>
        <v/>
      </c>
      <c r="F6167" s="6">
        <f>INT(B6167)</f>
        <v/>
      </c>
      <c r="G6167" s="6">
        <f>INT(C6167)</f>
        <v/>
      </c>
    </row>
    <row r="6168">
      <c r="A6168" s="7" t="inlineStr">
        <is>
          <t>Sprint 1</t>
        </is>
      </c>
      <c r="B6168" s="8" t="n">
        <v>46120.91836805556</v>
      </c>
      <c r="C6168" s="8" t="n">
        <v>46121.25</v>
      </c>
      <c r="D6168" s="9">
        <f>(C6168-B6168)*24</f>
        <v/>
      </c>
      <c r="E6168" s="10">
        <f>IF(AND(HOUR(B6168)&gt;=6,HOUR(B6168)&lt;18),"Day Shift","Night Shift")</f>
        <v/>
      </c>
      <c r="F6168" s="11">
        <f>INT(B6168)</f>
        <v/>
      </c>
      <c r="G6168" s="11">
        <f>INT(C6168)</f>
        <v/>
      </c>
    </row>
    <row r="6169">
      <c r="A6169" s="2" t="inlineStr">
        <is>
          <t>Sprint 1</t>
        </is>
      </c>
      <c r="B6169" s="3" t="n">
        <v>46121.25</v>
      </c>
      <c r="C6169" s="3" t="n">
        <v>46121.60621527778</v>
      </c>
      <c r="D6169" s="4">
        <f>(C6169-B6169)*24</f>
        <v/>
      </c>
      <c r="E6169" s="5">
        <f>IF(AND(HOUR(B6169)&gt;=6,HOUR(B6169)&lt;18),"Day Shift","Night Shift")</f>
        <v/>
      </c>
      <c r="F6169" s="6">
        <f>INT(B6169)</f>
        <v/>
      </c>
      <c r="G6169" s="6">
        <f>INT(C6169)</f>
        <v/>
      </c>
    </row>
    <row r="6170">
      <c r="A6170" s="7" t="inlineStr">
        <is>
          <t>EXD51</t>
        </is>
      </c>
      <c r="B6170" s="8" t="n">
        <v>46120.91842592593</v>
      </c>
      <c r="C6170" s="8" t="n">
        <v>46121.25</v>
      </c>
      <c r="D6170" s="9">
        <f>(C6170-B6170)*24</f>
        <v/>
      </c>
      <c r="E6170" s="10">
        <f>IF(AND(HOUR(B6170)&gt;=6,HOUR(B6170)&lt;18),"Day Shift","Night Shift")</f>
        <v/>
      </c>
      <c r="F6170" s="11">
        <f>INT(B6170)</f>
        <v/>
      </c>
      <c r="G6170" s="11">
        <f>INT(C6170)</f>
        <v/>
      </c>
    </row>
    <row r="6171">
      <c r="A6171" s="2" t="inlineStr">
        <is>
          <t>EXD51</t>
        </is>
      </c>
      <c r="B6171" s="3" t="n">
        <v>46121.25</v>
      </c>
      <c r="C6171" s="3" t="n">
        <v>46121.75</v>
      </c>
      <c r="D6171" s="4">
        <f>(C6171-B6171)*24</f>
        <v/>
      </c>
      <c r="E6171" s="5">
        <f>IF(AND(HOUR(B6171)&gt;=6,HOUR(B6171)&lt;18),"Day Shift","Night Shift")</f>
        <v/>
      </c>
      <c r="F6171" s="6">
        <f>INT(B6171)</f>
        <v/>
      </c>
      <c r="G6171" s="6">
        <f>INT(C6171)</f>
        <v/>
      </c>
    </row>
    <row r="6172">
      <c r="A6172" s="7" t="inlineStr">
        <is>
          <t>EXD51</t>
        </is>
      </c>
      <c r="B6172" s="8" t="n">
        <v>46121.75</v>
      </c>
      <c r="C6172" s="8" t="n">
        <v>46122.25</v>
      </c>
      <c r="D6172" s="9">
        <f>(C6172-B6172)*24</f>
        <v/>
      </c>
      <c r="E6172" s="10">
        <f>IF(AND(HOUR(B6172)&gt;=6,HOUR(B6172)&lt;18),"Day Shift","Night Shift")</f>
        <v/>
      </c>
      <c r="F6172" s="11">
        <f>INT(B6172)</f>
        <v/>
      </c>
      <c r="G6172" s="11">
        <f>INT(C6172)</f>
        <v/>
      </c>
    </row>
    <row r="6173">
      <c r="A6173" s="2" t="inlineStr">
        <is>
          <t>EXD51</t>
        </is>
      </c>
      <c r="B6173" s="3" t="n">
        <v>46122.25</v>
      </c>
      <c r="C6173" s="3" t="n">
        <v>46122.69680555556</v>
      </c>
      <c r="D6173" s="4">
        <f>(C6173-B6173)*24</f>
        <v/>
      </c>
      <c r="E6173" s="5">
        <f>IF(AND(HOUR(B6173)&gt;=6,HOUR(B6173)&lt;18),"Day Shift","Night Shift")</f>
        <v/>
      </c>
      <c r="F6173" s="6">
        <f>INT(B6173)</f>
        <v/>
      </c>
      <c r="G6173" s="6">
        <f>INT(C6173)</f>
        <v/>
      </c>
    </row>
    <row r="6174">
      <c r="A6174" s="7" t="inlineStr">
        <is>
          <t>EXD55</t>
        </is>
      </c>
      <c r="B6174" s="8" t="n">
        <v>46120.91900462963</v>
      </c>
      <c r="C6174" s="8" t="n">
        <v>46121.25</v>
      </c>
      <c r="D6174" s="9">
        <f>(C6174-B6174)*24</f>
        <v/>
      </c>
      <c r="E6174" s="10">
        <f>IF(AND(HOUR(B6174)&gt;=6,HOUR(B6174)&lt;18),"Day Shift","Night Shift")</f>
        <v/>
      </c>
      <c r="F6174" s="11">
        <f>INT(B6174)</f>
        <v/>
      </c>
      <c r="G6174" s="11">
        <f>INT(C6174)</f>
        <v/>
      </c>
    </row>
    <row r="6175">
      <c r="A6175" s="2" t="inlineStr">
        <is>
          <t>EXD55</t>
        </is>
      </c>
      <c r="B6175" s="3" t="n">
        <v>46121.25</v>
      </c>
      <c r="C6175" s="3" t="n">
        <v>46121.75</v>
      </c>
      <c r="D6175" s="4">
        <f>(C6175-B6175)*24</f>
        <v/>
      </c>
      <c r="E6175" s="5">
        <f>IF(AND(HOUR(B6175)&gt;=6,HOUR(B6175)&lt;18),"Day Shift","Night Shift")</f>
        <v/>
      </c>
      <c r="F6175" s="6">
        <f>INT(B6175)</f>
        <v/>
      </c>
      <c r="G6175" s="6">
        <f>INT(C6175)</f>
        <v/>
      </c>
    </row>
    <row r="6176">
      <c r="A6176" s="7" t="inlineStr">
        <is>
          <t>EXD55</t>
        </is>
      </c>
      <c r="B6176" s="8" t="n">
        <v>46121.75</v>
      </c>
      <c r="C6176" s="8" t="n">
        <v>46122.25</v>
      </c>
      <c r="D6176" s="9">
        <f>(C6176-B6176)*24</f>
        <v/>
      </c>
      <c r="E6176" s="10">
        <f>IF(AND(HOUR(B6176)&gt;=6,HOUR(B6176)&lt;18),"Day Shift","Night Shift")</f>
        <v/>
      </c>
      <c r="F6176" s="11">
        <f>INT(B6176)</f>
        <v/>
      </c>
      <c r="G6176" s="11">
        <f>INT(C6176)</f>
        <v/>
      </c>
    </row>
    <row r="6177">
      <c r="A6177" s="2" t="inlineStr">
        <is>
          <t>EXD55</t>
        </is>
      </c>
      <c r="B6177" s="3" t="n">
        <v>46122.25</v>
      </c>
      <c r="C6177" s="3" t="n">
        <v>46122.46429398148</v>
      </c>
      <c r="D6177" s="4">
        <f>(C6177-B6177)*24</f>
        <v/>
      </c>
      <c r="E6177" s="5">
        <f>IF(AND(HOUR(B6177)&gt;=6,HOUR(B6177)&lt;18),"Day Shift","Night Shift")</f>
        <v/>
      </c>
      <c r="F6177" s="6">
        <f>INT(B6177)</f>
        <v/>
      </c>
      <c r="G6177" s="6">
        <f>INT(C6177)</f>
        <v/>
      </c>
    </row>
    <row r="6178">
      <c r="A6178" s="7" t="inlineStr">
        <is>
          <t>SHE36</t>
        </is>
      </c>
      <c r="B6178" s="8" t="n">
        <v>46120.94438657408</v>
      </c>
      <c r="C6178" s="8" t="n">
        <v>46121.25</v>
      </c>
      <c r="D6178" s="9">
        <f>(C6178-B6178)*24</f>
        <v/>
      </c>
      <c r="E6178" s="10">
        <f>IF(AND(HOUR(B6178)&gt;=6,HOUR(B6178)&lt;18),"Day Shift","Night Shift")</f>
        <v/>
      </c>
      <c r="F6178" s="11">
        <f>INT(B6178)</f>
        <v/>
      </c>
      <c r="G6178" s="11">
        <f>INT(C6178)</f>
        <v/>
      </c>
    </row>
    <row r="6179">
      <c r="A6179" s="2" t="inlineStr">
        <is>
          <t>SHE36</t>
        </is>
      </c>
      <c r="B6179" s="3" t="n">
        <v>46121.25</v>
      </c>
      <c r="C6179" s="3" t="n">
        <v>46121.42866898148</v>
      </c>
      <c r="D6179" s="4">
        <f>(C6179-B6179)*24</f>
        <v/>
      </c>
      <c r="E6179" s="5">
        <f>IF(AND(HOUR(B6179)&gt;=6,HOUR(B6179)&lt;18),"Day Shift","Night Shift")</f>
        <v/>
      </c>
      <c r="F6179" s="6">
        <f>INT(B6179)</f>
        <v/>
      </c>
      <c r="G6179" s="6">
        <f>INT(C6179)</f>
        <v/>
      </c>
    </row>
    <row r="6180">
      <c r="A6180" s="7" t="inlineStr">
        <is>
          <t>EXD73</t>
        </is>
      </c>
      <c r="B6180" s="8" t="n">
        <v>46120.97754629629</v>
      </c>
      <c r="C6180" s="8" t="n">
        <v>46121.25</v>
      </c>
      <c r="D6180" s="9">
        <f>(C6180-B6180)*24</f>
        <v/>
      </c>
      <c r="E6180" s="10">
        <f>IF(AND(HOUR(B6180)&gt;=6,HOUR(B6180)&lt;18),"Day Shift","Night Shift")</f>
        <v/>
      </c>
      <c r="F6180" s="11">
        <f>INT(B6180)</f>
        <v/>
      </c>
      <c r="G6180" s="11">
        <f>INT(C6180)</f>
        <v/>
      </c>
    </row>
    <row r="6181">
      <c r="A6181" s="2" t="inlineStr">
        <is>
          <t>EXD73</t>
        </is>
      </c>
      <c r="B6181" s="3" t="n">
        <v>46121.25</v>
      </c>
      <c r="C6181" s="3" t="n">
        <v>46121.75</v>
      </c>
      <c r="D6181" s="4">
        <f>(C6181-B6181)*24</f>
        <v/>
      </c>
      <c r="E6181" s="5">
        <f>IF(AND(HOUR(B6181)&gt;=6,HOUR(B6181)&lt;18),"Day Shift","Night Shift")</f>
        <v/>
      </c>
      <c r="F6181" s="6">
        <f>INT(B6181)</f>
        <v/>
      </c>
      <c r="G6181" s="6">
        <f>INT(C6181)</f>
        <v/>
      </c>
    </row>
    <row r="6182">
      <c r="A6182" s="7" t="inlineStr">
        <is>
          <t>EXD73</t>
        </is>
      </c>
      <c r="B6182" s="8" t="n">
        <v>46121.75</v>
      </c>
      <c r="C6182" s="8" t="n">
        <v>46121.87994212963</v>
      </c>
      <c r="D6182" s="9">
        <f>(C6182-B6182)*24</f>
        <v/>
      </c>
      <c r="E6182" s="10">
        <f>IF(AND(HOUR(B6182)&gt;=6,HOUR(B6182)&lt;18),"Day Shift","Night Shift")</f>
        <v/>
      </c>
      <c r="F6182" s="11">
        <f>INT(B6182)</f>
        <v/>
      </c>
      <c r="G6182" s="11">
        <f>INT(C6182)</f>
        <v/>
      </c>
    </row>
    <row r="6183">
      <c r="A6183" s="7" t="inlineStr">
        <is>
          <t>EXD98</t>
        </is>
      </c>
      <c r="B6183" s="8" t="n">
        <v>46121.04908564815</v>
      </c>
      <c r="C6183" s="8" t="n">
        <v>46121.25</v>
      </c>
      <c r="D6183" s="9">
        <f>(C6183-B6183)*24</f>
        <v/>
      </c>
      <c r="E6183" s="10">
        <f>IF(AND(HOUR(B6183)&gt;=6,HOUR(B6183)&lt;18),"Day Shift","Night Shift")</f>
        <v/>
      </c>
      <c r="F6183" s="11">
        <f>INT(B6183)</f>
        <v/>
      </c>
      <c r="G6183" s="11">
        <f>INT(C6183)</f>
        <v/>
      </c>
    </row>
    <row r="6184">
      <c r="A6184" s="2" t="inlineStr">
        <is>
          <t>EXD98</t>
        </is>
      </c>
      <c r="B6184" s="3" t="n">
        <v>46121.25</v>
      </c>
      <c r="C6184" s="3" t="n">
        <v>46121.7140625</v>
      </c>
      <c r="D6184" s="4">
        <f>(C6184-B6184)*24</f>
        <v/>
      </c>
      <c r="E6184" s="5">
        <f>IF(AND(HOUR(B6184)&gt;=6,HOUR(B6184)&lt;18),"Day Shift","Night Shift")</f>
        <v/>
      </c>
      <c r="F6184" s="6">
        <f>INT(B6184)</f>
        <v/>
      </c>
      <c r="G6184" s="6">
        <f>INT(C6184)</f>
        <v/>
      </c>
    </row>
    <row r="6185">
      <c r="A6185" s="7" t="inlineStr">
        <is>
          <t>EXD100</t>
        </is>
      </c>
      <c r="B6185" s="8" t="n">
        <v>46121.11311342593</v>
      </c>
      <c r="C6185" s="8" t="n">
        <v>46121.25</v>
      </c>
      <c r="D6185" s="9">
        <f>(C6185-B6185)*24</f>
        <v/>
      </c>
      <c r="E6185" s="10">
        <f>IF(AND(HOUR(B6185)&gt;=6,HOUR(B6185)&lt;18),"Day Shift","Night Shift")</f>
        <v/>
      </c>
      <c r="F6185" s="11">
        <f>INT(B6185)</f>
        <v/>
      </c>
      <c r="G6185" s="11">
        <f>INT(C6185)</f>
        <v/>
      </c>
    </row>
    <row r="6186">
      <c r="A6186" s="2" t="inlineStr">
        <is>
          <t>EXD100</t>
        </is>
      </c>
      <c r="B6186" s="3" t="n">
        <v>46121.25</v>
      </c>
      <c r="C6186" s="3" t="n">
        <v>46121.64123842592</v>
      </c>
      <c r="D6186" s="4">
        <f>(C6186-B6186)*24</f>
        <v/>
      </c>
      <c r="E6186" s="5">
        <f>IF(AND(HOUR(B6186)&gt;=6,HOUR(B6186)&lt;18),"Day Shift","Night Shift")</f>
        <v/>
      </c>
      <c r="F6186" s="6">
        <f>INT(B6186)</f>
        <v/>
      </c>
      <c r="G6186" s="6">
        <f>INT(C6186)</f>
        <v/>
      </c>
    </row>
    <row r="6187">
      <c r="A6187" s="7" t="inlineStr">
        <is>
          <t>EXD101</t>
        </is>
      </c>
      <c r="B6187" s="8" t="n">
        <v>46121.17274305555</v>
      </c>
      <c r="C6187" s="8" t="n">
        <v>46121.25</v>
      </c>
      <c r="D6187" s="9">
        <f>(C6187-B6187)*24</f>
        <v/>
      </c>
      <c r="E6187" s="10">
        <f>IF(AND(HOUR(B6187)&gt;=6,HOUR(B6187)&lt;18),"Day Shift","Night Shift")</f>
        <v/>
      </c>
      <c r="F6187" s="11">
        <f>INT(B6187)</f>
        <v/>
      </c>
      <c r="G6187" s="11">
        <f>INT(C6187)</f>
        <v/>
      </c>
    </row>
    <row r="6188">
      <c r="A6188" s="2" t="inlineStr">
        <is>
          <t>EXD101</t>
        </is>
      </c>
      <c r="B6188" s="3" t="n">
        <v>46121.25</v>
      </c>
      <c r="C6188" s="3" t="n">
        <v>46121.75</v>
      </c>
      <c r="D6188" s="4">
        <f>(C6188-B6188)*24</f>
        <v/>
      </c>
      <c r="E6188" s="5">
        <f>IF(AND(HOUR(B6188)&gt;=6,HOUR(B6188)&lt;18),"Day Shift","Night Shift")</f>
        <v/>
      </c>
      <c r="F6188" s="6">
        <f>INT(B6188)</f>
        <v/>
      </c>
      <c r="G6188" s="6">
        <f>INT(C6188)</f>
        <v/>
      </c>
    </row>
    <row r="6189">
      <c r="A6189" s="7" t="inlineStr">
        <is>
          <t>EXD101</t>
        </is>
      </c>
      <c r="B6189" s="8" t="n">
        <v>46121.75</v>
      </c>
      <c r="C6189" s="8" t="n">
        <v>46122.25</v>
      </c>
      <c r="D6189" s="9">
        <f>(C6189-B6189)*24</f>
        <v/>
      </c>
      <c r="E6189" s="10">
        <f>IF(AND(HOUR(B6189)&gt;=6,HOUR(B6189)&lt;18),"Day Shift","Night Shift")</f>
        <v/>
      </c>
      <c r="F6189" s="11">
        <f>INT(B6189)</f>
        <v/>
      </c>
      <c r="G6189" s="11">
        <f>INT(C6189)</f>
        <v/>
      </c>
    </row>
    <row r="6190">
      <c r="A6190" s="2" t="inlineStr">
        <is>
          <t>EXD101</t>
        </is>
      </c>
      <c r="B6190" s="3" t="n">
        <v>46122.25</v>
      </c>
      <c r="C6190" s="3" t="n">
        <v>46122.75</v>
      </c>
      <c r="D6190" s="4">
        <f>(C6190-B6190)*24</f>
        <v/>
      </c>
      <c r="E6190" s="5">
        <f>IF(AND(HOUR(B6190)&gt;=6,HOUR(B6190)&lt;18),"Day Shift","Night Shift")</f>
        <v/>
      </c>
      <c r="F6190" s="6">
        <f>INT(B6190)</f>
        <v/>
      </c>
      <c r="G6190" s="6">
        <f>INT(C6190)</f>
        <v/>
      </c>
    </row>
    <row r="6191">
      <c r="A6191" s="7" t="inlineStr">
        <is>
          <t>EXD101</t>
        </is>
      </c>
      <c r="B6191" s="8" t="n">
        <v>46122.75</v>
      </c>
      <c r="C6191" s="8" t="n">
        <v>46123.25</v>
      </c>
      <c r="D6191" s="9">
        <f>(C6191-B6191)*24</f>
        <v/>
      </c>
      <c r="E6191" s="10">
        <f>IF(AND(HOUR(B6191)&gt;=6,HOUR(B6191)&lt;18),"Day Shift","Night Shift")</f>
        <v/>
      </c>
      <c r="F6191" s="11">
        <f>INT(B6191)</f>
        <v/>
      </c>
      <c r="G6191" s="11">
        <f>INT(C6191)</f>
        <v/>
      </c>
    </row>
    <row r="6192">
      <c r="A6192" s="2" t="inlineStr">
        <is>
          <t>EXD101</t>
        </is>
      </c>
      <c r="B6192" s="3" t="n">
        <v>46123.25</v>
      </c>
      <c r="C6192" s="3" t="n">
        <v>46123.584375</v>
      </c>
      <c r="D6192" s="4">
        <f>(C6192-B6192)*24</f>
        <v/>
      </c>
      <c r="E6192" s="5">
        <f>IF(AND(HOUR(B6192)&gt;=6,HOUR(B6192)&lt;18),"Day Shift","Night Shift")</f>
        <v/>
      </c>
      <c r="F6192" s="6">
        <f>INT(B6192)</f>
        <v/>
      </c>
      <c r="G6192" s="6">
        <f>INT(C6192)</f>
        <v/>
      </c>
    </row>
    <row r="6193">
      <c r="A6193" s="7" t="inlineStr">
        <is>
          <t>EDD175;EDD1932;EDD2134;EDD812</t>
        </is>
      </c>
      <c r="B6193" s="8" t="n">
        <v>46121.20899305555</v>
      </c>
      <c r="C6193" s="8" t="n">
        <v>46121.25</v>
      </c>
      <c r="D6193" s="9">
        <f>(C6193-B6193)*24</f>
        <v/>
      </c>
      <c r="E6193" s="10">
        <f>IF(AND(HOUR(B6193)&gt;=6,HOUR(B6193)&lt;18),"Day Shift","Night Shift")</f>
        <v/>
      </c>
      <c r="F6193" s="11">
        <f>INT(B6193)</f>
        <v/>
      </c>
      <c r="G6193" s="11">
        <f>INT(C6193)</f>
        <v/>
      </c>
    </row>
    <row r="6194">
      <c r="A6194" s="2" t="inlineStr">
        <is>
          <t>EDD175;EDD1932;EDD2134;EDD812</t>
        </is>
      </c>
      <c r="B6194" s="3" t="n">
        <v>46121.25</v>
      </c>
      <c r="C6194" s="3" t="n">
        <v>46121.75</v>
      </c>
      <c r="D6194" s="4">
        <f>(C6194-B6194)*24</f>
        <v/>
      </c>
      <c r="E6194" s="5">
        <f>IF(AND(HOUR(B6194)&gt;=6,HOUR(B6194)&lt;18),"Day Shift","Night Shift")</f>
        <v/>
      </c>
      <c r="F6194" s="6">
        <f>INT(B6194)</f>
        <v/>
      </c>
      <c r="G6194" s="6">
        <f>INT(C6194)</f>
        <v/>
      </c>
    </row>
    <row r="6195">
      <c r="A6195" s="7" t="inlineStr">
        <is>
          <t>EDD175;EDD1932;EDD2134;EDD812</t>
        </is>
      </c>
      <c r="B6195" s="8" t="n">
        <v>46121.75</v>
      </c>
      <c r="C6195" s="8" t="n">
        <v>46122.25</v>
      </c>
      <c r="D6195" s="9">
        <f>(C6195-B6195)*24</f>
        <v/>
      </c>
      <c r="E6195" s="10">
        <f>IF(AND(HOUR(B6195)&gt;=6,HOUR(B6195)&lt;18),"Day Shift","Night Shift")</f>
        <v/>
      </c>
      <c r="F6195" s="11">
        <f>INT(B6195)</f>
        <v/>
      </c>
      <c r="G6195" s="11">
        <f>INT(C6195)</f>
        <v/>
      </c>
    </row>
    <row r="6196">
      <c r="A6196" s="2" t="inlineStr">
        <is>
          <t>EDD175;EDD1932;EDD2134;EDD812</t>
        </is>
      </c>
      <c r="B6196" s="3" t="n">
        <v>46122.25</v>
      </c>
      <c r="C6196" s="3" t="n">
        <v>46122.68638888889</v>
      </c>
      <c r="D6196" s="4">
        <f>(C6196-B6196)*24</f>
        <v/>
      </c>
      <c r="E6196" s="5">
        <f>IF(AND(HOUR(B6196)&gt;=6,HOUR(B6196)&lt;18),"Day Shift","Night Shift")</f>
        <v/>
      </c>
      <c r="F6196" s="6">
        <f>INT(B6196)</f>
        <v/>
      </c>
      <c r="G6196" s="6">
        <f>INT(C6196)</f>
        <v/>
      </c>
    </row>
    <row r="6197">
      <c r="A6197" s="7" t="inlineStr">
        <is>
          <t>EXD407</t>
        </is>
      </c>
      <c r="B6197" s="8" t="n">
        <v>46121.24802083334</v>
      </c>
      <c r="C6197" s="8" t="n">
        <v>46121.25</v>
      </c>
      <c r="D6197" s="9">
        <f>(C6197-B6197)*24</f>
        <v/>
      </c>
      <c r="E6197" s="10">
        <f>IF(AND(HOUR(B6197)&gt;=6,HOUR(B6197)&lt;18),"Day Shift","Night Shift")</f>
        <v/>
      </c>
      <c r="F6197" s="11">
        <f>INT(B6197)</f>
        <v/>
      </c>
      <c r="G6197" s="11">
        <f>INT(C6197)</f>
        <v/>
      </c>
    </row>
    <row r="6198">
      <c r="A6198" s="2" t="inlineStr">
        <is>
          <t>EXD407</t>
        </is>
      </c>
      <c r="B6198" s="3" t="n">
        <v>46121.25</v>
      </c>
      <c r="C6198" s="3" t="n">
        <v>46121.75</v>
      </c>
      <c r="D6198" s="4">
        <f>(C6198-B6198)*24</f>
        <v/>
      </c>
      <c r="E6198" s="5">
        <f>IF(AND(HOUR(B6198)&gt;=6,HOUR(B6198)&lt;18),"Day Shift","Night Shift")</f>
        <v/>
      </c>
      <c r="F6198" s="6">
        <f>INT(B6198)</f>
        <v/>
      </c>
      <c r="G6198" s="6">
        <f>INT(C6198)</f>
        <v/>
      </c>
    </row>
    <row r="6199">
      <c r="A6199" s="7" t="inlineStr">
        <is>
          <t>EXD407</t>
        </is>
      </c>
      <c r="B6199" s="8" t="n">
        <v>46121.75</v>
      </c>
      <c r="C6199" s="8" t="n">
        <v>46122.25</v>
      </c>
      <c r="D6199" s="9">
        <f>(C6199-B6199)*24</f>
        <v/>
      </c>
      <c r="E6199" s="10">
        <f>IF(AND(HOUR(B6199)&gt;=6,HOUR(B6199)&lt;18),"Day Shift","Night Shift")</f>
        <v/>
      </c>
      <c r="F6199" s="11">
        <f>INT(B6199)</f>
        <v/>
      </c>
      <c r="G6199" s="11">
        <f>INT(C6199)</f>
        <v/>
      </c>
    </row>
    <row r="6200">
      <c r="A6200" s="2" t="inlineStr">
        <is>
          <t>EXD407</t>
        </is>
      </c>
      <c r="B6200" s="3" t="n">
        <v>46122.25</v>
      </c>
      <c r="C6200" s="3" t="n">
        <v>46122.75</v>
      </c>
      <c r="D6200" s="4">
        <f>(C6200-B6200)*24</f>
        <v/>
      </c>
      <c r="E6200" s="5">
        <f>IF(AND(HOUR(B6200)&gt;=6,HOUR(B6200)&lt;18),"Day Shift","Night Shift")</f>
        <v/>
      </c>
      <c r="F6200" s="6">
        <f>INT(B6200)</f>
        <v/>
      </c>
      <c r="G6200" s="6">
        <f>INT(C6200)</f>
        <v/>
      </c>
    </row>
    <row r="6201">
      <c r="A6201" s="7" t="inlineStr">
        <is>
          <t>EXD407</t>
        </is>
      </c>
      <c r="B6201" s="8" t="n">
        <v>46122.75</v>
      </c>
      <c r="C6201" s="8" t="n">
        <v>46123.14472222222</v>
      </c>
      <c r="D6201" s="9">
        <f>(C6201-B6201)*24</f>
        <v/>
      </c>
      <c r="E6201" s="10">
        <f>IF(AND(HOUR(B6201)&gt;=6,HOUR(B6201)&lt;18),"Day Shift","Night Shift")</f>
        <v/>
      </c>
      <c r="F6201" s="11">
        <f>INT(B6201)</f>
        <v/>
      </c>
      <c r="G6201" s="11">
        <f>INT(C6201)</f>
        <v/>
      </c>
    </row>
    <row r="6202">
      <c r="A6202" s="2" t="inlineStr">
        <is>
          <t>EXD60</t>
        </is>
      </c>
      <c r="B6202" s="3" t="n">
        <v>46121.25931712963</v>
      </c>
      <c r="C6202" s="3" t="n">
        <v>46121.75</v>
      </c>
      <c r="D6202" s="4">
        <f>(C6202-B6202)*24</f>
        <v/>
      </c>
      <c r="E6202" s="5">
        <f>IF(AND(HOUR(B6202)&gt;=6,HOUR(B6202)&lt;18),"Day Shift","Night Shift")</f>
        <v/>
      </c>
      <c r="F6202" s="6">
        <f>INT(B6202)</f>
        <v/>
      </c>
      <c r="G6202" s="6">
        <f>INT(C6202)</f>
        <v/>
      </c>
    </row>
    <row r="6203">
      <c r="A6203" s="7" t="inlineStr">
        <is>
          <t>EXD60</t>
        </is>
      </c>
      <c r="B6203" s="8" t="n">
        <v>46121.75</v>
      </c>
      <c r="C6203" s="8" t="n">
        <v>46122.25</v>
      </c>
      <c r="D6203" s="9">
        <f>(C6203-B6203)*24</f>
        <v/>
      </c>
      <c r="E6203" s="10">
        <f>IF(AND(HOUR(B6203)&gt;=6,HOUR(B6203)&lt;18),"Day Shift","Night Shift")</f>
        <v/>
      </c>
      <c r="F6203" s="11">
        <f>INT(B6203)</f>
        <v/>
      </c>
      <c r="G6203" s="11">
        <f>INT(C6203)</f>
        <v/>
      </c>
    </row>
    <row r="6204">
      <c r="A6204" s="2" t="inlineStr">
        <is>
          <t>EXD60</t>
        </is>
      </c>
      <c r="B6204" s="3" t="n">
        <v>46122.25</v>
      </c>
      <c r="C6204" s="3" t="n">
        <v>46122.32935185185</v>
      </c>
      <c r="D6204" s="4">
        <f>(C6204-B6204)*24</f>
        <v/>
      </c>
      <c r="E6204" s="5">
        <f>IF(AND(HOUR(B6204)&gt;=6,HOUR(B6204)&lt;18),"Day Shift","Night Shift")</f>
        <v/>
      </c>
      <c r="F6204" s="6">
        <f>INT(B6204)</f>
        <v/>
      </c>
      <c r="G6204" s="6">
        <f>INT(C6204)</f>
        <v/>
      </c>
    </row>
    <row r="6205">
      <c r="A6205" s="2" t="inlineStr">
        <is>
          <t>SHE36</t>
        </is>
      </c>
      <c r="B6205" s="3" t="n">
        <v>46121.42866898148</v>
      </c>
      <c r="C6205" s="3" t="n">
        <v>46121.75</v>
      </c>
      <c r="D6205" s="4">
        <f>(C6205-B6205)*24</f>
        <v/>
      </c>
      <c r="E6205" s="5">
        <f>IF(AND(HOUR(B6205)&gt;=6,HOUR(B6205)&lt;18),"Day Shift","Night Shift")</f>
        <v/>
      </c>
      <c r="F6205" s="6">
        <f>INT(B6205)</f>
        <v/>
      </c>
      <c r="G6205" s="6">
        <f>INT(C6205)</f>
        <v/>
      </c>
    </row>
    <row r="6206">
      <c r="A6206" s="7" t="inlineStr">
        <is>
          <t>SHE36</t>
        </is>
      </c>
      <c r="B6206" s="8" t="n">
        <v>46121.75</v>
      </c>
      <c r="C6206" s="8" t="n">
        <v>46122.25</v>
      </c>
      <c r="D6206" s="9">
        <f>(C6206-B6206)*24</f>
        <v/>
      </c>
      <c r="E6206" s="10">
        <f>IF(AND(HOUR(B6206)&gt;=6,HOUR(B6206)&lt;18),"Day Shift","Night Shift")</f>
        <v/>
      </c>
      <c r="F6206" s="11">
        <f>INT(B6206)</f>
        <v/>
      </c>
      <c r="G6206" s="11">
        <f>INT(C6206)</f>
        <v/>
      </c>
    </row>
    <row r="6207">
      <c r="A6207" s="2" t="inlineStr">
        <is>
          <t>SHE36</t>
        </is>
      </c>
      <c r="B6207" s="3" t="n">
        <v>46122.25</v>
      </c>
      <c r="C6207" s="3" t="n">
        <v>46122.43219907407</v>
      </c>
      <c r="D6207" s="4">
        <f>(C6207-B6207)*24</f>
        <v/>
      </c>
      <c r="E6207" s="5">
        <f>IF(AND(HOUR(B6207)&gt;=6,HOUR(B6207)&lt;18),"Day Shift","Night Shift")</f>
        <v/>
      </c>
      <c r="F6207" s="6">
        <f>INT(B6207)</f>
        <v/>
      </c>
      <c r="G6207" s="6">
        <f>INT(C6207)</f>
        <v/>
      </c>
    </row>
    <row r="6208">
      <c r="A6208" s="2" t="inlineStr">
        <is>
          <t>EXD408</t>
        </is>
      </c>
      <c r="B6208" s="3" t="n">
        <v>46121.56273148148</v>
      </c>
      <c r="C6208" s="3" t="n">
        <v>46121.75</v>
      </c>
      <c r="D6208" s="4">
        <f>(C6208-B6208)*24</f>
        <v/>
      </c>
      <c r="E6208" s="5">
        <f>IF(AND(HOUR(B6208)&gt;=6,HOUR(B6208)&lt;18),"Day Shift","Night Shift")</f>
        <v/>
      </c>
      <c r="F6208" s="6">
        <f>INT(B6208)</f>
        <v/>
      </c>
      <c r="G6208" s="6">
        <f>INT(C6208)</f>
        <v/>
      </c>
    </row>
    <row r="6209">
      <c r="A6209" s="7" t="inlineStr">
        <is>
          <t>EXD408</t>
        </is>
      </c>
      <c r="B6209" s="8" t="n">
        <v>46121.75</v>
      </c>
      <c r="C6209" s="8" t="n">
        <v>46122.25</v>
      </c>
      <c r="D6209" s="9">
        <f>(C6209-B6209)*24</f>
        <v/>
      </c>
      <c r="E6209" s="10">
        <f>IF(AND(HOUR(B6209)&gt;=6,HOUR(B6209)&lt;18),"Day Shift","Night Shift")</f>
        <v/>
      </c>
      <c r="F6209" s="11">
        <f>INT(B6209)</f>
        <v/>
      </c>
      <c r="G6209" s="11">
        <f>INT(C6209)</f>
        <v/>
      </c>
    </row>
    <row r="6210">
      <c r="A6210" s="2" t="inlineStr">
        <is>
          <t>EXD408</t>
        </is>
      </c>
      <c r="B6210" s="3" t="n">
        <v>46122.25</v>
      </c>
      <c r="C6210" s="3" t="n">
        <v>46122.74537037037</v>
      </c>
      <c r="D6210" s="4">
        <f>(C6210-B6210)*24</f>
        <v/>
      </c>
      <c r="E6210" s="5">
        <f>IF(AND(HOUR(B6210)&gt;=6,HOUR(B6210)&lt;18),"Day Shift","Night Shift")</f>
        <v/>
      </c>
      <c r="F6210" s="6">
        <f>INT(B6210)</f>
        <v/>
      </c>
      <c r="G6210" s="6">
        <f>INT(C6210)</f>
        <v/>
      </c>
    </row>
    <row r="6211">
      <c r="A6211" s="2" t="inlineStr">
        <is>
          <t>Sprint 1</t>
        </is>
      </c>
      <c r="B6211" s="3" t="n">
        <v>46121.60621527778</v>
      </c>
      <c r="C6211" s="3" t="n">
        <v>46121.75</v>
      </c>
      <c r="D6211" s="4">
        <f>(C6211-B6211)*24</f>
        <v/>
      </c>
      <c r="E6211" s="5">
        <f>IF(AND(HOUR(B6211)&gt;=6,HOUR(B6211)&lt;18),"Day Shift","Night Shift")</f>
        <v/>
      </c>
      <c r="F6211" s="6">
        <f>INT(B6211)</f>
        <v/>
      </c>
      <c r="G6211" s="6">
        <f>INT(C6211)</f>
        <v/>
      </c>
    </row>
    <row r="6212">
      <c r="A6212" s="7" t="inlineStr">
        <is>
          <t>Sprint 1</t>
        </is>
      </c>
      <c r="B6212" s="8" t="n">
        <v>46121.75</v>
      </c>
      <c r="C6212" s="8" t="n">
        <v>46122.25</v>
      </c>
      <c r="D6212" s="9">
        <f>(C6212-B6212)*24</f>
        <v/>
      </c>
      <c r="E6212" s="10">
        <f>IF(AND(HOUR(B6212)&gt;=6,HOUR(B6212)&lt;18),"Day Shift","Night Shift")</f>
        <v/>
      </c>
      <c r="F6212" s="11">
        <f>INT(B6212)</f>
        <v/>
      </c>
      <c r="G6212" s="11">
        <f>INT(C6212)</f>
        <v/>
      </c>
    </row>
    <row r="6213">
      <c r="A6213" s="2" t="inlineStr">
        <is>
          <t>Sprint 1</t>
        </is>
      </c>
      <c r="B6213" s="3" t="n">
        <v>46122.25</v>
      </c>
      <c r="C6213" s="3" t="n">
        <v>46122.3380787037</v>
      </c>
      <c r="D6213" s="4">
        <f>(C6213-B6213)*24</f>
        <v/>
      </c>
      <c r="E6213" s="5">
        <f>IF(AND(HOUR(B6213)&gt;=6,HOUR(B6213)&lt;18),"Day Shift","Night Shift")</f>
        <v/>
      </c>
      <c r="F6213" s="6">
        <f>INT(B6213)</f>
        <v/>
      </c>
      <c r="G6213" s="6">
        <f>INT(C6213)</f>
        <v/>
      </c>
    </row>
    <row r="6214">
      <c r="A6214" s="2" t="inlineStr">
        <is>
          <t>LDW262</t>
        </is>
      </c>
      <c r="B6214" s="3" t="n">
        <v>46121.62277777777</v>
      </c>
      <c r="C6214" s="3" t="n">
        <v>46121.75</v>
      </c>
      <c r="D6214" s="4">
        <f>(C6214-B6214)*24</f>
        <v/>
      </c>
      <c r="E6214" s="5">
        <f>IF(AND(HOUR(B6214)&gt;=6,HOUR(B6214)&lt;18),"Day Shift","Night Shift")</f>
        <v/>
      </c>
      <c r="F6214" s="6">
        <f>INT(B6214)</f>
        <v/>
      </c>
      <c r="G6214" s="6">
        <f>INT(C6214)</f>
        <v/>
      </c>
    </row>
    <row r="6215">
      <c r="A6215" s="7" t="inlineStr">
        <is>
          <t>LDW262</t>
        </is>
      </c>
      <c r="B6215" s="8" t="n">
        <v>46121.75</v>
      </c>
      <c r="C6215" s="8" t="n">
        <v>46121.98954861111</v>
      </c>
      <c r="D6215" s="9">
        <f>(C6215-B6215)*24</f>
        <v/>
      </c>
      <c r="E6215" s="10">
        <f>IF(AND(HOUR(B6215)&gt;=6,HOUR(B6215)&lt;18),"Day Shift","Night Shift")</f>
        <v/>
      </c>
      <c r="F6215" s="11">
        <f>INT(B6215)</f>
        <v/>
      </c>
      <c r="G6215" s="11">
        <f>INT(C6215)</f>
        <v/>
      </c>
    </row>
    <row r="6216">
      <c r="A6216" s="2" t="inlineStr">
        <is>
          <t>EXD100</t>
        </is>
      </c>
      <c r="B6216" s="3" t="n">
        <v>46121.64123842592</v>
      </c>
      <c r="C6216" s="3" t="n">
        <v>46121.75</v>
      </c>
      <c r="D6216" s="4">
        <f>(C6216-B6216)*24</f>
        <v/>
      </c>
      <c r="E6216" s="5">
        <f>IF(AND(HOUR(B6216)&gt;=6,HOUR(B6216)&lt;18),"Day Shift","Night Shift")</f>
        <v/>
      </c>
      <c r="F6216" s="6">
        <f>INT(B6216)</f>
        <v/>
      </c>
      <c r="G6216" s="6">
        <f>INT(C6216)</f>
        <v/>
      </c>
    </row>
    <row r="6217">
      <c r="A6217" s="7" t="inlineStr">
        <is>
          <t>EXD100</t>
        </is>
      </c>
      <c r="B6217" s="8" t="n">
        <v>46121.75</v>
      </c>
      <c r="C6217" s="8" t="n">
        <v>46122.22177083333</v>
      </c>
      <c r="D6217" s="9">
        <f>(C6217-B6217)*24</f>
        <v/>
      </c>
      <c r="E6217" s="10">
        <f>IF(AND(HOUR(B6217)&gt;=6,HOUR(B6217)&lt;18),"Day Shift","Night Shift")</f>
        <v/>
      </c>
      <c r="F6217" s="11">
        <f>INT(B6217)</f>
        <v/>
      </c>
      <c r="G6217" s="11">
        <f>INT(C6217)</f>
        <v/>
      </c>
    </row>
    <row r="6218">
      <c r="A6218" s="2" t="inlineStr">
        <is>
          <t>EXD98</t>
        </is>
      </c>
      <c r="B6218" s="3" t="n">
        <v>46121.7140625</v>
      </c>
      <c r="C6218" s="3" t="n">
        <v>46121.75</v>
      </c>
      <c r="D6218" s="4">
        <f>(C6218-B6218)*24</f>
        <v/>
      </c>
      <c r="E6218" s="5">
        <f>IF(AND(HOUR(B6218)&gt;=6,HOUR(B6218)&lt;18),"Day Shift","Night Shift")</f>
        <v/>
      </c>
      <c r="F6218" s="6">
        <f>INT(B6218)</f>
        <v/>
      </c>
      <c r="G6218" s="6">
        <f>INT(C6218)</f>
        <v/>
      </c>
    </row>
    <row r="6219">
      <c r="A6219" s="7" t="inlineStr">
        <is>
          <t>EXD98</t>
        </is>
      </c>
      <c r="B6219" s="8" t="n">
        <v>46121.75</v>
      </c>
      <c r="C6219" s="8" t="n">
        <v>46122.25</v>
      </c>
      <c r="D6219" s="9">
        <f>(C6219-B6219)*24</f>
        <v/>
      </c>
      <c r="E6219" s="10">
        <f>IF(AND(HOUR(B6219)&gt;=6,HOUR(B6219)&lt;18),"Day Shift","Night Shift")</f>
        <v/>
      </c>
      <c r="F6219" s="11">
        <f>INT(B6219)</f>
        <v/>
      </c>
      <c r="G6219" s="11">
        <f>INT(C6219)</f>
        <v/>
      </c>
    </row>
    <row r="6220">
      <c r="A6220" s="2" t="inlineStr">
        <is>
          <t>EXD98</t>
        </is>
      </c>
      <c r="B6220" s="3" t="n">
        <v>46122.25</v>
      </c>
      <c r="C6220" s="3" t="n">
        <v>46122.31502314815</v>
      </c>
      <c r="D6220" s="4">
        <f>(C6220-B6220)*24</f>
        <v/>
      </c>
      <c r="E6220" s="5">
        <f>IF(AND(HOUR(B6220)&gt;=6,HOUR(B6220)&lt;18),"Day Shift","Night Shift")</f>
        <v/>
      </c>
      <c r="F6220" s="6">
        <f>INT(B6220)</f>
        <v/>
      </c>
      <c r="G6220" s="6">
        <f>INT(C6220)</f>
        <v/>
      </c>
    </row>
    <row r="6221">
      <c r="A6221" s="7" t="inlineStr">
        <is>
          <t>EXD73</t>
        </is>
      </c>
      <c r="B6221" s="8" t="n">
        <v>46121.87994212963</v>
      </c>
      <c r="C6221" s="8" t="n">
        <v>46122.25</v>
      </c>
      <c r="D6221" s="9">
        <f>(C6221-B6221)*24</f>
        <v/>
      </c>
      <c r="E6221" s="10">
        <f>IF(AND(HOUR(B6221)&gt;=6,HOUR(B6221)&lt;18),"Day Shift","Night Shift")</f>
        <v/>
      </c>
      <c r="F6221" s="11">
        <f>INT(B6221)</f>
        <v/>
      </c>
      <c r="G6221" s="11">
        <f>INT(C6221)</f>
        <v/>
      </c>
    </row>
    <row r="6222">
      <c r="A6222" s="2" t="inlineStr">
        <is>
          <t>EXD73</t>
        </is>
      </c>
      <c r="B6222" s="3" t="n">
        <v>46122.25</v>
      </c>
      <c r="C6222" s="3" t="n">
        <v>46122.75</v>
      </c>
      <c r="D6222" s="4">
        <f>(C6222-B6222)*24</f>
        <v/>
      </c>
      <c r="E6222" s="5">
        <f>IF(AND(HOUR(B6222)&gt;=6,HOUR(B6222)&lt;18),"Day Shift","Night Shift")</f>
        <v/>
      </c>
      <c r="F6222" s="6">
        <f>INT(B6222)</f>
        <v/>
      </c>
      <c r="G6222" s="6">
        <f>INT(C6222)</f>
        <v/>
      </c>
    </row>
    <row r="6223">
      <c r="A6223" s="7" t="inlineStr">
        <is>
          <t>EXD73</t>
        </is>
      </c>
      <c r="B6223" s="8" t="n">
        <v>46122.75</v>
      </c>
      <c r="C6223" s="8" t="n">
        <v>46122.86543981481</v>
      </c>
      <c r="D6223" s="9">
        <f>(C6223-B6223)*24</f>
        <v/>
      </c>
      <c r="E6223" s="10">
        <f>IF(AND(HOUR(B6223)&gt;=6,HOUR(B6223)&lt;18),"Day Shift","Night Shift")</f>
        <v/>
      </c>
      <c r="F6223" s="11">
        <f>INT(B6223)</f>
        <v/>
      </c>
      <c r="G6223" s="11">
        <f>INT(C6223)</f>
        <v/>
      </c>
    </row>
    <row r="6224">
      <c r="A6224" s="7" t="inlineStr">
        <is>
          <t>DRE12</t>
        </is>
      </c>
      <c r="B6224" s="8" t="n">
        <v>46121.89709490741</v>
      </c>
      <c r="C6224" s="8" t="n">
        <v>46122.25</v>
      </c>
      <c r="D6224" s="9">
        <f>(C6224-B6224)*24</f>
        <v/>
      </c>
      <c r="E6224" s="10">
        <f>IF(AND(HOUR(B6224)&gt;=6,HOUR(B6224)&lt;18),"Day Shift","Night Shift")</f>
        <v/>
      </c>
      <c r="F6224" s="11">
        <f>INT(B6224)</f>
        <v/>
      </c>
      <c r="G6224" s="11">
        <f>INT(C6224)</f>
        <v/>
      </c>
    </row>
    <row r="6225">
      <c r="A6225" s="2" t="inlineStr">
        <is>
          <t>DRE12</t>
        </is>
      </c>
      <c r="B6225" s="3" t="n">
        <v>46122.25</v>
      </c>
      <c r="C6225" s="3" t="n">
        <v>46122.75</v>
      </c>
      <c r="D6225" s="4">
        <f>(C6225-B6225)*24</f>
        <v/>
      </c>
      <c r="E6225" s="5">
        <f>IF(AND(HOUR(B6225)&gt;=6,HOUR(B6225)&lt;18),"Day Shift","Night Shift")</f>
        <v/>
      </c>
      <c r="F6225" s="6">
        <f>INT(B6225)</f>
        <v/>
      </c>
      <c r="G6225" s="6">
        <f>INT(C6225)</f>
        <v/>
      </c>
    </row>
    <row r="6226">
      <c r="A6226" s="7" t="inlineStr">
        <is>
          <t>DRE12</t>
        </is>
      </c>
      <c r="B6226" s="8" t="n">
        <v>46122.75</v>
      </c>
      <c r="C6226" s="8" t="n">
        <v>46123.25</v>
      </c>
      <c r="D6226" s="9">
        <f>(C6226-B6226)*24</f>
        <v/>
      </c>
      <c r="E6226" s="10">
        <f>IF(AND(HOUR(B6226)&gt;=6,HOUR(B6226)&lt;18),"Day Shift","Night Shift")</f>
        <v/>
      </c>
      <c r="F6226" s="11">
        <f>INT(B6226)</f>
        <v/>
      </c>
      <c r="G6226" s="11">
        <f>INT(C6226)</f>
        <v/>
      </c>
    </row>
    <row r="6227">
      <c r="A6227" s="2" t="inlineStr">
        <is>
          <t>DRE12</t>
        </is>
      </c>
      <c r="B6227" s="3" t="n">
        <v>46123.25</v>
      </c>
      <c r="C6227" s="3" t="n">
        <v>46123.7031712963</v>
      </c>
      <c r="D6227" s="4">
        <f>(C6227-B6227)*24</f>
        <v/>
      </c>
      <c r="E6227" s="5">
        <f>IF(AND(HOUR(B6227)&gt;=6,HOUR(B6227)&lt;18),"Day Shift","Night Shift")</f>
        <v/>
      </c>
      <c r="F6227" s="6">
        <f>INT(B6227)</f>
        <v/>
      </c>
      <c r="G6227" s="6">
        <f>INT(C6227)</f>
        <v/>
      </c>
    </row>
    <row r="6228">
      <c r="A6228" s="7" t="inlineStr">
        <is>
          <t>EXD409</t>
        </is>
      </c>
      <c r="B6228" s="8" t="n">
        <v>46121.97568287037</v>
      </c>
      <c r="C6228" s="8" t="n">
        <v>46122.25</v>
      </c>
      <c r="D6228" s="9">
        <f>(C6228-B6228)*24</f>
        <v/>
      </c>
      <c r="E6228" s="10">
        <f>IF(AND(HOUR(B6228)&gt;=6,HOUR(B6228)&lt;18),"Day Shift","Night Shift")</f>
        <v/>
      </c>
      <c r="F6228" s="11">
        <f>INT(B6228)</f>
        <v/>
      </c>
      <c r="G6228" s="11">
        <f>INT(C6228)</f>
        <v/>
      </c>
    </row>
    <row r="6229">
      <c r="A6229" s="2" t="inlineStr">
        <is>
          <t>EXD409</t>
        </is>
      </c>
      <c r="B6229" s="3" t="n">
        <v>46122.25</v>
      </c>
      <c r="C6229" s="3" t="n">
        <v>46122.75</v>
      </c>
      <c r="D6229" s="4">
        <f>(C6229-B6229)*24</f>
        <v/>
      </c>
      <c r="E6229" s="5">
        <f>IF(AND(HOUR(B6229)&gt;=6,HOUR(B6229)&lt;18),"Day Shift","Night Shift")</f>
        <v/>
      </c>
      <c r="F6229" s="6">
        <f>INT(B6229)</f>
        <v/>
      </c>
      <c r="G6229" s="6">
        <f>INT(C6229)</f>
        <v/>
      </c>
    </row>
    <row r="6230">
      <c r="A6230" s="7" t="inlineStr">
        <is>
          <t>EXD409</t>
        </is>
      </c>
      <c r="B6230" s="8" t="n">
        <v>46122.75</v>
      </c>
      <c r="C6230" s="8" t="n">
        <v>46123.25</v>
      </c>
      <c r="D6230" s="9">
        <f>(C6230-B6230)*24</f>
        <v/>
      </c>
      <c r="E6230" s="10">
        <f>IF(AND(HOUR(B6230)&gt;=6,HOUR(B6230)&lt;18),"Day Shift","Night Shift")</f>
        <v/>
      </c>
      <c r="F6230" s="11">
        <f>INT(B6230)</f>
        <v/>
      </c>
      <c r="G6230" s="11">
        <f>INT(C6230)</f>
        <v/>
      </c>
    </row>
    <row r="6231">
      <c r="A6231" s="2" t="inlineStr">
        <is>
          <t>EXD409</t>
        </is>
      </c>
      <c r="B6231" s="3" t="n">
        <v>46123.25</v>
      </c>
      <c r="C6231" s="3" t="n">
        <v>46123.75</v>
      </c>
      <c r="D6231" s="4">
        <f>(C6231-B6231)*24</f>
        <v/>
      </c>
      <c r="E6231" s="5">
        <f>IF(AND(HOUR(B6231)&gt;=6,HOUR(B6231)&lt;18),"Day Shift","Night Shift")</f>
        <v/>
      </c>
      <c r="F6231" s="6">
        <f>INT(B6231)</f>
        <v/>
      </c>
      <c r="G6231" s="6">
        <f>INT(C6231)</f>
        <v/>
      </c>
    </row>
    <row r="6232">
      <c r="A6232" s="7" t="inlineStr">
        <is>
          <t>EXD409</t>
        </is>
      </c>
      <c r="B6232" s="8" t="n">
        <v>46123.75</v>
      </c>
      <c r="C6232" s="8" t="n">
        <v>46124.25</v>
      </c>
      <c r="D6232" s="9">
        <f>(C6232-B6232)*24</f>
        <v/>
      </c>
      <c r="E6232" s="10">
        <f>IF(AND(HOUR(B6232)&gt;=6,HOUR(B6232)&lt;18),"Day Shift","Night Shift")</f>
        <v/>
      </c>
      <c r="F6232" s="11">
        <f>INT(B6232)</f>
        <v/>
      </c>
      <c r="G6232" s="11">
        <f>INT(C6232)</f>
        <v/>
      </c>
    </row>
    <row r="6233">
      <c r="A6233" s="2" t="inlineStr">
        <is>
          <t>EXD409</t>
        </is>
      </c>
      <c r="B6233" s="3" t="n">
        <v>46124.25</v>
      </c>
      <c r="C6233" s="3" t="n">
        <v>46124.26297453704</v>
      </c>
      <c r="D6233" s="4">
        <f>(C6233-B6233)*24</f>
        <v/>
      </c>
      <c r="E6233" s="5">
        <f>IF(AND(HOUR(B6233)&gt;=6,HOUR(B6233)&lt;18),"Day Shift","Night Shift")</f>
        <v/>
      </c>
      <c r="F6233" s="6">
        <f>INT(B6233)</f>
        <v/>
      </c>
      <c r="G6233" s="6">
        <f>INT(C6233)</f>
        <v/>
      </c>
    </row>
    <row r="6234">
      <c r="A6234" s="7" t="inlineStr">
        <is>
          <t>LDW262</t>
        </is>
      </c>
      <c r="B6234" s="8" t="n">
        <v>46121.98954861111</v>
      </c>
      <c r="C6234" s="8" t="n">
        <v>46122.25</v>
      </c>
      <c r="D6234" s="9">
        <f>(C6234-B6234)*24</f>
        <v/>
      </c>
      <c r="E6234" s="10">
        <f>IF(AND(HOUR(B6234)&gt;=6,HOUR(B6234)&lt;18),"Day Shift","Night Shift")</f>
        <v/>
      </c>
      <c r="F6234" s="11">
        <f>INT(B6234)</f>
        <v/>
      </c>
      <c r="G6234" s="11">
        <f>INT(C6234)</f>
        <v/>
      </c>
    </row>
    <row r="6235">
      <c r="A6235" s="2" t="inlineStr">
        <is>
          <t>LDW262</t>
        </is>
      </c>
      <c r="B6235" s="3" t="n">
        <v>46122.25</v>
      </c>
      <c r="C6235" s="3" t="n">
        <v>46122.47785879629</v>
      </c>
      <c r="D6235" s="4">
        <f>(C6235-B6235)*24</f>
        <v/>
      </c>
      <c r="E6235" s="5">
        <f>IF(AND(HOUR(B6235)&gt;=6,HOUR(B6235)&lt;18),"Day Shift","Night Shift")</f>
        <v/>
      </c>
      <c r="F6235" s="6">
        <f>INT(B6235)</f>
        <v/>
      </c>
      <c r="G6235" s="6">
        <f>INT(C6235)</f>
        <v/>
      </c>
    </row>
    <row r="6236">
      <c r="A6236" s="7" t="inlineStr">
        <is>
          <t>LDW265</t>
        </is>
      </c>
      <c r="B6236" s="8" t="n">
        <v>46122.0221875</v>
      </c>
      <c r="C6236" s="8" t="n">
        <v>46122.25</v>
      </c>
      <c r="D6236" s="9">
        <f>(C6236-B6236)*24</f>
        <v/>
      </c>
      <c r="E6236" s="10">
        <f>IF(AND(HOUR(B6236)&gt;=6,HOUR(B6236)&lt;18),"Day Shift","Night Shift")</f>
        <v/>
      </c>
      <c r="F6236" s="11">
        <f>INT(B6236)</f>
        <v/>
      </c>
      <c r="G6236" s="11">
        <f>INT(C6236)</f>
        <v/>
      </c>
    </row>
    <row r="6237">
      <c r="A6237" s="2" t="inlineStr">
        <is>
          <t>LDW265</t>
        </is>
      </c>
      <c r="B6237" s="3" t="n">
        <v>46122.25</v>
      </c>
      <c r="C6237" s="3" t="n">
        <v>46122.75</v>
      </c>
      <c r="D6237" s="4">
        <f>(C6237-B6237)*24</f>
        <v/>
      </c>
      <c r="E6237" s="5">
        <f>IF(AND(HOUR(B6237)&gt;=6,HOUR(B6237)&lt;18),"Day Shift","Night Shift")</f>
        <v/>
      </c>
      <c r="F6237" s="6">
        <f>INT(B6237)</f>
        <v/>
      </c>
      <c r="G6237" s="6">
        <f>INT(C6237)</f>
        <v/>
      </c>
    </row>
    <row r="6238">
      <c r="A6238" s="7" t="inlineStr">
        <is>
          <t>LDW265</t>
        </is>
      </c>
      <c r="B6238" s="8" t="n">
        <v>46122.75</v>
      </c>
      <c r="C6238" s="8" t="n">
        <v>46123.03414351852</v>
      </c>
      <c r="D6238" s="9">
        <f>(C6238-B6238)*24</f>
        <v/>
      </c>
      <c r="E6238" s="10">
        <f>IF(AND(HOUR(B6238)&gt;=6,HOUR(B6238)&lt;18),"Day Shift","Night Shift")</f>
        <v/>
      </c>
      <c r="F6238" s="11">
        <f>INT(B6238)</f>
        <v/>
      </c>
      <c r="G6238" s="11">
        <f>INT(C6238)</f>
        <v/>
      </c>
    </row>
    <row r="6239">
      <c r="A6239" s="7" t="inlineStr">
        <is>
          <t>DRE08</t>
        </is>
      </c>
      <c r="B6239" s="8" t="n">
        <v>46122.20295138889</v>
      </c>
      <c r="C6239" s="8" t="n">
        <v>46122.25</v>
      </c>
      <c r="D6239" s="9">
        <f>(C6239-B6239)*24</f>
        <v/>
      </c>
      <c r="E6239" s="10">
        <f>IF(AND(HOUR(B6239)&gt;=6,HOUR(B6239)&lt;18),"Day Shift","Night Shift")</f>
        <v/>
      </c>
      <c r="F6239" s="11">
        <f>INT(B6239)</f>
        <v/>
      </c>
      <c r="G6239" s="11">
        <f>INT(C6239)</f>
        <v/>
      </c>
    </row>
    <row r="6240">
      <c r="A6240" s="2" t="inlineStr">
        <is>
          <t>DRE08</t>
        </is>
      </c>
      <c r="B6240" s="3" t="n">
        <v>46122.25</v>
      </c>
      <c r="C6240" s="3" t="n">
        <v>46122.75</v>
      </c>
      <c r="D6240" s="4">
        <f>(C6240-B6240)*24</f>
        <v/>
      </c>
      <c r="E6240" s="5">
        <f>IF(AND(HOUR(B6240)&gt;=6,HOUR(B6240)&lt;18),"Day Shift","Night Shift")</f>
        <v/>
      </c>
      <c r="F6240" s="6">
        <f>INT(B6240)</f>
        <v/>
      </c>
      <c r="G6240" s="6">
        <f>INT(C6240)</f>
        <v/>
      </c>
    </row>
    <row r="6241">
      <c r="A6241" s="7" t="inlineStr">
        <is>
          <t>DRE08</t>
        </is>
      </c>
      <c r="B6241" s="8" t="n">
        <v>46122.75</v>
      </c>
      <c r="C6241" s="8" t="n">
        <v>46123.25</v>
      </c>
      <c r="D6241" s="9">
        <f>(C6241-B6241)*24</f>
        <v/>
      </c>
      <c r="E6241" s="10">
        <f>IF(AND(HOUR(B6241)&gt;=6,HOUR(B6241)&lt;18),"Day Shift","Night Shift")</f>
        <v/>
      </c>
      <c r="F6241" s="11">
        <f>INT(B6241)</f>
        <v/>
      </c>
      <c r="G6241" s="11">
        <f>INT(C6241)</f>
        <v/>
      </c>
    </row>
    <row r="6242">
      <c r="A6242" s="2" t="inlineStr">
        <is>
          <t>DRE08</t>
        </is>
      </c>
      <c r="B6242" s="3" t="n">
        <v>46123.25</v>
      </c>
      <c r="C6242" s="3" t="n">
        <v>46123.4200462963</v>
      </c>
      <c r="D6242" s="4">
        <f>(C6242-B6242)*24</f>
        <v/>
      </c>
      <c r="E6242" s="5">
        <f>IF(AND(HOUR(B6242)&gt;=6,HOUR(B6242)&lt;18),"Day Shift","Night Shift")</f>
        <v/>
      </c>
      <c r="F6242" s="6">
        <f>INT(B6242)</f>
        <v/>
      </c>
      <c r="G6242" s="6">
        <f>INT(C6242)</f>
        <v/>
      </c>
    </row>
    <row r="6243">
      <c r="A6243" s="7" t="inlineStr">
        <is>
          <t>EXD100</t>
        </is>
      </c>
      <c r="B6243" s="8" t="n">
        <v>46122.22177083333</v>
      </c>
      <c r="C6243" s="8" t="n">
        <v>46122.25</v>
      </c>
      <c r="D6243" s="9">
        <f>(C6243-B6243)*24</f>
        <v/>
      </c>
      <c r="E6243" s="10">
        <f>IF(AND(HOUR(B6243)&gt;=6,HOUR(B6243)&lt;18),"Day Shift","Night Shift")</f>
        <v/>
      </c>
      <c r="F6243" s="11">
        <f>INT(B6243)</f>
        <v/>
      </c>
      <c r="G6243" s="11">
        <f>INT(C6243)</f>
        <v/>
      </c>
    </row>
    <row r="6244">
      <c r="A6244" s="2" t="inlineStr">
        <is>
          <t>EXD100</t>
        </is>
      </c>
      <c r="B6244" s="3" t="n">
        <v>46122.25</v>
      </c>
      <c r="C6244" s="3" t="n">
        <v>46122.43091435185</v>
      </c>
      <c r="D6244" s="4">
        <f>(C6244-B6244)*24</f>
        <v/>
      </c>
      <c r="E6244" s="5">
        <f>IF(AND(HOUR(B6244)&gt;=6,HOUR(B6244)&lt;18),"Day Shift","Night Shift")</f>
        <v/>
      </c>
      <c r="F6244" s="6">
        <f>INT(B6244)</f>
        <v/>
      </c>
      <c r="G6244" s="6">
        <f>INT(C6244)</f>
        <v/>
      </c>
    </row>
    <row r="6245">
      <c r="A6245" s="2" t="inlineStr">
        <is>
          <t>DRE42</t>
        </is>
      </c>
      <c r="B6245" s="3" t="n">
        <v>46122.25378472222</v>
      </c>
      <c r="C6245" s="3" t="n">
        <v>46122.75</v>
      </c>
      <c r="D6245" s="4">
        <f>(C6245-B6245)*24</f>
        <v/>
      </c>
      <c r="E6245" s="5">
        <f>IF(AND(HOUR(B6245)&gt;=6,HOUR(B6245)&lt;18),"Day Shift","Night Shift")</f>
        <v/>
      </c>
      <c r="F6245" s="6">
        <f>INT(B6245)</f>
        <v/>
      </c>
      <c r="G6245" s="6">
        <f>INT(C6245)</f>
        <v/>
      </c>
    </row>
    <row r="6246">
      <c r="A6246" s="7" t="inlineStr">
        <is>
          <t>DRE42</t>
        </is>
      </c>
      <c r="B6246" s="8" t="n">
        <v>46122.75</v>
      </c>
      <c r="C6246" s="8" t="n">
        <v>46123.25</v>
      </c>
      <c r="D6246" s="9">
        <f>(C6246-B6246)*24</f>
        <v/>
      </c>
      <c r="E6246" s="10">
        <f>IF(AND(HOUR(B6246)&gt;=6,HOUR(B6246)&lt;18),"Day Shift","Night Shift")</f>
        <v/>
      </c>
      <c r="F6246" s="11">
        <f>INT(B6246)</f>
        <v/>
      </c>
      <c r="G6246" s="11">
        <f>INT(C6246)</f>
        <v/>
      </c>
    </row>
    <row r="6247">
      <c r="A6247" s="2" t="inlineStr">
        <is>
          <t>DRE42</t>
        </is>
      </c>
      <c r="B6247" s="3" t="n">
        <v>46123.25</v>
      </c>
      <c r="C6247" s="3" t="n">
        <v>46123.75</v>
      </c>
      <c r="D6247" s="4">
        <f>(C6247-B6247)*24</f>
        <v/>
      </c>
      <c r="E6247" s="5">
        <f>IF(AND(HOUR(B6247)&gt;=6,HOUR(B6247)&lt;18),"Day Shift","Night Shift")</f>
        <v/>
      </c>
      <c r="F6247" s="6">
        <f>INT(B6247)</f>
        <v/>
      </c>
      <c r="G6247" s="6">
        <f>INT(C6247)</f>
        <v/>
      </c>
    </row>
    <row r="6248">
      <c r="A6248" s="7" t="inlineStr">
        <is>
          <t>DRE42</t>
        </is>
      </c>
      <c r="B6248" s="8" t="n">
        <v>46123.75</v>
      </c>
      <c r="C6248" s="8" t="n">
        <v>46124.25</v>
      </c>
      <c r="D6248" s="9">
        <f>(C6248-B6248)*24</f>
        <v/>
      </c>
      <c r="E6248" s="10">
        <f>IF(AND(HOUR(B6248)&gt;=6,HOUR(B6248)&lt;18),"Day Shift","Night Shift")</f>
        <v/>
      </c>
      <c r="F6248" s="11">
        <f>INT(B6248)</f>
        <v/>
      </c>
      <c r="G6248" s="11">
        <f>INT(C6248)</f>
        <v/>
      </c>
    </row>
    <row r="6249">
      <c r="A6249" s="2" t="inlineStr">
        <is>
          <t>DRE42</t>
        </is>
      </c>
      <c r="B6249" s="3" t="n">
        <v>46124.25</v>
      </c>
      <c r="C6249" s="3" t="n">
        <v>46124.75</v>
      </c>
      <c r="D6249" s="4">
        <f>(C6249-B6249)*24</f>
        <v/>
      </c>
      <c r="E6249" s="5">
        <f>IF(AND(HOUR(B6249)&gt;=6,HOUR(B6249)&lt;18),"Day Shift","Night Shift")</f>
        <v/>
      </c>
      <c r="F6249" s="6">
        <f>INT(B6249)</f>
        <v/>
      </c>
      <c r="G6249" s="6">
        <f>INT(C6249)</f>
        <v/>
      </c>
    </row>
    <row r="6250">
      <c r="A6250" s="7" t="inlineStr">
        <is>
          <t>DRE42</t>
        </is>
      </c>
      <c r="B6250" s="8" t="n">
        <v>46124.75</v>
      </c>
      <c r="C6250" s="8" t="n">
        <v>46125.25</v>
      </c>
      <c r="D6250" s="9">
        <f>(C6250-B6250)*24</f>
        <v/>
      </c>
      <c r="E6250" s="10">
        <f>IF(AND(HOUR(B6250)&gt;=6,HOUR(B6250)&lt;18),"Day Shift","Night Shift")</f>
        <v/>
      </c>
      <c r="F6250" s="11">
        <f>INT(B6250)</f>
        <v/>
      </c>
      <c r="G6250" s="11">
        <f>INT(C6250)</f>
        <v/>
      </c>
    </row>
    <row r="6251">
      <c r="A6251" s="2" t="inlineStr">
        <is>
          <t>DRE42</t>
        </is>
      </c>
      <c r="B6251" s="3" t="n">
        <v>46125.25</v>
      </c>
      <c r="C6251" s="3" t="n">
        <v>46125.75</v>
      </c>
      <c r="D6251" s="4">
        <f>(C6251-B6251)*24</f>
        <v/>
      </c>
      <c r="E6251" s="5">
        <f>IF(AND(HOUR(B6251)&gt;=6,HOUR(B6251)&lt;18),"Day Shift","Night Shift")</f>
        <v/>
      </c>
      <c r="F6251" s="6">
        <f>INT(B6251)</f>
        <v/>
      </c>
      <c r="G6251" s="6">
        <f>INT(C6251)</f>
        <v/>
      </c>
    </row>
    <row r="6252">
      <c r="A6252" s="7" t="inlineStr">
        <is>
          <t>DRE42</t>
        </is>
      </c>
      <c r="B6252" s="8" t="n">
        <v>46125.75</v>
      </c>
      <c r="C6252" s="8" t="n">
        <v>46126.25</v>
      </c>
      <c r="D6252" s="9">
        <f>(C6252-B6252)*24</f>
        <v/>
      </c>
      <c r="E6252" s="10">
        <f>IF(AND(HOUR(B6252)&gt;=6,HOUR(B6252)&lt;18),"Day Shift","Night Shift")</f>
        <v/>
      </c>
      <c r="F6252" s="11">
        <f>INT(B6252)</f>
        <v/>
      </c>
      <c r="G6252" s="11">
        <f>INT(C6252)</f>
        <v/>
      </c>
    </row>
    <row r="6253">
      <c r="A6253" s="2" t="inlineStr">
        <is>
          <t>DRE42</t>
        </is>
      </c>
      <c r="B6253" s="3" t="n">
        <v>46126.25</v>
      </c>
      <c r="C6253" s="3" t="n">
        <v>46126.75</v>
      </c>
      <c r="D6253" s="4">
        <f>(C6253-B6253)*24</f>
        <v/>
      </c>
      <c r="E6253" s="5">
        <f>IF(AND(HOUR(B6253)&gt;=6,HOUR(B6253)&lt;18),"Day Shift","Night Shift")</f>
        <v/>
      </c>
      <c r="F6253" s="6">
        <f>INT(B6253)</f>
        <v/>
      </c>
      <c r="G6253" s="6">
        <f>INT(C6253)</f>
        <v/>
      </c>
    </row>
    <row r="6254">
      <c r="A6254" s="7" t="inlineStr">
        <is>
          <t>DRE42</t>
        </is>
      </c>
      <c r="B6254" s="8" t="n">
        <v>46126.75</v>
      </c>
      <c r="C6254" s="8" t="n">
        <v>46127.25</v>
      </c>
      <c r="D6254" s="9">
        <f>(C6254-B6254)*24</f>
        <v/>
      </c>
      <c r="E6254" s="10">
        <f>IF(AND(HOUR(B6254)&gt;=6,HOUR(B6254)&lt;18),"Day Shift","Night Shift")</f>
        <v/>
      </c>
      <c r="F6254" s="11">
        <f>INT(B6254)</f>
        <v/>
      </c>
      <c r="G6254" s="11">
        <f>INT(C6254)</f>
        <v/>
      </c>
    </row>
    <row r="6255">
      <c r="A6255" s="2" t="inlineStr">
        <is>
          <t>DRE42</t>
        </is>
      </c>
      <c r="B6255" s="3" t="n">
        <v>46127.25</v>
      </c>
      <c r="C6255" s="3" t="n">
        <v>46127.39861111111</v>
      </c>
      <c r="D6255" s="4">
        <f>(C6255-B6255)*24</f>
        <v/>
      </c>
      <c r="E6255" s="5">
        <f>IF(AND(HOUR(B6255)&gt;=6,HOUR(B6255)&lt;18),"Day Shift","Night Shift")</f>
        <v/>
      </c>
      <c r="F6255" s="6">
        <f>INT(B6255)</f>
        <v/>
      </c>
      <c r="G6255" s="6">
        <f>INT(C6255)</f>
        <v/>
      </c>
    </row>
    <row r="6256">
      <c r="A6256" s="2" t="inlineStr">
        <is>
          <t>EXD98</t>
        </is>
      </c>
      <c r="B6256" s="3" t="n">
        <v>46122.31502314815</v>
      </c>
      <c r="C6256" s="3" t="n">
        <v>46122.75</v>
      </c>
      <c r="D6256" s="4">
        <f>(C6256-B6256)*24</f>
        <v/>
      </c>
      <c r="E6256" s="5">
        <f>IF(AND(HOUR(B6256)&gt;=6,HOUR(B6256)&lt;18),"Day Shift","Night Shift")</f>
        <v/>
      </c>
      <c r="F6256" s="6">
        <f>INT(B6256)</f>
        <v/>
      </c>
      <c r="G6256" s="6">
        <f>INT(C6256)</f>
        <v/>
      </c>
    </row>
    <row r="6257">
      <c r="A6257" s="7" t="inlineStr">
        <is>
          <t>EXD98</t>
        </is>
      </c>
      <c r="B6257" s="8" t="n">
        <v>46122.75</v>
      </c>
      <c r="C6257" s="8" t="n">
        <v>46122.9296412037</v>
      </c>
      <c r="D6257" s="9">
        <f>(C6257-B6257)*24</f>
        <v/>
      </c>
      <c r="E6257" s="10">
        <f>IF(AND(HOUR(B6257)&gt;=6,HOUR(B6257)&lt;18),"Day Shift","Night Shift")</f>
        <v/>
      </c>
      <c r="F6257" s="11">
        <f>INT(B6257)</f>
        <v/>
      </c>
      <c r="G6257" s="11">
        <f>INT(C6257)</f>
        <v/>
      </c>
    </row>
    <row r="6258">
      <c r="A6258" s="2" t="inlineStr">
        <is>
          <t>EXD60</t>
        </is>
      </c>
      <c r="B6258" s="3" t="n">
        <v>46122.32935185185</v>
      </c>
      <c r="C6258" s="3" t="n">
        <v>46122.75</v>
      </c>
      <c r="D6258" s="4">
        <f>(C6258-B6258)*24</f>
        <v/>
      </c>
      <c r="E6258" s="5">
        <f>IF(AND(HOUR(B6258)&gt;=6,HOUR(B6258)&lt;18),"Day Shift","Night Shift")</f>
        <v/>
      </c>
      <c r="F6258" s="6">
        <f>INT(B6258)</f>
        <v/>
      </c>
      <c r="G6258" s="6">
        <f>INT(C6258)</f>
        <v/>
      </c>
    </row>
    <row r="6259">
      <c r="A6259" s="7" t="inlineStr">
        <is>
          <t>EXD60</t>
        </is>
      </c>
      <c r="B6259" s="8" t="n">
        <v>46122.75</v>
      </c>
      <c r="C6259" s="8" t="n">
        <v>46123.25</v>
      </c>
      <c r="D6259" s="9">
        <f>(C6259-B6259)*24</f>
        <v/>
      </c>
      <c r="E6259" s="10">
        <f>IF(AND(HOUR(B6259)&gt;=6,HOUR(B6259)&lt;18),"Day Shift","Night Shift")</f>
        <v/>
      </c>
      <c r="F6259" s="11">
        <f>INT(B6259)</f>
        <v/>
      </c>
      <c r="G6259" s="11">
        <f>INT(C6259)</f>
        <v/>
      </c>
    </row>
    <row r="6260">
      <c r="A6260" s="2" t="inlineStr">
        <is>
          <t>EXD60</t>
        </is>
      </c>
      <c r="B6260" s="3" t="n">
        <v>46123.25</v>
      </c>
      <c r="C6260" s="3" t="n">
        <v>46123.75</v>
      </c>
      <c r="D6260" s="4">
        <f>(C6260-B6260)*24</f>
        <v/>
      </c>
      <c r="E6260" s="5">
        <f>IF(AND(HOUR(B6260)&gt;=6,HOUR(B6260)&lt;18),"Day Shift","Night Shift")</f>
        <v/>
      </c>
      <c r="F6260" s="6">
        <f>INT(B6260)</f>
        <v/>
      </c>
      <c r="G6260" s="6">
        <f>INT(C6260)</f>
        <v/>
      </c>
    </row>
    <row r="6261">
      <c r="A6261" s="7" t="inlineStr">
        <is>
          <t>EXD60</t>
        </is>
      </c>
      <c r="B6261" s="8" t="n">
        <v>46123.75</v>
      </c>
      <c r="C6261" s="8" t="n">
        <v>46123.80450231482</v>
      </c>
      <c r="D6261" s="9">
        <f>(C6261-B6261)*24</f>
        <v/>
      </c>
      <c r="E6261" s="10">
        <f>IF(AND(HOUR(B6261)&gt;=6,HOUR(B6261)&lt;18),"Day Shift","Night Shift")</f>
        <v/>
      </c>
      <c r="F6261" s="11">
        <f>INT(B6261)</f>
        <v/>
      </c>
      <c r="G6261" s="11">
        <f>INT(C6261)</f>
        <v/>
      </c>
    </row>
    <row r="6262">
      <c r="A6262" s="2" t="inlineStr">
        <is>
          <t>Sprint 1</t>
        </is>
      </c>
      <c r="B6262" s="3" t="n">
        <v>46122.3380787037</v>
      </c>
      <c r="C6262" s="3" t="n">
        <v>46122.75</v>
      </c>
      <c r="D6262" s="4">
        <f>(C6262-B6262)*24</f>
        <v/>
      </c>
      <c r="E6262" s="5">
        <f>IF(AND(HOUR(B6262)&gt;=6,HOUR(B6262)&lt;18),"Day Shift","Night Shift")</f>
        <v/>
      </c>
      <c r="F6262" s="6">
        <f>INT(B6262)</f>
        <v/>
      </c>
      <c r="G6262" s="6">
        <f>INT(C6262)</f>
        <v/>
      </c>
    </row>
    <row r="6263">
      <c r="A6263" s="7" t="inlineStr">
        <is>
          <t>Sprint 1</t>
        </is>
      </c>
      <c r="B6263" s="8" t="n">
        <v>46122.75</v>
      </c>
      <c r="C6263" s="8" t="n">
        <v>46122.92193287037</v>
      </c>
      <c r="D6263" s="9">
        <f>(C6263-B6263)*24</f>
        <v/>
      </c>
      <c r="E6263" s="10">
        <f>IF(AND(HOUR(B6263)&gt;=6,HOUR(B6263)&lt;18),"Day Shift","Night Shift")</f>
        <v/>
      </c>
      <c r="F6263" s="11">
        <f>INT(B6263)</f>
        <v/>
      </c>
      <c r="G6263" s="11">
        <f>INT(C6263)</f>
        <v/>
      </c>
    </row>
    <row r="6264">
      <c r="A6264" s="2" t="inlineStr">
        <is>
          <t>EDD2541;EDD175;EDD1932;EDD2134;EDD812</t>
        </is>
      </c>
      <c r="B6264" s="3" t="n">
        <v>46122.40565972222</v>
      </c>
      <c r="C6264" s="3" t="n">
        <v>46122.75</v>
      </c>
      <c r="D6264" s="4">
        <f>(C6264-B6264)*24</f>
        <v/>
      </c>
      <c r="E6264" s="5">
        <f>IF(AND(HOUR(B6264)&gt;=6,HOUR(B6264)&lt;18),"Day Shift","Night Shift")</f>
        <v/>
      </c>
      <c r="F6264" s="6">
        <f>INT(B6264)</f>
        <v/>
      </c>
      <c r="G6264" s="6">
        <f>INT(C6264)</f>
        <v/>
      </c>
    </row>
    <row r="6265">
      <c r="A6265" s="7" t="inlineStr">
        <is>
          <t>EDD2541;EDD175;EDD1932;EDD2134;EDD812</t>
        </is>
      </c>
      <c r="B6265" s="8" t="n">
        <v>46122.75</v>
      </c>
      <c r="C6265" s="8" t="n">
        <v>46123.09907407407</v>
      </c>
      <c r="D6265" s="9">
        <f>(C6265-B6265)*24</f>
        <v/>
      </c>
      <c r="E6265" s="10">
        <f>IF(AND(HOUR(B6265)&gt;=6,HOUR(B6265)&lt;18),"Day Shift","Night Shift")</f>
        <v/>
      </c>
      <c r="F6265" s="11">
        <f>INT(B6265)</f>
        <v/>
      </c>
      <c r="G6265" s="11">
        <f>INT(C6265)</f>
        <v/>
      </c>
    </row>
    <row r="6266">
      <c r="A6266" s="2" t="inlineStr">
        <is>
          <t>EXD100</t>
        </is>
      </c>
      <c r="B6266" s="3" t="n">
        <v>46122.43091435185</v>
      </c>
      <c r="C6266" s="3" t="n">
        <v>46122.75</v>
      </c>
      <c r="D6266" s="4">
        <f>(C6266-B6266)*24</f>
        <v/>
      </c>
      <c r="E6266" s="5">
        <f>IF(AND(HOUR(B6266)&gt;=6,HOUR(B6266)&lt;18),"Day Shift","Night Shift")</f>
        <v/>
      </c>
      <c r="F6266" s="6">
        <f>INT(B6266)</f>
        <v/>
      </c>
      <c r="G6266" s="6">
        <f>INT(C6266)</f>
        <v/>
      </c>
    </row>
    <row r="6267">
      <c r="A6267" s="7" t="inlineStr">
        <is>
          <t>EXD100</t>
        </is>
      </c>
      <c r="B6267" s="8" t="n">
        <v>46122.75</v>
      </c>
      <c r="C6267" s="8" t="n">
        <v>46123.25</v>
      </c>
      <c r="D6267" s="9">
        <f>(C6267-B6267)*24</f>
        <v/>
      </c>
      <c r="E6267" s="10">
        <f>IF(AND(HOUR(B6267)&gt;=6,HOUR(B6267)&lt;18),"Day Shift","Night Shift")</f>
        <v/>
      </c>
      <c r="F6267" s="11">
        <f>INT(B6267)</f>
        <v/>
      </c>
      <c r="G6267" s="11">
        <f>INT(C6267)</f>
        <v/>
      </c>
    </row>
    <row r="6268">
      <c r="A6268" s="2" t="inlineStr">
        <is>
          <t>EXD100</t>
        </is>
      </c>
      <c r="B6268" s="3" t="n">
        <v>46123.25</v>
      </c>
      <c r="C6268" s="3" t="n">
        <v>46123.41134259259</v>
      </c>
      <c r="D6268" s="4">
        <f>(C6268-B6268)*24</f>
        <v/>
      </c>
      <c r="E6268" s="5">
        <f>IF(AND(HOUR(B6268)&gt;=6,HOUR(B6268)&lt;18),"Day Shift","Night Shift")</f>
        <v/>
      </c>
      <c r="F6268" s="6">
        <f>INT(B6268)</f>
        <v/>
      </c>
      <c r="G6268" s="6">
        <f>INT(C6268)</f>
        <v/>
      </c>
    </row>
    <row r="6269">
      <c r="A6269" s="2" t="inlineStr">
        <is>
          <t>SHE36</t>
        </is>
      </c>
      <c r="B6269" s="3" t="n">
        <v>46122.43219907407</v>
      </c>
      <c r="C6269" s="3" t="n">
        <v>46122.75</v>
      </c>
      <c r="D6269" s="4">
        <f>(C6269-B6269)*24</f>
        <v/>
      </c>
      <c r="E6269" s="5">
        <f>IF(AND(HOUR(B6269)&gt;=6,HOUR(B6269)&lt;18),"Day Shift","Night Shift")</f>
        <v/>
      </c>
      <c r="F6269" s="6">
        <f>INT(B6269)</f>
        <v/>
      </c>
      <c r="G6269" s="6">
        <f>INT(C6269)</f>
        <v/>
      </c>
    </row>
    <row r="6270">
      <c r="A6270" s="7" t="inlineStr">
        <is>
          <t>SHE36</t>
        </is>
      </c>
      <c r="B6270" s="8" t="n">
        <v>46122.75</v>
      </c>
      <c r="C6270" s="8" t="n">
        <v>46123.08296296297</v>
      </c>
      <c r="D6270" s="9">
        <f>(C6270-B6270)*24</f>
        <v/>
      </c>
      <c r="E6270" s="10">
        <f>IF(AND(HOUR(B6270)&gt;=6,HOUR(B6270)&lt;18),"Day Shift","Night Shift")</f>
        <v/>
      </c>
      <c r="F6270" s="11">
        <f>INT(B6270)</f>
        <v/>
      </c>
      <c r="G6270" s="11">
        <f>INT(C6270)</f>
        <v/>
      </c>
    </row>
    <row r="6271">
      <c r="A6271" s="2" t="inlineStr">
        <is>
          <t>EXD55</t>
        </is>
      </c>
      <c r="B6271" s="3" t="n">
        <v>46122.46444444444</v>
      </c>
      <c r="C6271" s="3" t="n">
        <v>46122.75</v>
      </c>
      <c r="D6271" s="4">
        <f>(C6271-B6271)*24</f>
        <v/>
      </c>
      <c r="E6271" s="5">
        <f>IF(AND(HOUR(B6271)&gt;=6,HOUR(B6271)&lt;18),"Day Shift","Night Shift")</f>
        <v/>
      </c>
      <c r="F6271" s="6">
        <f>INT(B6271)</f>
        <v/>
      </c>
      <c r="G6271" s="6">
        <f>INT(C6271)</f>
        <v/>
      </c>
    </row>
    <row r="6272">
      <c r="A6272" s="7" t="inlineStr">
        <is>
          <t>EXD55</t>
        </is>
      </c>
      <c r="B6272" s="8" t="n">
        <v>46122.75</v>
      </c>
      <c r="C6272" s="8" t="n">
        <v>46123.25</v>
      </c>
      <c r="D6272" s="9">
        <f>(C6272-B6272)*24</f>
        <v/>
      </c>
      <c r="E6272" s="10">
        <f>IF(AND(HOUR(B6272)&gt;=6,HOUR(B6272)&lt;18),"Day Shift","Night Shift")</f>
        <v/>
      </c>
      <c r="F6272" s="11">
        <f>INT(B6272)</f>
        <v/>
      </c>
      <c r="G6272" s="11">
        <f>INT(C6272)</f>
        <v/>
      </c>
    </row>
    <row r="6273">
      <c r="A6273" s="2" t="inlineStr">
        <is>
          <t>EXD55</t>
        </is>
      </c>
      <c r="B6273" s="3" t="n">
        <v>46123.25</v>
      </c>
      <c r="C6273" s="3" t="n">
        <v>46123.56577546296</v>
      </c>
      <c r="D6273" s="4">
        <f>(C6273-B6273)*24</f>
        <v/>
      </c>
      <c r="E6273" s="5">
        <f>IF(AND(HOUR(B6273)&gt;=6,HOUR(B6273)&lt;18),"Day Shift","Night Shift")</f>
        <v/>
      </c>
      <c r="F6273" s="6">
        <f>INT(B6273)</f>
        <v/>
      </c>
      <c r="G6273" s="6">
        <f>INT(C6273)</f>
        <v/>
      </c>
    </row>
    <row r="6274">
      <c r="A6274" s="2" t="inlineStr">
        <is>
          <t>LDW262</t>
        </is>
      </c>
      <c r="B6274" s="3" t="n">
        <v>46122.47785879629</v>
      </c>
      <c r="C6274" s="3" t="n">
        <v>46122.7053125</v>
      </c>
      <c r="D6274" s="4">
        <f>(C6274-B6274)*24</f>
        <v/>
      </c>
      <c r="E6274" s="5">
        <f>IF(AND(HOUR(B6274)&gt;=6,HOUR(B6274)&lt;18),"Day Shift","Night Shift")</f>
        <v/>
      </c>
      <c r="F6274" s="6">
        <f>INT(B6274)</f>
        <v/>
      </c>
      <c r="G6274" s="6">
        <f>INT(C6274)</f>
        <v/>
      </c>
    </row>
    <row r="6275">
      <c r="A6275" s="2" t="inlineStr">
        <is>
          <t>EXD61</t>
        </is>
      </c>
      <c r="B6275" s="3" t="n">
        <v>46122.68730324074</v>
      </c>
      <c r="C6275" s="3" t="n">
        <v>46122.75</v>
      </c>
      <c r="D6275" s="4">
        <f>(C6275-B6275)*24</f>
        <v/>
      </c>
      <c r="E6275" s="5">
        <f>IF(AND(HOUR(B6275)&gt;=6,HOUR(B6275)&lt;18),"Day Shift","Night Shift")</f>
        <v/>
      </c>
      <c r="F6275" s="6">
        <f>INT(B6275)</f>
        <v/>
      </c>
      <c r="G6275" s="6">
        <f>INT(C6275)</f>
        <v/>
      </c>
    </row>
    <row r="6276">
      <c r="A6276" s="7" t="inlineStr">
        <is>
          <t>EXD61</t>
        </is>
      </c>
      <c r="B6276" s="8" t="n">
        <v>46122.75</v>
      </c>
      <c r="C6276" s="8" t="n">
        <v>46123.25</v>
      </c>
      <c r="D6276" s="9">
        <f>(C6276-B6276)*24</f>
        <v/>
      </c>
      <c r="E6276" s="10">
        <f>IF(AND(HOUR(B6276)&gt;=6,HOUR(B6276)&lt;18),"Day Shift","Night Shift")</f>
        <v/>
      </c>
      <c r="F6276" s="11">
        <f>INT(B6276)</f>
        <v/>
      </c>
      <c r="G6276" s="11">
        <f>INT(C6276)</f>
        <v/>
      </c>
    </row>
    <row r="6277">
      <c r="A6277" s="2" t="inlineStr">
        <is>
          <t>EXD61</t>
        </is>
      </c>
      <c r="B6277" s="3" t="n">
        <v>46123.25</v>
      </c>
      <c r="C6277" s="3" t="n">
        <v>46123.34184027778</v>
      </c>
      <c r="D6277" s="4">
        <f>(C6277-B6277)*24</f>
        <v/>
      </c>
      <c r="E6277" s="5">
        <f>IF(AND(HOUR(B6277)&gt;=6,HOUR(B6277)&lt;18),"Day Shift","Night Shift")</f>
        <v/>
      </c>
      <c r="F6277" s="6">
        <f>INT(B6277)</f>
        <v/>
      </c>
      <c r="G6277" s="6">
        <f>INT(C6277)</f>
        <v/>
      </c>
    </row>
    <row r="6278">
      <c r="A6278" s="2" t="inlineStr">
        <is>
          <t>EXD51</t>
        </is>
      </c>
      <c r="B6278" s="3" t="n">
        <v>46122.69680555556</v>
      </c>
      <c r="C6278" s="3" t="n">
        <v>46122.75</v>
      </c>
      <c r="D6278" s="4">
        <f>(C6278-B6278)*24</f>
        <v/>
      </c>
      <c r="E6278" s="5">
        <f>IF(AND(HOUR(B6278)&gt;=6,HOUR(B6278)&lt;18),"Day Shift","Night Shift")</f>
        <v/>
      </c>
      <c r="F6278" s="6">
        <f>INT(B6278)</f>
        <v/>
      </c>
      <c r="G6278" s="6">
        <f>INT(C6278)</f>
        <v/>
      </c>
    </row>
    <row r="6279">
      <c r="A6279" s="7" t="inlineStr">
        <is>
          <t>EXD51</t>
        </is>
      </c>
      <c r="B6279" s="8" t="n">
        <v>46122.75</v>
      </c>
      <c r="C6279" s="8" t="n">
        <v>46123.25</v>
      </c>
      <c r="D6279" s="9">
        <f>(C6279-B6279)*24</f>
        <v/>
      </c>
      <c r="E6279" s="10">
        <f>IF(AND(HOUR(B6279)&gt;=6,HOUR(B6279)&lt;18),"Day Shift","Night Shift")</f>
        <v/>
      </c>
      <c r="F6279" s="11">
        <f>INT(B6279)</f>
        <v/>
      </c>
      <c r="G6279" s="11">
        <f>INT(C6279)</f>
        <v/>
      </c>
    </row>
    <row r="6280">
      <c r="A6280" s="2" t="inlineStr">
        <is>
          <t>EXD51</t>
        </is>
      </c>
      <c r="B6280" s="3" t="n">
        <v>46123.25</v>
      </c>
      <c r="C6280" s="3" t="n">
        <v>46123.75</v>
      </c>
      <c r="D6280" s="4">
        <f>(C6280-B6280)*24</f>
        <v/>
      </c>
      <c r="E6280" s="5">
        <f>IF(AND(HOUR(B6280)&gt;=6,HOUR(B6280)&lt;18),"Day Shift","Night Shift")</f>
        <v/>
      </c>
      <c r="F6280" s="6">
        <f>INT(B6280)</f>
        <v/>
      </c>
      <c r="G6280" s="6">
        <f>INT(C6280)</f>
        <v/>
      </c>
    </row>
    <row r="6281">
      <c r="A6281" s="7" t="inlineStr">
        <is>
          <t>EXD51</t>
        </is>
      </c>
      <c r="B6281" s="8" t="n">
        <v>46123.75</v>
      </c>
      <c r="C6281" s="8" t="n">
        <v>46124.15076388889</v>
      </c>
      <c r="D6281" s="9">
        <f>(C6281-B6281)*24</f>
        <v/>
      </c>
      <c r="E6281" s="10">
        <f>IF(AND(HOUR(B6281)&gt;=6,HOUR(B6281)&lt;18),"Day Shift","Night Shift")</f>
        <v/>
      </c>
      <c r="F6281" s="11">
        <f>INT(B6281)</f>
        <v/>
      </c>
      <c r="G6281" s="11">
        <f>INT(C6281)</f>
        <v/>
      </c>
    </row>
    <row r="6282">
      <c r="A6282" s="2" t="inlineStr">
        <is>
          <t>EXD408</t>
        </is>
      </c>
      <c r="B6282" s="3" t="n">
        <v>46122.74537037037</v>
      </c>
      <c r="C6282" s="3" t="n">
        <v>46122.75</v>
      </c>
      <c r="D6282" s="4">
        <f>(C6282-B6282)*24</f>
        <v/>
      </c>
      <c r="E6282" s="5">
        <f>IF(AND(HOUR(B6282)&gt;=6,HOUR(B6282)&lt;18),"Day Shift","Night Shift")</f>
        <v/>
      </c>
      <c r="F6282" s="6">
        <f>INT(B6282)</f>
        <v/>
      </c>
      <c r="G6282" s="6">
        <f>INT(C6282)</f>
        <v/>
      </c>
    </row>
    <row r="6283">
      <c r="A6283" s="7" t="inlineStr">
        <is>
          <t>EXD408</t>
        </is>
      </c>
      <c r="B6283" s="8" t="n">
        <v>46122.75</v>
      </c>
      <c r="C6283" s="8" t="n">
        <v>46123.25</v>
      </c>
      <c r="D6283" s="9">
        <f>(C6283-B6283)*24</f>
        <v/>
      </c>
      <c r="E6283" s="10">
        <f>IF(AND(HOUR(B6283)&gt;=6,HOUR(B6283)&lt;18),"Day Shift","Night Shift")</f>
        <v/>
      </c>
      <c r="F6283" s="11">
        <f>INT(B6283)</f>
        <v/>
      </c>
      <c r="G6283" s="11">
        <f>INT(C6283)</f>
        <v/>
      </c>
    </row>
    <row r="6284">
      <c r="A6284" s="2" t="inlineStr">
        <is>
          <t>EXD408</t>
        </is>
      </c>
      <c r="B6284" s="3" t="n">
        <v>46123.25</v>
      </c>
      <c r="C6284" s="3" t="n">
        <v>46123.5124537037</v>
      </c>
      <c r="D6284" s="4">
        <f>(C6284-B6284)*24</f>
        <v/>
      </c>
      <c r="E6284" s="5">
        <f>IF(AND(HOUR(B6284)&gt;=6,HOUR(B6284)&lt;18),"Day Shift","Night Shift")</f>
        <v/>
      </c>
      <c r="F6284" s="6">
        <f>INT(B6284)</f>
        <v/>
      </c>
      <c r="G6284" s="6">
        <f>INT(C6284)</f>
        <v/>
      </c>
    </row>
    <row r="6285">
      <c r="A6285" s="7" t="inlineStr">
        <is>
          <t>LDW262</t>
        </is>
      </c>
      <c r="B6285" s="8" t="n">
        <v>46122.77167824074</v>
      </c>
      <c r="C6285" s="8" t="n">
        <v>46123.25</v>
      </c>
      <c r="D6285" s="9">
        <f>(C6285-B6285)*24</f>
        <v/>
      </c>
      <c r="E6285" s="10">
        <f>IF(AND(HOUR(B6285)&gt;=6,HOUR(B6285)&lt;18),"Day Shift","Night Shift")</f>
        <v/>
      </c>
      <c r="F6285" s="11">
        <f>INT(B6285)</f>
        <v/>
      </c>
      <c r="G6285" s="11">
        <f>INT(C6285)</f>
        <v/>
      </c>
    </row>
    <row r="6286">
      <c r="A6286" s="2" t="inlineStr">
        <is>
          <t>LDW262</t>
        </is>
      </c>
      <c r="B6286" s="3" t="n">
        <v>46123.25</v>
      </c>
      <c r="C6286" s="3" t="n">
        <v>46123.40332175926</v>
      </c>
      <c r="D6286" s="4">
        <f>(C6286-B6286)*24</f>
        <v/>
      </c>
      <c r="E6286" s="5">
        <f>IF(AND(HOUR(B6286)&gt;=6,HOUR(B6286)&lt;18),"Day Shift","Night Shift")</f>
        <v/>
      </c>
      <c r="F6286" s="6">
        <f>INT(B6286)</f>
        <v/>
      </c>
      <c r="G6286" s="6">
        <f>INT(C6286)</f>
        <v/>
      </c>
    </row>
    <row r="6287">
      <c r="A6287" s="7" t="inlineStr">
        <is>
          <t>EXD73</t>
        </is>
      </c>
      <c r="B6287" s="8" t="n">
        <v>46122.86543981481</v>
      </c>
      <c r="C6287" s="8" t="n">
        <v>46123.25</v>
      </c>
      <c r="D6287" s="9">
        <f>(C6287-B6287)*24</f>
        <v/>
      </c>
      <c r="E6287" s="10">
        <f>IF(AND(HOUR(B6287)&gt;=6,HOUR(B6287)&lt;18),"Day Shift","Night Shift")</f>
        <v/>
      </c>
      <c r="F6287" s="11">
        <f>INT(B6287)</f>
        <v/>
      </c>
      <c r="G6287" s="11">
        <f>INT(C6287)</f>
        <v/>
      </c>
    </row>
    <row r="6288">
      <c r="A6288" s="2" t="inlineStr">
        <is>
          <t>EXD73</t>
        </is>
      </c>
      <c r="B6288" s="3" t="n">
        <v>46123.25</v>
      </c>
      <c r="C6288" s="3" t="n">
        <v>46123.75</v>
      </c>
      <c r="D6288" s="4">
        <f>(C6288-B6288)*24</f>
        <v/>
      </c>
      <c r="E6288" s="5">
        <f>IF(AND(HOUR(B6288)&gt;=6,HOUR(B6288)&lt;18),"Day Shift","Night Shift")</f>
        <v/>
      </c>
      <c r="F6288" s="6">
        <f>INT(B6288)</f>
        <v/>
      </c>
      <c r="G6288" s="6">
        <f>INT(C6288)</f>
        <v/>
      </c>
    </row>
    <row r="6289">
      <c r="A6289" s="7" t="inlineStr">
        <is>
          <t>EXD73</t>
        </is>
      </c>
      <c r="B6289" s="8" t="n">
        <v>46123.75</v>
      </c>
      <c r="C6289" s="8" t="n">
        <v>46123.88476851852</v>
      </c>
      <c r="D6289" s="9">
        <f>(C6289-B6289)*24</f>
        <v/>
      </c>
      <c r="E6289" s="10">
        <f>IF(AND(HOUR(B6289)&gt;=6,HOUR(B6289)&lt;18),"Day Shift","Night Shift")</f>
        <v/>
      </c>
      <c r="F6289" s="11">
        <f>INT(B6289)</f>
        <v/>
      </c>
      <c r="G6289" s="11">
        <f>INT(C6289)</f>
        <v/>
      </c>
    </row>
    <row r="6290">
      <c r="A6290" s="7" t="inlineStr">
        <is>
          <t>EXD98</t>
        </is>
      </c>
      <c r="B6290" s="8" t="n">
        <v>46122.9296412037</v>
      </c>
      <c r="C6290" s="8" t="n">
        <v>46123.25</v>
      </c>
      <c r="D6290" s="9">
        <f>(C6290-B6290)*24</f>
        <v/>
      </c>
      <c r="E6290" s="10">
        <f>IF(AND(HOUR(B6290)&gt;=6,HOUR(B6290)&lt;18),"Day Shift","Night Shift")</f>
        <v/>
      </c>
      <c r="F6290" s="11">
        <f>INT(B6290)</f>
        <v/>
      </c>
      <c r="G6290" s="11">
        <f>INT(C6290)</f>
        <v/>
      </c>
    </row>
    <row r="6291">
      <c r="A6291" s="2" t="inlineStr">
        <is>
          <t>EXD98</t>
        </is>
      </c>
      <c r="B6291" s="3" t="n">
        <v>46123.25</v>
      </c>
      <c r="C6291" s="3" t="n">
        <v>46123.53037037037</v>
      </c>
      <c r="D6291" s="4">
        <f>(C6291-B6291)*24</f>
        <v/>
      </c>
      <c r="E6291" s="5">
        <f>IF(AND(HOUR(B6291)&gt;=6,HOUR(B6291)&lt;18),"Day Shift","Night Shift")</f>
        <v/>
      </c>
      <c r="F6291" s="6">
        <f>INT(B6291)</f>
        <v/>
      </c>
      <c r="G6291" s="6">
        <f>INT(C6291)</f>
        <v/>
      </c>
    </row>
    <row r="6292">
      <c r="A6292" s="7" t="inlineStr">
        <is>
          <t>LDW265</t>
        </is>
      </c>
      <c r="B6292" s="8" t="n">
        <v>46123.03414351852</v>
      </c>
      <c r="C6292" s="8" t="n">
        <v>46123.25</v>
      </c>
      <c r="D6292" s="9">
        <f>(C6292-B6292)*24</f>
        <v/>
      </c>
      <c r="E6292" s="10">
        <f>IF(AND(HOUR(B6292)&gt;=6,HOUR(B6292)&lt;18),"Day Shift","Night Shift")</f>
        <v/>
      </c>
      <c r="F6292" s="11">
        <f>INT(B6292)</f>
        <v/>
      </c>
      <c r="G6292" s="11">
        <f>INT(C6292)</f>
        <v/>
      </c>
    </row>
    <row r="6293">
      <c r="A6293" s="2" t="inlineStr">
        <is>
          <t>LDW265</t>
        </is>
      </c>
      <c r="B6293" s="3" t="n">
        <v>46123.25</v>
      </c>
      <c r="C6293" s="3" t="n">
        <v>46123.36185185185</v>
      </c>
      <c r="D6293" s="4">
        <f>(C6293-B6293)*24</f>
        <v/>
      </c>
      <c r="E6293" s="5">
        <f>IF(AND(HOUR(B6293)&gt;=6,HOUR(B6293)&lt;18),"Day Shift","Night Shift")</f>
        <v/>
      </c>
      <c r="F6293" s="6">
        <f>INT(B6293)</f>
        <v/>
      </c>
      <c r="G6293" s="6">
        <f>INT(C6293)</f>
        <v/>
      </c>
    </row>
    <row r="6294">
      <c r="A6294" s="7" t="inlineStr">
        <is>
          <t>Sprint 1</t>
        </is>
      </c>
      <c r="B6294" s="8" t="n">
        <v>46123.04513888889</v>
      </c>
      <c r="C6294" s="8" t="n">
        <v>46123.25</v>
      </c>
      <c r="D6294" s="9">
        <f>(C6294-B6294)*24</f>
        <v/>
      </c>
      <c r="E6294" s="10">
        <f>IF(AND(HOUR(B6294)&gt;=6,HOUR(B6294)&lt;18),"Day Shift","Night Shift")</f>
        <v/>
      </c>
      <c r="F6294" s="11">
        <f>INT(B6294)</f>
        <v/>
      </c>
      <c r="G6294" s="11">
        <f>INT(C6294)</f>
        <v/>
      </c>
    </row>
    <row r="6295">
      <c r="A6295" s="2" t="inlineStr">
        <is>
          <t>Sprint 1</t>
        </is>
      </c>
      <c r="B6295" s="3" t="n">
        <v>46123.25</v>
      </c>
      <c r="C6295" s="3" t="n">
        <v>46123.5121412037</v>
      </c>
      <c r="D6295" s="4">
        <f>(C6295-B6295)*24</f>
        <v/>
      </c>
      <c r="E6295" s="5">
        <f>IF(AND(HOUR(B6295)&gt;=6,HOUR(B6295)&lt;18),"Day Shift","Night Shift")</f>
        <v/>
      </c>
      <c r="F6295" s="6">
        <f>INT(B6295)</f>
        <v/>
      </c>
      <c r="G6295" s="6">
        <f>INT(C6295)</f>
        <v/>
      </c>
    </row>
    <row r="6296">
      <c r="A6296" s="7" t="inlineStr">
        <is>
          <t>SHE36</t>
        </is>
      </c>
      <c r="B6296" s="8" t="n">
        <v>46123.08296296297</v>
      </c>
      <c r="C6296" s="8" t="n">
        <v>46123.25</v>
      </c>
      <c r="D6296" s="9">
        <f>(C6296-B6296)*24</f>
        <v/>
      </c>
      <c r="E6296" s="10">
        <f>IF(AND(HOUR(B6296)&gt;=6,HOUR(B6296)&lt;18),"Day Shift","Night Shift")</f>
        <v/>
      </c>
      <c r="F6296" s="11">
        <f>INT(B6296)</f>
        <v/>
      </c>
      <c r="G6296" s="11">
        <f>INT(C6296)</f>
        <v/>
      </c>
    </row>
    <row r="6297">
      <c r="A6297" s="2" t="inlineStr">
        <is>
          <t>SHE36</t>
        </is>
      </c>
      <c r="B6297" s="3" t="n">
        <v>46123.25</v>
      </c>
      <c r="C6297" s="3" t="n">
        <v>46123.75</v>
      </c>
      <c r="D6297" s="4">
        <f>(C6297-B6297)*24</f>
        <v/>
      </c>
      <c r="E6297" s="5">
        <f>IF(AND(HOUR(B6297)&gt;=6,HOUR(B6297)&lt;18),"Day Shift","Night Shift")</f>
        <v/>
      </c>
      <c r="F6297" s="6">
        <f>INT(B6297)</f>
        <v/>
      </c>
      <c r="G6297" s="6">
        <f>INT(C6297)</f>
        <v/>
      </c>
    </row>
    <row r="6298">
      <c r="A6298" s="7" t="inlineStr">
        <is>
          <t>SHE36</t>
        </is>
      </c>
      <c r="B6298" s="8" t="n">
        <v>46123.75</v>
      </c>
      <c r="C6298" s="8" t="n">
        <v>46124.25</v>
      </c>
      <c r="D6298" s="9">
        <f>(C6298-B6298)*24</f>
        <v/>
      </c>
      <c r="E6298" s="10">
        <f>IF(AND(HOUR(B6298)&gt;=6,HOUR(B6298)&lt;18),"Day Shift","Night Shift")</f>
        <v/>
      </c>
      <c r="F6298" s="11">
        <f>INT(B6298)</f>
        <v/>
      </c>
      <c r="G6298" s="11">
        <f>INT(C6298)</f>
        <v/>
      </c>
    </row>
    <row r="6299">
      <c r="A6299" s="2" t="inlineStr">
        <is>
          <t>SHE36</t>
        </is>
      </c>
      <c r="B6299" s="3" t="n">
        <v>46124.25</v>
      </c>
      <c r="C6299" s="3" t="n">
        <v>46124.33837962963</v>
      </c>
      <c r="D6299" s="4">
        <f>(C6299-B6299)*24</f>
        <v/>
      </c>
      <c r="E6299" s="5">
        <f>IF(AND(HOUR(B6299)&gt;=6,HOUR(B6299)&lt;18),"Day Shift","Night Shift")</f>
        <v/>
      </c>
      <c r="F6299" s="6">
        <f>INT(B6299)</f>
        <v/>
      </c>
      <c r="G6299" s="6">
        <f>INT(C6299)</f>
        <v/>
      </c>
    </row>
    <row r="6300">
      <c r="A6300" s="7" t="inlineStr">
        <is>
          <t>EDD175;EDD1932;EDD2134;EDD2541;EDD812</t>
        </is>
      </c>
      <c r="B6300" s="8" t="n">
        <v>46123.09907407407</v>
      </c>
      <c r="C6300" s="8" t="n">
        <v>46123.25</v>
      </c>
      <c r="D6300" s="9">
        <f>(C6300-B6300)*24</f>
        <v/>
      </c>
      <c r="E6300" s="10">
        <f>IF(AND(HOUR(B6300)&gt;=6,HOUR(B6300)&lt;18),"Day Shift","Night Shift")</f>
        <v/>
      </c>
      <c r="F6300" s="11">
        <f>INT(B6300)</f>
        <v/>
      </c>
      <c r="G6300" s="11">
        <f>INT(C6300)</f>
        <v/>
      </c>
    </row>
    <row r="6301">
      <c r="A6301" s="2" t="inlineStr">
        <is>
          <t>EDD175;EDD1932;EDD2134;EDD2541;EDD812</t>
        </is>
      </c>
      <c r="B6301" s="3" t="n">
        <v>46123.25</v>
      </c>
      <c r="C6301" s="3" t="n">
        <v>46123.59016203704</v>
      </c>
      <c r="D6301" s="4">
        <f>(C6301-B6301)*24</f>
        <v/>
      </c>
      <c r="E6301" s="5">
        <f>IF(AND(HOUR(B6301)&gt;=6,HOUR(B6301)&lt;18),"Day Shift","Night Shift")</f>
        <v/>
      </c>
      <c r="F6301" s="6">
        <f>INT(B6301)</f>
        <v/>
      </c>
      <c r="G6301" s="6">
        <f>INT(C6301)</f>
        <v/>
      </c>
    </row>
    <row r="6302">
      <c r="A6302" s="7" t="inlineStr">
        <is>
          <t>EXD407</t>
        </is>
      </c>
      <c r="B6302" s="8" t="n">
        <v>46123.14472222222</v>
      </c>
      <c r="C6302" s="8" t="n">
        <v>46123.25</v>
      </c>
      <c r="D6302" s="9">
        <f>(C6302-B6302)*24</f>
        <v/>
      </c>
      <c r="E6302" s="10">
        <f>IF(AND(HOUR(B6302)&gt;=6,HOUR(B6302)&lt;18),"Day Shift","Night Shift")</f>
        <v/>
      </c>
      <c r="F6302" s="11">
        <f>INT(B6302)</f>
        <v/>
      </c>
      <c r="G6302" s="11">
        <f>INT(C6302)</f>
        <v/>
      </c>
    </row>
    <row r="6303">
      <c r="A6303" s="2" t="inlineStr">
        <is>
          <t>EXD407</t>
        </is>
      </c>
      <c r="B6303" s="3" t="n">
        <v>46123.25</v>
      </c>
      <c r="C6303" s="3" t="n">
        <v>46123.75</v>
      </c>
      <c r="D6303" s="4">
        <f>(C6303-B6303)*24</f>
        <v/>
      </c>
      <c r="E6303" s="5">
        <f>IF(AND(HOUR(B6303)&gt;=6,HOUR(B6303)&lt;18),"Day Shift","Night Shift")</f>
        <v/>
      </c>
      <c r="F6303" s="6">
        <f>INT(B6303)</f>
        <v/>
      </c>
      <c r="G6303" s="6">
        <f>INT(C6303)</f>
        <v/>
      </c>
    </row>
    <row r="6304">
      <c r="A6304" s="7" t="inlineStr">
        <is>
          <t>EXD407</t>
        </is>
      </c>
      <c r="B6304" s="8" t="n">
        <v>46123.75</v>
      </c>
      <c r="C6304" s="8" t="n">
        <v>46124.25</v>
      </c>
      <c r="D6304" s="9">
        <f>(C6304-B6304)*24</f>
        <v/>
      </c>
      <c r="E6304" s="10">
        <f>IF(AND(HOUR(B6304)&gt;=6,HOUR(B6304)&lt;18),"Day Shift","Night Shift")</f>
        <v/>
      </c>
      <c r="F6304" s="11">
        <f>INT(B6304)</f>
        <v/>
      </c>
      <c r="G6304" s="11">
        <f>INT(C6304)</f>
        <v/>
      </c>
    </row>
    <row r="6305">
      <c r="A6305" s="2" t="inlineStr">
        <is>
          <t>EXD407</t>
        </is>
      </c>
      <c r="B6305" s="3" t="n">
        <v>46124.25</v>
      </c>
      <c r="C6305" s="3" t="n">
        <v>46124.67886574074</v>
      </c>
      <c r="D6305" s="4">
        <f>(C6305-B6305)*24</f>
        <v/>
      </c>
      <c r="E6305" s="5">
        <f>IF(AND(HOUR(B6305)&gt;=6,HOUR(B6305)&lt;18),"Day Shift","Night Shift")</f>
        <v/>
      </c>
      <c r="F6305" s="6">
        <f>INT(B6305)</f>
        <v/>
      </c>
      <c r="G6305" s="6">
        <f>INT(C6305)</f>
        <v/>
      </c>
    </row>
    <row r="6306">
      <c r="A6306" s="7" t="inlineStr">
        <is>
          <t>EXD56</t>
        </is>
      </c>
      <c r="B6306" s="8" t="n">
        <v>46123.23486111111</v>
      </c>
      <c r="C6306" s="8" t="n">
        <v>46123.25</v>
      </c>
      <c r="D6306" s="9">
        <f>(C6306-B6306)*24</f>
        <v/>
      </c>
      <c r="E6306" s="10">
        <f>IF(AND(HOUR(B6306)&gt;=6,HOUR(B6306)&lt;18),"Day Shift","Night Shift")</f>
        <v/>
      </c>
      <c r="F6306" s="11">
        <f>INT(B6306)</f>
        <v/>
      </c>
      <c r="G6306" s="11">
        <f>INT(C6306)</f>
        <v/>
      </c>
    </row>
    <row r="6307">
      <c r="A6307" s="2" t="inlineStr">
        <is>
          <t>EXD56</t>
        </is>
      </c>
      <c r="B6307" s="3" t="n">
        <v>46123.25</v>
      </c>
      <c r="C6307" s="3" t="n">
        <v>46123.75</v>
      </c>
      <c r="D6307" s="4">
        <f>(C6307-B6307)*24</f>
        <v/>
      </c>
      <c r="E6307" s="5">
        <f>IF(AND(HOUR(B6307)&gt;=6,HOUR(B6307)&lt;18),"Day Shift","Night Shift")</f>
        <v/>
      </c>
      <c r="F6307" s="6">
        <f>INT(B6307)</f>
        <v/>
      </c>
      <c r="G6307" s="6">
        <f>INT(C6307)</f>
        <v/>
      </c>
    </row>
    <row r="6308">
      <c r="A6308" s="7" t="inlineStr">
        <is>
          <t>EXD56</t>
        </is>
      </c>
      <c r="B6308" s="8" t="n">
        <v>46123.75</v>
      </c>
      <c r="C6308" s="8" t="n">
        <v>46124.25</v>
      </c>
      <c r="D6308" s="9">
        <f>(C6308-B6308)*24</f>
        <v/>
      </c>
      <c r="E6308" s="10">
        <f>IF(AND(HOUR(B6308)&gt;=6,HOUR(B6308)&lt;18),"Day Shift","Night Shift")</f>
        <v/>
      </c>
      <c r="F6308" s="11">
        <f>INT(B6308)</f>
        <v/>
      </c>
      <c r="G6308" s="11">
        <f>INT(C6308)</f>
        <v/>
      </c>
    </row>
    <row r="6309">
      <c r="A6309" s="2" t="inlineStr">
        <is>
          <t>EXD56</t>
        </is>
      </c>
      <c r="B6309" s="3" t="n">
        <v>46124.25</v>
      </c>
      <c r="C6309" s="3" t="n">
        <v>46124.75</v>
      </c>
      <c r="D6309" s="4">
        <f>(C6309-B6309)*24</f>
        <v/>
      </c>
      <c r="E6309" s="5">
        <f>IF(AND(HOUR(B6309)&gt;=6,HOUR(B6309)&lt;18),"Day Shift","Night Shift")</f>
        <v/>
      </c>
      <c r="F6309" s="6">
        <f>INT(B6309)</f>
        <v/>
      </c>
      <c r="G6309" s="6">
        <f>INT(C6309)</f>
        <v/>
      </c>
    </row>
    <row r="6310">
      <c r="A6310" s="7" t="inlineStr">
        <is>
          <t>EXD56</t>
        </is>
      </c>
      <c r="B6310" s="8" t="n">
        <v>46124.75</v>
      </c>
      <c r="C6310" s="8" t="n">
        <v>46125.03768518518</v>
      </c>
      <c r="D6310" s="9">
        <f>(C6310-B6310)*24</f>
        <v/>
      </c>
      <c r="E6310" s="10">
        <f>IF(AND(HOUR(B6310)&gt;=6,HOUR(B6310)&lt;18),"Day Shift","Night Shift")</f>
        <v/>
      </c>
      <c r="F6310" s="11">
        <f>INT(B6310)</f>
        <v/>
      </c>
      <c r="G6310" s="11">
        <f>INT(C6310)</f>
        <v/>
      </c>
    </row>
    <row r="6311">
      <c r="A6311" s="2" t="inlineStr">
        <is>
          <t>EXD61</t>
        </is>
      </c>
      <c r="B6311" s="3" t="n">
        <v>46123.34184027778</v>
      </c>
      <c r="C6311" s="3" t="n">
        <v>46123.75</v>
      </c>
      <c r="D6311" s="4">
        <f>(C6311-B6311)*24</f>
        <v/>
      </c>
      <c r="E6311" s="5">
        <f>IF(AND(HOUR(B6311)&gt;=6,HOUR(B6311)&lt;18),"Day Shift","Night Shift")</f>
        <v/>
      </c>
      <c r="F6311" s="6">
        <f>INT(B6311)</f>
        <v/>
      </c>
      <c r="G6311" s="6">
        <f>INT(C6311)</f>
        <v/>
      </c>
    </row>
    <row r="6312">
      <c r="A6312" s="7" t="inlineStr">
        <is>
          <t>EXD61</t>
        </is>
      </c>
      <c r="B6312" s="8" t="n">
        <v>46123.75</v>
      </c>
      <c r="C6312" s="8" t="n">
        <v>46124.09550925926</v>
      </c>
      <c r="D6312" s="9">
        <f>(C6312-B6312)*24</f>
        <v/>
      </c>
      <c r="E6312" s="10">
        <f>IF(AND(HOUR(B6312)&gt;=6,HOUR(B6312)&lt;18),"Day Shift","Night Shift")</f>
        <v/>
      </c>
      <c r="F6312" s="11">
        <f>INT(B6312)</f>
        <v/>
      </c>
      <c r="G6312" s="11">
        <f>INT(C6312)</f>
        <v/>
      </c>
    </row>
    <row r="6313">
      <c r="A6313" s="2" t="inlineStr">
        <is>
          <t>LDW265</t>
        </is>
      </c>
      <c r="B6313" s="3" t="n">
        <v>46123.36185185185</v>
      </c>
      <c r="C6313" s="3" t="n">
        <v>46123.75</v>
      </c>
      <c r="D6313" s="4">
        <f>(C6313-B6313)*24</f>
        <v/>
      </c>
      <c r="E6313" s="5">
        <f>IF(AND(HOUR(B6313)&gt;=6,HOUR(B6313)&lt;18),"Day Shift","Night Shift")</f>
        <v/>
      </c>
      <c r="F6313" s="6">
        <f>INT(B6313)</f>
        <v/>
      </c>
      <c r="G6313" s="6">
        <f>INT(C6313)</f>
        <v/>
      </c>
    </row>
    <row r="6314">
      <c r="A6314" s="7" t="inlineStr">
        <is>
          <t>LDW265</t>
        </is>
      </c>
      <c r="B6314" s="8" t="n">
        <v>46123.75</v>
      </c>
      <c r="C6314" s="8" t="n">
        <v>46124.25</v>
      </c>
      <c r="D6314" s="9">
        <f>(C6314-B6314)*24</f>
        <v/>
      </c>
      <c r="E6314" s="10">
        <f>IF(AND(HOUR(B6314)&gt;=6,HOUR(B6314)&lt;18),"Day Shift","Night Shift")</f>
        <v/>
      </c>
      <c r="F6314" s="11">
        <f>INT(B6314)</f>
        <v/>
      </c>
      <c r="G6314" s="11">
        <f>INT(C6314)</f>
        <v/>
      </c>
    </row>
    <row r="6315">
      <c r="A6315" s="2" t="inlineStr">
        <is>
          <t>LDW265</t>
        </is>
      </c>
      <c r="B6315" s="3" t="n">
        <v>46124.25</v>
      </c>
      <c r="C6315" s="3" t="n">
        <v>46124.55950231481</v>
      </c>
      <c r="D6315" s="4">
        <f>(C6315-B6315)*24</f>
        <v/>
      </c>
      <c r="E6315" s="5">
        <f>IF(AND(HOUR(B6315)&gt;=6,HOUR(B6315)&lt;18),"Day Shift","Night Shift")</f>
        <v/>
      </c>
      <c r="F6315" s="6">
        <f>INT(B6315)</f>
        <v/>
      </c>
      <c r="G6315" s="6">
        <f>INT(C6315)</f>
        <v/>
      </c>
    </row>
    <row r="6316">
      <c r="A6316" s="2" t="inlineStr">
        <is>
          <t>LDW262</t>
        </is>
      </c>
      <c r="B6316" s="3" t="n">
        <v>46123.40332175926</v>
      </c>
      <c r="C6316" s="3" t="n">
        <v>46123.75</v>
      </c>
      <c r="D6316" s="4">
        <f>(C6316-B6316)*24</f>
        <v/>
      </c>
      <c r="E6316" s="5">
        <f>IF(AND(HOUR(B6316)&gt;=6,HOUR(B6316)&lt;18),"Day Shift","Night Shift")</f>
        <v/>
      </c>
      <c r="F6316" s="6">
        <f>INT(B6316)</f>
        <v/>
      </c>
      <c r="G6316" s="6">
        <f>INT(C6316)</f>
        <v/>
      </c>
    </row>
    <row r="6317">
      <c r="A6317" s="7" t="inlineStr">
        <is>
          <t>LDW262</t>
        </is>
      </c>
      <c r="B6317" s="8" t="n">
        <v>46123.75</v>
      </c>
      <c r="C6317" s="8" t="n">
        <v>46124.24083333334</v>
      </c>
      <c r="D6317" s="9">
        <f>(C6317-B6317)*24</f>
        <v/>
      </c>
      <c r="E6317" s="10">
        <f>IF(AND(HOUR(B6317)&gt;=6,HOUR(B6317)&lt;18),"Day Shift","Night Shift")</f>
        <v/>
      </c>
      <c r="F6317" s="11">
        <f>INT(B6317)</f>
        <v/>
      </c>
      <c r="G6317" s="11">
        <f>INT(C6317)</f>
        <v/>
      </c>
    </row>
    <row r="6318">
      <c r="A6318" s="2" t="inlineStr">
        <is>
          <t>EXD100</t>
        </is>
      </c>
      <c r="B6318" s="3" t="n">
        <v>46123.41134259259</v>
      </c>
      <c r="C6318" s="3" t="n">
        <v>46123.75</v>
      </c>
      <c r="D6318" s="4">
        <f>(C6318-B6318)*24</f>
        <v/>
      </c>
      <c r="E6318" s="5">
        <f>IF(AND(HOUR(B6318)&gt;=6,HOUR(B6318)&lt;18),"Day Shift","Night Shift")</f>
        <v/>
      </c>
      <c r="F6318" s="6">
        <f>INT(B6318)</f>
        <v/>
      </c>
      <c r="G6318" s="6">
        <f>INT(C6318)</f>
        <v/>
      </c>
    </row>
    <row r="6319">
      <c r="A6319" s="7" t="inlineStr">
        <is>
          <t>EXD100</t>
        </is>
      </c>
      <c r="B6319" s="8" t="n">
        <v>46123.75</v>
      </c>
      <c r="C6319" s="8" t="n">
        <v>46124.25</v>
      </c>
      <c r="D6319" s="9">
        <f>(C6319-B6319)*24</f>
        <v/>
      </c>
      <c r="E6319" s="10">
        <f>IF(AND(HOUR(B6319)&gt;=6,HOUR(B6319)&lt;18),"Day Shift","Night Shift")</f>
        <v/>
      </c>
      <c r="F6319" s="11">
        <f>INT(B6319)</f>
        <v/>
      </c>
      <c r="G6319" s="11">
        <f>INT(C6319)</f>
        <v/>
      </c>
    </row>
    <row r="6320">
      <c r="A6320" s="2" t="inlineStr">
        <is>
          <t>EXD100</t>
        </is>
      </c>
      <c r="B6320" s="3" t="n">
        <v>46124.25</v>
      </c>
      <c r="C6320" s="3" t="n">
        <v>46124.39052083333</v>
      </c>
      <c r="D6320" s="4">
        <f>(C6320-B6320)*24</f>
        <v/>
      </c>
      <c r="E6320" s="5">
        <f>IF(AND(HOUR(B6320)&gt;=6,HOUR(B6320)&lt;18),"Day Shift","Night Shift")</f>
        <v/>
      </c>
      <c r="F6320" s="6">
        <f>INT(B6320)</f>
        <v/>
      </c>
      <c r="G6320" s="6">
        <f>INT(C6320)</f>
        <v/>
      </c>
    </row>
    <row r="6321">
      <c r="A6321" s="2" t="inlineStr">
        <is>
          <t>Sprint 1</t>
        </is>
      </c>
      <c r="B6321" s="3" t="n">
        <v>46123.5121412037</v>
      </c>
      <c r="C6321" s="3" t="n">
        <v>46123.75</v>
      </c>
      <c r="D6321" s="4">
        <f>(C6321-B6321)*24</f>
        <v/>
      </c>
      <c r="E6321" s="5">
        <f>IF(AND(HOUR(B6321)&gt;=6,HOUR(B6321)&lt;18),"Day Shift","Night Shift")</f>
        <v/>
      </c>
      <c r="F6321" s="6">
        <f>INT(B6321)</f>
        <v/>
      </c>
      <c r="G6321" s="6">
        <f>INT(C6321)</f>
        <v/>
      </c>
    </row>
    <row r="6322">
      <c r="A6322" s="7" t="inlineStr">
        <is>
          <t>Sprint 1</t>
        </is>
      </c>
      <c r="B6322" s="8" t="n">
        <v>46123.75</v>
      </c>
      <c r="C6322" s="8" t="n">
        <v>46124.25</v>
      </c>
      <c r="D6322" s="9">
        <f>(C6322-B6322)*24</f>
        <v/>
      </c>
      <c r="E6322" s="10">
        <f>IF(AND(HOUR(B6322)&gt;=6,HOUR(B6322)&lt;18),"Day Shift","Night Shift")</f>
        <v/>
      </c>
      <c r="F6322" s="11">
        <f>INT(B6322)</f>
        <v/>
      </c>
      <c r="G6322" s="11">
        <f>INT(C6322)</f>
        <v/>
      </c>
    </row>
    <row r="6323">
      <c r="A6323" s="2" t="inlineStr">
        <is>
          <t>Sprint 1</t>
        </is>
      </c>
      <c r="B6323" s="3" t="n">
        <v>46124.25</v>
      </c>
      <c r="C6323" s="3" t="n">
        <v>46124.34059027778</v>
      </c>
      <c r="D6323" s="4">
        <f>(C6323-B6323)*24</f>
        <v/>
      </c>
      <c r="E6323" s="5">
        <f>IF(AND(HOUR(B6323)&gt;=6,HOUR(B6323)&lt;18),"Day Shift","Night Shift")</f>
        <v/>
      </c>
      <c r="F6323" s="6">
        <f>INT(B6323)</f>
        <v/>
      </c>
      <c r="G6323" s="6">
        <f>INT(C6323)</f>
        <v/>
      </c>
    </row>
    <row r="6324">
      <c r="A6324" s="2" t="inlineStr">
        <is>
          <t>EXD408</t>
        </is>
      </c>
      <c r="B6324" s="3" t="n">
        <v>46123.5124537037</v>
      </c>
      <c r="C6324" s="3" t="n">
        <v>46123.75</v>
      </c>
      <c r="D6324" s="4">
        <f>(C6324-B6324)*24</f>
        <v/>
      </c>
      <c r="E6324" s="5">
        <f>IF(AND(HOUR(B6324)&gt;=6,HOUR(B6324)&lt;18),"Day Shift","Night Shift")</f>
        <v/>
      </c>
      <c r="F6324" s="6">
        <f>INT(B6324)</f>
        <v/>
      </c>
      <c r="G6324" s="6">
        <f>INT(C6324)</f>
        <v/>
      </c>
    </row>
    <row r="6325">
      <c r="A6325" s="7" t="inlineStr">
        <is>
          <t>EXD408</t>
        </is>
      </c>
      <c r="B6325" s="8" t="n">
        <v>46123.75</v>
      </c>
      <c r="C6325" s="8" t="n">
        <v>46124.25</v>
      </c>
      <c r="D6325" s="9">
        <f>(C6325-B6325)*24</f>
        <v/>
      </c>
      <c r="E6325" s="10">
        <f>IF(AND(HOUR(B6325)&gt;=6,HOUR(B6325)&lt;18),"Day Shift","Night Shift")</f>
        <v/>
      </c>
      <c r="F6325" s="11">
        <f>INT(B6325)</f>
        <v/>
      </c>
      <c r="G6325" s="11">
        <f>INT(C6325)</f>
        <v/>
      </c>
    </row>
    <row r="6326">
      <c r="A6326" s="2" t="inlineStr">
        <is>
          <t>EXD408</t>
        </is>
      </c>
      <c r="B6326" s="3" t="n">
        <v>46124.25</v>
      </c>
      <c r="C6326" s="3" t="n">
        <v>46124.69826388889</v>
      </c>
      <c r="D6326" s="4">
        <f>(C6326-B6326)*24</f>
        <v/>
      </c>
      <c r="E6326" s="5">
        <f>IF(AND(HOUR(B6326)&gt;=6,HOUR(B6326)&lt;18),"Day Shift","Night Shift")</f>
        <v/>
      </c>
      <c r="F6326" s="6">
        <f>INT(B6326)</f>
        <v/>
      </c>
      <c r="G6326" s="6">
        <f>INT(C6326)</f>
        <v/>
      </c>
    </row>
    <row r="6327">
      <c r="A6327" s="2" t="inlineStr">
        <is>
          <t>EXD98</t>
        </is>
      </c>
      <c r="B6327" s="3" t="n">
        <v>46123.53037037037</v>
      </c>
      <c r="C6327" s="3" t="n">
        <v>46123.75</v>
      </c>
      <c r="D6327" s="4">
        <f>(C6327-B6327)*24</f>
        <v/>
      </c>
      <c r="E6327" s="5">
        <f>IF(AND(HOUR(B6327)&gt;=6,HOUR(B6327)&lt;18),"Day Shift","Night Shift")</f>
        <v/>
      </c>
      <c r="F6327" s="6">
        <f>INT(B6327)</f>
        <v/>
      </c>
      <c r="G6327" s="6">
        <f>INT(C6327)</f>
        <v/>
      </c>
    </row>
    <row r="6328">
      <c r="A6328" s="7" t="inlineStr">
        <is>
          <t>EXD98</t>
        </is>
      </c>
      <c r="B6328" s="8" t="n">
        <v>46123.75</v>
      </c>
      <c r="C6328" s="8" t="n">
        <v>46124.01347222222</v>
      </c>
      <c r="D6328" s="9">
        <f>(C6328-B6328)*24</f>
        <v/>
      </c>
      <c r="E6328" s="10">
        <f>IF(AND(HOUR(B6328)&gt;=6,HOUR(B6328)&lt;18),"Day Shift","Night Shift")</f>
        <v/>
      </c>
      <c r="F6328" s="11">
        <f>INT(B6328)</f>
        <v/>
      </c>
      <c r="G6328" s="11">
        <f>INT(C6328)</f>
        <v/>
      </c>
    </row>
    <row r="6329">
      <c r="A6329" s="2" t="inlineStr">
        <is>
          <t>EXD55</t>
        </is>
      </c>
      <c r="B6329" s="3" t="n">
        <v>46123.56591435185</v>
      </c>
      <c r="C6329" s="3" t="n">
        <v>46123.75</v>
      </c>
      <c r="D6329" s="4">
        <f>(C6329-B6329)*24</f>
        <v/>
      </c>
      <c r="E6329" s="5">
        <f>IF(AND(HOUR(B6329)&gt;=6,HOUR(B6329)&lt;18),"Day Shift","Night Shift")</f>
        <v/>
      </c>
      <c r="F6329" s="6">
        <f>INT(B6329)</f>
        <v/>
      </c>
      <c r="G6329" s="6">
        <f>INT(C6329)</f>
        <v/>
      </c>
    </row>
    <row r="6330">
      <c r="A6330" s="7" t="inlineStr">
        <is>
          <t>EXD55</t>
        </is>
      </c>
      <c r="B6330" s="8" t="n">
        <v>46123.75</v>
      </c>
      <c r="C6330" s="8" t="n">
        <v>46124.22253472222</v>
      </c>
      <c r="D6330" s="9">
        <f>(C6330-B6330)*24</f>
        <v/>
      </c>
      <c r="E6330" s="10">
        <f>IF(AND(HOUR(B6330)&gt;=6,HOUR(B6330)&lt;18),"Day Shift","Night Shift")</f>
        <v/>
      </c>
      <c r="F6330" s="11">
        <f>INT(B6330)</f>
        <v/>
      </c>
      <c r="G6330" s="11">
        <f>INT(C6330)</f>
        <v/>
      </c>
    </row>
    <row r="6331">
      <c r="A6331" s="2" t="inlineStr">
        <is>
          <t>EXD101</t>
        </is>
      </c>
      <c r="B6331" s="3" t="n">
        <v>46123.584375</v>
      </c>
      <c r="C6331" s="3" t="n">
        <v>46123.75</v>
      </c>
      <c r="D6331" s="4">
        <f>(C6331-B6331)*24</f>
        <v/>
      </c>
      <c r="E6331" s="5">
        <f>IF(AND(HOUR(B6331)&gt;=6,HOUR(B6331)&lt;18),"Day Shift","Night Shift")</f>
        <v/>
      </c>
      <c r="F6331" s="6">
        <f>INT(B6331)</f>
        <v/>
      </c>
      <c r="G6331" s="6">
        <f>INT(C6331)</f>
        <v/>
      </c>
    </row>
    <row r="6332">
      <c r="A6332" s="7" t="inlineStr">
        <is>
          <t>EXD101</t>
        </is>
      </c>
      <c r="B6332" s="8" t="n">
        <v>46123.75</v>
      </c>
      <c r="C6332" s="8" t="n">
        <v>46124.25</v>
      </c>
      <c r="D6332" s="9">
        <f>(C6332-B6332)*24</f>
        <v/>
      </c>
      <c r="E6332" s="10">
        <f>IF(AND(HOUR(B6332)&gt;=6,HOUR(B6332)&lt;18),"Day Shift","Night Shift")</f>
        <v/>
      </c>
      <c r="F6332" s="11">
        <f>INT(B6332)</f>
        <v/>
      </c>
      <c r="G6332" s="11">
        <f>INT(C6332)</f>
        <v/>
      </c>
    </row>
    <row r="6333">
      <c r="A6333" s="2" t="inlineStr">
        <is>
          <t>EXD101</t>
        </is>
      </c>
      <c r="B6333" s="3" t="n">
        <v>46124.25</v>
      </c>
      <c r="C6333" s="3" t="n">
        <v>46124.63663194444</v>
      </c>
      <c r="D6333" s="4">
        <f>(C6333-B6333)*24</f>
        <v/>
      </c>
      <c r="E6333" s="5">
        <f>IF(AND(HOUR(B6333)&gt;=6,HOUR(B6333)&lt;18),"Day Shift","Night Shift")</f>
        <v/>
      </c>
      <c r="F6333" s="6">
        <f>INT(B6333)</f>
        <v/>
      </c>
      <c r="G6333" s="6">
        <f>INT(C6333)</f>
        <v/>
      </c>
    </row>
    <row r="6334">
      <c r="A6334" s="2" t="inlineStr">
        <is>
          <t>EDD175;EDD1932;EDD2134;EDD2541;EDD812</t>
        </is>
      </c>
      <c r="B6334" s="3" t="n">
        <v>46123.59016203704</v>
      </c>
      <c r="C6334" s="3" t="n">
        <v>46123.75</v>
      </c>
      <c r="D6334" s="4">
        <f>(C6334-B6334)*24</f>
        <v/>
      </c>
      <c r="E6334" s="5">
        <f>IF(AND(HOUR(B6334)&gt;=6,HOUR(B6334)&lt;18),"Day Shift","Night Shift")</f>
        <v/>
      </c>
      <c r="F6334" s="6">
        <f>INT(B6334)</f>
        <v/>
      </c>
      <c r="G6334" s="6">
        <f>INT(C6334)</f>
        <v/>
      </c>
    </row>
    <row r="6335">
      <c r="A6335" s="7" t="inlineStr">
        <is>
          <t>EDD175;EDD1932;EDD2134;EDD2541;EDD812</t>
        </is>
      </c>
      <c r="B6335" s="8" t="n">
        <v>46123.75</v>
      </c>
      <c r="C6335" s="8" t="n">
        <v>46124.02290509259</v>
      </c>
      <c r="D6335" s="9">
        <f>(C6335-B6335)*24</f>
        <v/>
      </c>
      <c r="E6335" s="10">
        <f>IF(AND(HOUR(B6335)&gt;=6,HOUR(B6335)&lt;18),"Day Shift","Night Shift")</f>
        <v/>
      </c>
      <c r="F6335" s="11">
        <f>INT(B6335)</f>
        <v/>
      </c>
      <c r="G6335" s="11">
        <f>INT(C6335)</f>
        <v/>
      </c>
    </row>
    <row r="6336">
      <c r="A6336" s="2" t="inlineStr">
        <is>
          <t>DRE08</t>
        </is>
      </c>
      <c r="B6336" s="3" t="n">
        <v>46123.6700462963</v>
      </c>
      <c r="C6336" s="3" t="n">
        <v>46123.75</v>
      </c>
      <c r="D6336" s="4">
        <f>(C6336-B6336)*24</f>
        <v/>
      </c>
      <c r="E6336" s="5">
        <f>IF(AND(HOUR(B6336)&gt;=6,HOUR(B6336)&lt;18),"Day Shift","Night Shift")</f>
        <v/>
      </c>
      <c r="F6336" s="6">
        <f>INT(B6336)</f>
        <v/>
      </c>
      <c r="G6336" s="6">
        <f>INT(C6336)</f>
        <v/>
      </c>
    </row>
    <row r="6337">
      <c r="A6337" s="7" t="inlineStr">
        <is>
          <t>DRE08</t>
        </is>
      </c>
      <c r="B6337" s="8" t="n">
        <v>46123.75</v>
      </c>
      <c r="C6337" s="8" t="n">
        <v>46124.25</v>
      </c>
      <c r="D6337" s="9">
        <f>(C6337-B6337)*24</f>
        <v/>
      </c>
      <c r="E6337" s="10">
        <f>IF(AND(HOUR(B6337)&gt;=6,HOUR(B6337)&lt;18),"Day Shift","Night Shift")</f>
        <v/>
      </c>
      <c r="F6337" s="11">
        <f>INT(B6337)</f>
        <v/>
      </c>
      <c r="G6337" s="11">
        <f>INT(C6337)</f>
        <v/>
      </c>
    </row>
    <row r="6338">
      <c r="A6338" s="2" t="inlineStr">
        <is>
          <t>DRE08</t>
        </is>
      </c>
      <c r="B6338" s="3" t="n">
        <v>46124.25</v>
      </c>
      <c r="C6338" s="3" t="n">
        <v>46124.75</v>
      </c>
      <c r="D6338" s="4">
        <f>(C6338-B6338)*24</f>
        <v/>
      </c>
      <c r="E6338" s="5">
        <f>IF(AND(HOUR(B6338)&gt;=6,HOUR(B6338)&lt;18),"Day Shift","Night Shift")</f>
        <v/>
      </c>
      <c r="F6338" s="6">
        <f>INT(B6338)</f>
        <v/>
      </c>
      <c r="G6338" s="6">
        <f>INT(C6338)</f>
        <v/>
      </c>
    </row>
    <row r="6339">
      <c r="A6339" s="7" t="inlineStr">
        <is>
          <t>DRE08</t>
        </is>
      </c>
      <c r="B6339" s="8" t="n">
        <v>46124.75</v>
      </c>
      <c r="C6339" s="8" t="n">
        <v>46125.25</v>
      </c>
      <c r="D6339" s="9">
        <f>(C6339-B6339)*24</f>
        <v/>
      </c>
      <c r="E6339" s="10">
        <f>IF(AND(HOUR(B6339)&gt;=6,HOUR(B6339)&lt;18),"Day Shift","Night Shift")</f>
        <v/>
      </c>
      <c r="F6339" s="11">
        <f>INT(B6339)</f>
        <v/>
      </c>
      <c r="G6339" s="11">
        <f>INT(C6339)</f>
        <v/>
      </c>
    </row>
    <row r="6340">
      <c r="A6340" s="2" t="inlineStr">
        <is>
          <t>DRE08</t>
        </is>
      </c>
      <c r="B6340" s="3" t="n">
        <v>46125.25</v>
      </c>
      <c r="C6340" s="3" t="n">
        <v>46125.67033564814</v>
      </c>
      <c r="D6340" s="4">
        <f>(C6340-B6340)*24</f>
        <v/>
      </c>
      <c r="E6340" s="5">
        <f>IF(AND(HOUR(B6340)&gt;=6,HOUR(B6340)&lt;18),"Day Shift","Night Shift")</f>
        <v/>
      </c>
      <c r="F6340" s="6">
        <f>INT(B6340)</f>
        <v/>
      </c>
      <c r="G6340" s="6">
        <f>INT(C6340)</f>
        <v/>
      </c>
    </row>
    <row r="6341">
      <c r="A6341" s="2" t="inlineStr">
        <is>
          <t>DRE12</t>
        </is>
      </c>
      <c r="B6341" s="3" t="n">
        <v>46123.71732638889</v>
      </c>
      <c r="C6341" s="3" t="n">
        <v>46123.75</v>
      </c>
      <c r="D6341" s="4">
        <f>(C6341-B6341)*24</f>
        <v/>
      </c>
      <c r="E6341" s="5">
        <f>IF(AND(HOUR(B6341)&gt;=6,HOUR(B6341)&lt;18),"Day Shift","Night Shift")</f>
        <v/>
      </c>
      <c r="F6341" s="6">
        <f>INT(B6341)</f>
        <v/>
      </c>
      <c r="G6341" s="6">
        <f>INT(C6341)</f>
        <v/>
      </c>
    </row>
    <row r="6342">
      <c r="A6342" s="7" t="inlineStr">
        <is>
          <t>DRE12</t>
        </is>
      </c>
      <c r="B6342" s="8" t="n">
        <v>46123.75</v>
      </c>
      <c r="C6342" s="8" t="n">
        <v>46124.25</v>
      </c>
      <c r="D6342" s="9">
        <f>(C6342-B6342)*24</f>
        <v/>
      </c>
      <c r="E6342" s="10">
        <f>IF(AND(HOUR(B6342)&gt;=6,HOUR(B6342)&lt;18),"Day Shift","Night Shift")</f>
        <v/>
      </c>
      <c r="F6342" s="11">
        <f>INT(B6342)</f>
        <v/>
      </c>
      <c r="G6342" s="11">
        <f>INT(C6342)</f>
        <v/>
      </c>
    </row>
    <row r="6343">
      <c r="A6343" s="2" t="inlineStr">
        <is>
          <t>DRE12</t>
        </is>
      </c>
      <c r="B6343" s="3" t="n">
        <v>46124.25</v>
      </c>
      <c r="C6343" s="3" t="n">
        <v>46124.34680555556</v>
      </c>
      <c r="D6343" s="4">
        <f>(C6343-B6343)*24</f>
        <v/>
      </c>
      <c r="E6343" s="5">
        <f>IF(AND(HOUR(B6343)&gt;=6,HOUR(B6343)&lt;18),"Day Shift","Night Shift")</f>
        <v/>
      </c>
      <c r="F6343" s="6">
        <f>INT(B6343)</f>
        <v/>
      </c>
      <c r="G6343" s="6">
        <f>INT(C6343)</f>
        <v/>
      </c>
    </row>
    <row r="6344">
      <c r="A6344" s="7" t="inlineStr">
        <is>
          <t>EXD60</t>
        </is>
      </c>
      <c r="B6344" s="8" t="n">
        <v>46123.80450231482</v>
      </c>
      <c r="C6344" s="8" t="n">
        <v>46124.25</v>
      </c>
      <c r="D6344" s="9">
        <f>(C6344-B6344)*24</f>
        <v/>
      </c>
      <c r="E6344" s="10">
        <f>IF(AND(HOUR(B6344)&gt;=6,HOUR(B6344)&lt;18),"Day Shift","Night Shift")</f>
        <v/>
      </c>
      <c r="F6344" s="11">
        <f>INT(B6344)</f>
        <v/>
      </c>
      <c r="G6344" s="11">
        <f>INT(C6344)</f>
        <v/>
      </c>
    </row>
    <row r="6345">
      <c r="A6345" s="2" t="inlineStr">
        <is>
          <t>EXD60</t>
        </is>
      </c>
      <c r="B6345" s="3" t="n">
        <v>46124.25</v>
      </c>
      <c r="C6345" s="3" t="n">
        <v>46124.35412037037</v>
      </c>
      <c r="D6345" s="4">
        <f>(C6345-B6345)*24</f>
        <v/>
      </c>
      <c r="E6345" s="5">
        <f>IF(AND(HOUR(B6345)&gt;=6,HOUR(B6345)&lt;18),"Day Shift","Night Shift")</f>
        <v/>
      </c>
      <c r="F6345" s="6">
        <f>INT(B6345)</f>
        <v/>
      </c>
      <c r="G6345" s="6">
        <f>INT(C6345)</f>
        <v/>
      </c>
    </row>
    <row r="6346">
      <c r="A6346" s="7" t="inlineStr">
        <is>
          <t>EXD73</t>
        </is>
      </c>
      <c r="B6346" s="8" t="n">
        <v>46123.88476851852</v>
      </c>
      <c r="C6346" s="8" t="n">
        <v>46124.25</v>
      </c>
      <c r="D6346" s="9">
        <f>(C6346-B6346)*24</f>
        <v/>
      </c>
      <c r="E6346" s="10">
        <f>IF(AND(HOUR(B6346)&gt;=6,HOUR(B6346)&lt;18),"Day Shift","Night Shift")</f>
        <v/>
      </c>
      <c r="F6346" s="11">
        <f>INT(B6346)</f>
        <v/>
      </c>
      <c r="G6346" s="11">
        <f>INT(C6346)</f>
        <v/>
      </c>
    </row>
    <row r="6347">
      <c r="A6347" s="2" t="inlineStr">
        <is>
          <t>EXD73</t>
        </is>
      </c>
      <c r="B6347" s="3" t="n">
        <v>46124.25</v>
      </c>
      <c r="C6347" s="3" t="n">
        <v>46124.74378472222</v>
      </c>
      <c r="D6347" s="4">
        <f>(C6347-B6347)*24</f>
        <v/>
      </c>
      <c r="E6347" s="5">
        <f>IF(AND(HOUR(B6347)&gt;=6,HOUR(B6347)&lt;18),"Day Shift","Night Shift")</f>
        <v/>
      </c>
      <c r="F6347" s="6">
        <f>INT(B6347)</f>
        <v/>
      </c>
      <c r="G6347" s="6">
        <f>INT(C6347)</f>
        <v/>
      </c>
    </row>
    <row r="6348">
      <c r="A6348" s="7" t="inlineStr">
        <is>
          <t>EDD175;EDD1932;EDD2134;EDD2541;EDD812</t>
        </is>
      </c>
      <c r="B6348" s="8" t="n">
        <v>46124.02290509259</v>
      </c>
      <c r="C6348" s="8" t="n">
        <v>46124.25</v>
      </c>
      <c r="D6348" s="9">
        <f>(C6348-B6348)*24</f>
        <v/>
      </c>
      <c r="E6348" s="10">
        <f>IF(AND(HOUR(B6348)&gt;=6,HOUR(B6348)&lt;18),"Day Shift","Night Shift")</f>
        <v/>
      </c>
      <c r="F6348" s="11">
        <f>INT(B6348)</f>
        <v/>
      </c>
      <c r="G6348" s="11">
        <f>INT(C6348)</f>
        <v/>
      </c>
    </row>
    <row r="6349">
      <c r="A6349" s="2" t="inlineStr">
        <is>
          <t>EDD175;EDD1932;EDD2134;EDD2541;EDD812</t>
        </is>
      </c>
      <c r="B6349" s="3" t="n">
        <v>46124.25</v>
      </c>
      <c r="C6349" s="3" t="n">
        <v>46124.60603009259</v>
      </c>
      <c r="D6349" s="4">
        <f>(C6349-B6349)*24</f>
        <v/>
      </c>
      <c r="E6349" s="5">
        <f>IF(AND(HOUR(B6349)&gt;=6,HOUR(B6349)&lt;18),"Day Shift","Night Shift")</f>
        <v/>
      </c>
      <c r="F6349" s="6">
        <f>INT(B6349)</f>
        <v/>
      </c>
      <c r="G6349" s="6">
        <f>INT(C6349)</f>
        <v/>
      </c>
    </row>
    <row r="6350">
      <c r="A6350" s="7" t="inlineStr">
        <is>
          <t>EXD61</t>
        </is>
      </c>
      <c r="B6350" s="8" t="n">
        <v>46124.09550925926</v>
      </c>
      <c r="C6350" s="8" t="n">
        <v>46124.25</v>
      </c>
      <c r="D6350" s="9">
        <f>(C6350-B6350)*24</f>
        <v/>
      </c>
      <c r="E6350" s="10">
        <f>IF(AND(HOUR(B6350)&gt;=6,HOUR(B6350)&lt;18),"Day Shift","Night Shift")</f>
        <v/>
      </c>
      <c r="F6350" s="11">
        <f>INT(B6350)</f>
        <v/>
      </c>
      <c r="G6350" s="11">
        <f>INT(C6350)</f>
        <v/>
      </c>
    </row>
    <row r="6351">
      <c r="A6351" s="2" t="inlineStr">
        <is>
          <t>EXD61</t>
        </is>
      </c>
      <c r="B6351" s="3" t="n">
        <v>46124.25</v>
      </c>
      <c r="C6351" s="3" t="n">
        <v>46124.41375</v>
      </c>
      <c r="D6351" s="4">
        <f>(C6351-B6351)*24</f>
        <v/>
      </c>
      <c r="E6351" s="5">
        <f>IF(AND(HOUR(B6351)&gt;=6,HOUR(B6351)&lt;18),"Day Shift","Night Shift")</f>
        <v/>
      </c>
      <c r="F6351" s="6">
        <f>INT(B6351)</f>
        <v/>
      </c>
      <c r="G6351" s="6">
        <f>INT(C6351)</f>
        <v/>
      </c>
    </row>
    <row r="6352">
      <c r="A6352" s="7" t="inlineStr">
        <is>
          <t>EXD98</t>
        </is>
      </c>
      <c r="B6352" s="8" t="n">
        <v>46124.10060185185</v>
      </c>
      <c r="C6352" s="8" t="n">
        <v>46124.25</v>
      </c>
      <c r="D6352" s="9">
        <f>(C6352-B6352)*24</f>
        <v/>
      </c>
      <c r="E6352" s="10">
        <f>IF(AND(HOUR(B6352)&gt;=6,HOUR(B6352)&lt;18),"Day Shift","Night Shift")</f>
        <v/>
      </c>
      <c r="F6352" s="11">
        <f>INT(B6352)</f>
        <v/>
      </c>
      <c r="G6352" s="11">
        <f>INT(C6352)</f>
        <v/>
      </c>
    </row>
    <row r="6353">
      <c r="A6353" s="2" t="inlineStr">
        <is>
          <t>EXD98</t>
        </is>
      </c>
      <c r="B6353" s="3" t="n">
        <v>46124.25</v>
      </c>
      <c r="C6353" s="3" t="n">
        <v>46124.45252314815</v>
      </c>
      <c r="D6353" s="4">
        <f>(C6353-B6353)*24</f>
        <v/>
      </c>
      <c r="E6353" s="5">
        <f>IF(AND(HOUR(B6353)&gt;=6,HOUR(B6353)&lt;18),"Day Shift","Night Shift")</f>
        <v/>
      </c>
      <c r="F6353" s="6">
        <f>INT(B6353)</f>
        <v/>
      </c>
      <c r="G6353" s="6">
        <f>INT(C6353)</f>
        <v/>
      </c>
    </row>
    <row r="6354">
      <c r="A6354" s="7" t="inlineStr">
        <is>
          <t>EXD51</t>
        </is>
      </c>
      <c r="B6354" s="8" t="n">
        <v>46124.15076388889</v>
      </c>
      <c r="C6354" s="8" t="n">
        <v>46124.25</v>
      </c>
      <c r="D6354" s="9">
        <f>(C6354-B6354)*24</f>
        <v/>
      </c>
      <c r="E6354" s="10">
        <f>IF(AND(HOUR(B6354)&gt;=6,HOUR(B6354)&lt;18),"Day Shift","Night Shift")</f>
        <v/>
      </c>
      <c r="F6354" s="11">
        <f>INT(B6354)</f>
        <v/>
      </c>
      <c r="G6354" s="11">
        <f>INT(C6354)</f>
        <v/>
      </c>
    </row>
    <row r="6355">
      <c r="A6355" s="2" t="inlineStr">
        <is>
          <t>EXD51</t>
        </is>
      </c>
      <c r="B6355" s="3" t="n">
        <v>46124.25</v>
      </c>
      <c r="C6355" s="3" t="n">
        <v>46124.75</v>
      </c>
      <c r="D6355" s="4">
        <f>(C6355-B6355)*24</f>
        <v/>
      </c>
      <c r="E6355" s="5">
        <f>IF(AND(HOUR(B6355)&gt;=6,HOUR(B6355)&lt;18),"Day Shift","Night Shift")</f>
        <v/>
      </c>
      <c r="F6355" s="6">
        <f>INT(B6355)</f>
        <v/>
      </c>
      <c r="G6355" s="6">
        <f>INT(C6355)</f>
        <v/>
      </c>
    </row>
    <row r="6356">
      <c r="A6356" s="7" t="inlineStr">
        <is>
          <t>EXD51</t>
        </is>
      </c>
      <c r="B6356" s="8" t="n">
        <v>46124.75</v>
      </c>
      <c r="C6356" s="8" t="n">
        <v>46125.25</v>
      </c>
      <c r="D6356" s="9">
        <f>(C6356-B6356)*24</f>
        <v/>
      </c>
      <c r="E6356" s="10">
        <f>IF(AND(HOUR(B6356)&gt;=6,HOUR(B6356)&lt;18),"Day Shift","Night Shift")</f>
        <v/>
      </c>
      <c r="F6356" s="11">
        <f>INT(B6356)</f>
        <v/>
      </c>
      <c r="G6356" s="11">
        <f>INT(C6356)</f>
        <v/>
      </c>
    </row>
    <row r="6357">
      <c r="A6357" s="2" t="inlineStr">
        <is>
          <t>EXD51</t>
        </is>
      </c>
      <c r="B6357" s="3" t="n">
        <v>46125.25</v>
      </c>
      <c r="C6357" s="3" t="n">
        <v>46125.58518518518</v>
      </c>
      <c r="D6357" s="4">
        <f>(C6357-B6357)*24</f>
        <v/>
      </c>
      <c r="E6357" s="5">
        <f>IF(AND(HOUR(B6357)&gt;=6,HOUR(B6357)&lt;18),"Day Shift","Night Shift")</f>
        <v/>
      </c>
      <c r="F6357" s="6">
        <f>INT(B6357)</f>
        <v/>
      </c>
      <c r="G6357" s="6">
        <f>INT(C6357)</f>
        <v/>
      </c>
    </row>
    <row r="6358">
      <c r="A6358" s="7" t="inlineStr">
        <is>
          <t>EXD55</t>
        </is>
      </c>
      <c r="B6358" s="8" t="n">
        <v>46124.22298611111</v>
      </c>
      <c r="C6358" s="8" t="n">
        <v>46124.25</v>
      </c>
      <c r="D6358" s="9">
        <f>(C6358-B6358)*24</f>
        <v/>
      </c>
      <c r="E6358" s="10">
        <f>IF(AND(HOUR(B6358)&gt;=6,HOUR(B6358)&lt;18),"Day Shift","Night Shift")</f>
        <v/>
      </c>
      <c r="F6358" s="11">
        <f>INT(B6358)</f>
        <v/>
      </c>
      <c r="G6358" s="11">
        <f>INT(C6358)</f>
        <v/>
      </c>
    </row>
    <row r="6359">
      <c r="A6359" s="2" t="inlineStr">
        <is>
          <t>EXD55</t>
        </is>
      </c>
      <c r="B6359" s="3" t="n">
        <v>46124.25</v>
      </c>
      <c r="C6359" s="3" t="n">
        <v>46124.75</v>
      </c>
      <c r="D6359" s="4">
        <f>(C6359-B6359)*24</f>
        <v/>
      </c>
      <c r="E6359" s="5">
        <f>IF(AND(HOUR(B6359)&gt;=6,HOUR(B6359)&lt;18),"Day Shift","Night Shift")</f>
        <v/>
      </c>
      <c r="F6359" s="6">
        <f>INT(B6359)</f>
        <v/>
      </c>
      <c r="G6359" s="6">
        <f>INT(C6359)</f>
        <v/>
      </c>
    </row>
    <row r="6360">
      <c r="A6360" s="7" t="inlineStr">
        <is>
          <t>EXD55</t>
        </is>
      </c>
      <c r="B6360" s="8" t="n">
        <v>46124.75</v>
      </c>
      <c r="C6360" s="8" t="n">
        <v>46124.99797453704</v>
      </c>
      <c r="D6360" s="9">
        <f>(C6360-B6360)*24</f>
        <v/>
      </c>
      <c r="E6360" s="10">
        <f>IF(AND(HOUR(B6360)&gt;=6,HOUR(B6360)&lt;18),"Day Shift","Night Shift")</f>
        <v/>
      </c>
      <c r="F6360" s="11">
        <f>INT(B6360)</f>
        <v/>
      </c>
      <c r="G6360" s="11">
        <f>INT(C6360)</f>
        <v/>
      </c>
    </row>
    <row r="6361">
      <c r="A6361" s="2" t="inlineStr">
        <is>
          <t>EXD409</t>
        </is>
      </c>
      <c r="B6361" s="3" t="n">
        <v>46124.26297453704</v>
      </c>
      <c r="C6361" s="3" t="n">
        <v>46124.71646990741</v>
      </c>
      <c r="D6361" s="4">
        <f>(C6361-B6361)*24</f>
        <v/>
      </c>
      <c r="E6361" s="5">
        <f>IF(AND(HOUR(B6361)&gt;=6,HOUR(B6361)&lt;18),"Day Shift","Night Shift")</f>
        <v/>
      </c>
      <c r="F6361" s="6">
        <f>INT(B6361)</f>
        <v/>
      </c>
      <c r="G6361" s="6">
        <f>INT(C6361)</f>
        <v/>
      </c>
    </row>
    <row r="6362">
      <c r="A6362" s="2" t="inlineStr">
        <is>
          <t>SHE36</t>
        </is>
      </c>
      <c r="B6362" s="3" t="n">
        <v>46124.33837962963</v>
      </c>
      <c r="C6362" s="3" t="n">
        <v>46124.71822916667</v>
      </c>
      <c r="D6362" s="4">
        <f>(C6362-B6362)*24</f>
        <v/>
      </c>
      <c r="E6362" s="5">
        <f>IF(AND(HOUR(B6362)&gt;=6,HOUR(B6362)&lt;18),"Day Shift","Night Shift")</f>
        <v/>
      </c>
      <c r="F6362" s="6">
        <f>INT(B6362)</f>
        <v/>
      </c>
      <c r="G6362" s="6">
        <f>INT(C6362)</f>
        <v/>
      </c>
    </row>
    <row r="6363">
      <c r="A6363" s="2" t="inlineStr">
        <is>
          <t>Sprint 1</t>
        </is>
      </c>
      <c r="B6363" s="3" t="n">
        <v>46124.34059027778</v>
      </c>
      <c r="C6363" s="3" t="n">
        <v>46124.75</v>
      </c>
      <c r="D6363" s="4">
        <f>(C6363-B6363)*24</f>
        <v/>
      </c>
      <c r="E6363" s="5">
        <f>IF(AND(HOUR(B6363)&gt;=6,HOUR(B6363)&lt;18),"Day Shift","Night Shift")</f>
        <v/>
      </c>
      <c r="F6363" s="6">
        <f>INT(B6363)</f>
        <v/>
      </c>
      <c r="G6363" s="6">
        <f>INT(C6363)</f>
        <v/>
      </c>
    </row>
    <row r="6364">
      <c r="A6364" s="7" t="inlineStr">
        <is>
          <t>Sprint 1</t>
        </is>
      </c>
      <c r="B6364" s="8" t="n">
        <v>46124.75</v>
      </c>
      <c r="C6364" s="8" t="n">
        <v>46125.12275462963</v>
      </c>
      <c r="D6364" s="9">
        <f>(C6364-B6364)*24</f>
        <v/>
      </c>
      <c r="E6364" s="10">
        <f>IF(AND(HOUR(B6364)&gt;=6,HOUR(B6364)&lt;18),"Day Shift","Night Shift")</f>
        <v/>
      </c>
      <c r="F6364" s="11">
        <f>INT(B6364)</f>
        <v/>
      </c>
      <c r="G6364" s="11">
        <f>INT(C6364)</f>
        <v/>
      </c>
    </row>
    <row r="6365">
      <c r="A6365" s="2" t="inlineStr">
        <is>
          <t>DRE12</t>
        </is>
      </c>
      <c r="B6365" s="3" t="n">
        <v>46124.34701388889</v>
      </c>
      <c r="C6365" s="3" t="n">
        <v>46124.75</v>
      </c>
      <c r="D6365" s="4">
        <f>(C6365-B6365)*24</f>
        <v/>
      </c>
      <c r="E6365" s="5">
        <f>IF(AND(HOUR(B6365)&gt;=6,HOUR(B6365)&lt;18),"Day Shift","Night Shift")</f>
        <v/>
      </c>
      <c r="F6365" s="6">
        <f>INT(B6365)</f>
        <v/>
      </c>
      <c r="G6365" s="6">
        <f>INT(C6365)</f>
        <v/>
      </c>
    </row>
    <row r="6366">
      <c r="A6366" s="7" t="inlineStr">
        <is>
          <t>DRE12</t>
        </is>
      </c>
      <c r="B6366" s="8" t="n">
        <v>46124.75</v>
      </c>
      <c r="C6366" s="8" t="n">
        <v>46125.25</v>
      </c>
      <c r="D6366" s="9">
        <f>(C6366-B6366)*24</f>
        <v/>
      </c>
      <c r="E6366" s="10">
        <f>IF(AND(HOUR(B6366)&gt;=6,HOUR(B6366)&lt;18),"Day Shift","Night Shift")</f>
        <v/>
      </c>
      <c r="F6366" s="11">
        <f>INT(B6366)</f>
        <v/>
      </c>
      <c r="G6366" s="11">
        <f>INT(C6366)</f>
        <v/>
      </c>
    </row>
    <row r="6367">
      <c r="A6367" s="2" t="inlineStr">
        <is>
          <t>DRE12</t>
        </is>
      </c>
      <c r="B6367" s="3" t="n">
        <v>46125.25</v>
      </c>
      <c r="C6367" s="3" t="n">
        <v>46125.75</v>
      </c>
      <c r="D6367" s="4">
        <f>(C6367-B6367)*24</f>
        <v/>
      </c>
      <c r="E6367" s="5">
        <f>IF(AND(HOUR(B6367)&gt;=6,HOUR(B6367)&lt;18),"Day Shift","Night Shift")</f>
        <v/>
      </c>
      <c r="F6367" s="6">
        <f>INT(B6367)</f>
        <v/>
      </c>
      <c r="G6367" s="6">
        <f>INT(C6367)</f>
        <v/>
      </c>
    </row>
    <row r="6368">
      <c r="A6368" s="7" t="inlineStr">
        <is>
          <t>DRE12</t>
        </is>
      </c>
      <c r="B6368" s="8" t="n">
        <v>46125.75</v>
      </c>
      <c r="C6368" s="8" t="n">
        <v>46126.25</v>
      </c>
      <c r="D6368" s="9">
        <f>(C6368-B6368)*24</f>
        <v/>
      </c>
      <c r="E6368" s="10">
        <f>IF(AND(HOUR(B6368)&gt;=6,HOUR(B6368)&lt;18),"Day Shift","Night Shift")</f>
        <v/>
      </c>
      <c r="F6368" s="11">
        <f>INT(B6368)</f>
        <v/>
      </c>
      <c r="G6368" s="11">
        <f>INT(C6368)</f>
        <v/>
      </c>
    </row>
    <row r="6369">
      <c r="A6369" s="2" t="inlineStr">
        <is>
          <t>DRE12</t>
        </is>
      </c>
      <c r="B6369" s="3" t="n">
        <v>46126.25</v>
      </c>
      <c r="C6369" s="3" t="n">
        <v>46126.75</v>
      </c>
      <c r="D6369" s="4">
        <f>(C6369-B6369)*24</f>
        <v/>
      </c>
      <c r="E6369" s="5">
        <f>IF(AND(HOUR(B6369)&gt;=6,HOUR(B6369)&lt;18),"Day Shift","Night Shift")</f>
        <v/>
      </c>
      <c r="F6369" s="6">
        <f>INT(B6369)</f>
        <v/>
      </c>
      <c r="G6369" s="6">
        <f>INT(C6369)</f>
        <v/>
      </c>
    </row>
    <row r="6370">
      <c r="A6370" s="7" t="inlineStr">
        <is>
          <t>DRE12</t>
        </is>
      </c>
      <c r="B6370" s="8" t="n">
        <v>46126.75</v>
      </c>
      <c r="C6370" s="8" t="n">
        <v>46127.12518518518</v>
      </c>
      <c r="D6370" s="9">
        <f>(C6370-B6370)*24</f>
        <v/>
      </c>
      <c r="E6370" s="10">
        <f>IF(AND(HOUR(B6370)&gt;=6,HOUR(B6370)&lt;18),"Day Shift","Night Shift")</f>
        <v/>
      </c>
      <c r="F6370" s="11">
        <f>INT(B6370)</f>
        <v/>
      </c>
      <c r="G6370" s="11">
        <f>INT(C6370)</f>
        <v/>
      </c>
    </row>
    <row r="6371">
      <c r="A6371" s="2" t="inlineStr">
        <is>
          <t>EXD60</t>
        </is>
      </c>
      <c r="B6371" s="3" t="n">
        <v>46124.35412037037</v>
      </c>
      <c r="C6371" s="3" t="n">
        <v>46124.75</v>
      </c>
      <c r="D6371" s="4">
        <f>(C6371-B6371)*24</f>
        <v/>
      </c>
      <c r="E6371" s="5">
        <f>IF(AND(HOUR(B6371)&gt;=6,HOUR(B6371)&lt;18),"Day Shift","Night Shift")</f>
        <v/>
      </c>
      <c r="F6371" s="6">
        <f>INT(B6371)</f>
        <v/>
      </c>
      <c r="G6371" s="6">
        <f>INT(C6371)</f>
        <v/>
      </c>
    </row>
    <row r="6372">
      <c r="A6372" s="7" t="inlineStr">
        <is>
          <t>EXD60</t>
        </is>
      </c>
      <c r="B6372" s="8" t="n">
        <v>46124.75</v>
      </c>
      <c r="C6372" s="8" t="n">
        <v>46125.25</v>
      </c>
      <c r="D6372" s="9">
        <f>(C6372-B6372)*24</f>
        <v/>
      </c>
      <c r="E6372" s="10">
        <f>IF(AND(HOUR(B6372)&gt;=6,HOUR(B6372)&lt;18),"Day Shift","Night Shift")</f>
        <v/>
      </c>
      <c r="F6372" s="11">
        <f>INT(B6372)</f>
        <v/>
      </c>
      <c r="G6372" s="11">
        <f>INT(C6372)</f>
        <v/>
      </c>
    </row>
    <row r="6373">
      <c r="A6373" s="2" t="inlineStr">
        <is>
          <t>EXD60</t>
        </is>
      </c>
      <c r="B6373" s="3" t="n">
        <v>46125.25</v>
      </c>
      <c r="C6373" s="3" t="n">
        <v>46125.75</v>
      </c>
      <c r="D6373" s="4">
        <f>(C6373-B6373)*24</f>
        <v/>
      </c>
      <c r="E6373" s="5">
        <f>IF(AND(HOUR(B6373)&gt;=6,HOUR(B6373)&lt;18),"Day Shift","Night Shift")</f>
        <v/>
      </c>
      <c r="F6373" s="6">
        <f>INT(B6373)</f>
        <v/>
      </c>
      <c r="G6373" s="6">
        <f>INT(C6373)</f>
        <v/>
      </c>
    </row>
    <row r="6374">
      <c r="A6374" s="7" t="inlineStr">
        <is>
          <t>EXD60</t>
        </is>
      </c>
      <c r="B6374" s="8" t="n">
        <v>46125.75</v>
      </c>
      <c r="C6374" s="8" t="n">
        <v>46126.25</v>
      </c>
      <c r="D6374" s="9">
        <f>(C6374-B6374)*24</f>
        <v/>
      </c>
      <c r="E6374" s="10">
        <f>IF(AND(HOUR(B6374)&gt;=6,HOUR(B6374)&lt;18),"Day Shift","Night Shift")</f>
        <v/>
      </c>
      <c r="F6374" s="11">
        <f>INT(B6374)</f>
        <v/>
      </c>
      <c r="G6374" s="11">
        <f>INT(C6374)</f>
        <v/>
      </c>
    </row>
    <row r="6375">
      <c r="A6375" s="2" t="inlineStr">
        <is>
          <t>EXD60</t>
        </is>
      </c>
      <c r="B6375" s="3" t="n">
        <v>46126.25</v>
      </c>
      <c r="C6375" s="3" t="n">
        <v>46126.75</v>
      </c>
      <c r="D6375" s="4">
        <f>(C6375-B6375)*24</f>
        <v/>
      </c>
      <c r="E6375" s="5">
        <f>IF(AND(HOUR(B6375)&gt;=6,HOUR(B6375)&lt;18),"Day Shift","Night Shift")</f>
        <v/>
      </c>
      <c r="F6375" s="6">
        <f>INT(B6375)</f>
        <v/>
      </c>
      <c r="G6375" s="6">
        <f>INT(C6375)</f>
        <v/>
      </c>
    </row>
    <row r="6376">
      <c r="A6376" s="7" t="inlineStr">
        <is>
          <t>EXD60</t>
        </is>
      </c>
      <c r="B6376" s="8" t="n">
        <v>46126.75</v>
      </c>
      <c r="C6376" s="8" t="n">
        <v>46127.08824074074</v>
      </c>
      <c r="D6376" s="9">
        <f>(C6376-B6376)*24</f>
        <v/>
      </c>
      <c r="E6376" s="10">
        <f>IF(AND(HOUR(B6376)&gt;=6,HOUR(B6376)&lt;18),"Day Shift","Night Shift")</f>
        <v/>
      </c>
      <c r="F6376" s="11">
        <f>INT(B6376)</f>
        <v/>
      </c>
      <c r="G6376" s="11">
        <f>INT(C6376)</f>
        <v/>
      </c>
    </row>
    <row r="6377">
      <c r="A6377" s="2" t="inlineStr">
        <is>
          <t>EXD100</t>
        </is>
      </c>
      <c r="B6377" s="3" t="n">
        <v>46124.39052083333</v>
      </c>
      <c r="C6377" s="3" t="n">
        <v>46124.75</v>
      </c>
      <c r="D6377" s="4">
        <f>(C6377-B6377)*24</f>
        <v/>
      </c>
      <c r="E6377" s="5">
        <f>IF(AND(HOUR(B6377)&gt;=6,HOUR(B6377)&lt;18),"Day Shift","Night Shift")</f>
        <v/>
      </c>
      <c r="F6377" s="6">
        <f>INT(B6377)</f>
        <v/>
      </c>
      <c r="G6377" s="6">
        <f>INT(C6377)</f>
        <v/>
      </c>
    </row>
    <row r="6378">
      <c r="A6378" s="7" t="inlineStr">
        <is>
          <t>EXD100</t>
        </is>
      </c>
      <c r="B6378" s="8" t="n">
        <v>46124.75</v>
      </c>
      <c r="C6378" s="8" t="n">
        <v>46125.25</v>
      </c>
      <c r="D6378" s="9">
        <f>(C6378-B6378)*24</f>
        <v/>
      </c>
      <c r="E6378" s="10">
        <f>IF(AND(HOUR(B6378)&gt;=6,HOUR(B6378)&lt;18),"Day Shift","Night Shift")</f>
        <v/>
      </c>
      <c r="F6378" s="11">
        <f>INT(B6378)</f>
        <v/>
      </c>
      <c r="G6378" s="11">
        <f>INT(C6378)</f>
        <v/>
      </c>
    </row>
    <row r="6379">
      <c r="A6379" s="2" t="inlineStr">
        <is>
          <t>EXD100</t>
        </is>
      </c>
      <c r="B6379" s="3" t="n">
        <v>46125.25</v>
      </c>
      <c r="C6379" s="3" t="n">
        <v>46125.34280092592</v>
      </c>
      <c r="D6379" s="4">
        <f>(C6379-B6379)*24</f>
        <v/>
      </c>
      <c r="E6379" s="5">
        <f>IF(AND(HOUR(B6379)&gt;=6,HOUR(B6379)&lt;18),"Day Shift","Night Shift")</f>
        <v/>
      </c>
      <c r="F6379" s="6">
        <f>INT(B6379)</f>
        <v/>
      </c>
      <c r="G6379" s="6">
        <f>INT(C6379)</f>
        <v/>
      </c>
    </row>
    <row r="6380">
      <c r="A6380" s="2" t="inlineStr">
        <is>
          <t>LDW262</t>
        </is>
      </c>
      <c r="B6380" s="3" t="n">
        <v>46124.39589120371</v>
      </c>
      <c r="C6380" s="3" t="n">
        <v>46124.75</v>
      </c>
      <c r="D6380" s="4">
        <f>(C6380-B6380)*24</f>
        <v/>
      </c>
      <c r="E6380" s="5">
        <f>IF(AND(HOUR(B6380)&gt;=6,HOUR(B6380)&lt;18),"Day Shift","Night Shift")</f>
        <v/>
      </c>
      <c r="F6380" s="6">
        <f>INT(B6380)</f>
        <v/>
      </c>
      <c r="G6380" s="6">
        <f>INT(C6380)</f>
        <v/>
      </c>
    </row>
    <row r="6381">
      <c r="A6381" s="7" t="inlineStr">
        <is>
          <t>LDW262</t>
        </is>
      </c>
      <c r="B6381" s="8" t="n">
        <v>46124.75</v>
      </c>
      <c r="C6381" s="8" t="n">
        <v>46124.79797453704</v>
      </c>
      <c r="D6381" s="9">
        <f>(C6381-B6381)*24</f>
        <v/>
      </c>
      <c r="E6381" s="10">
        <f>IF(AND(HOUR(B6381)&gt;=6,HOUR(B6381)&lt;18),"Day Shift","Night Shift")</f>
        <v/>
      </c>
      <c r="F6381" s="11">
        <f>INT(B6381)</f>
        <v/>
      </c>
      <c r="G6381" s="11">
        <f>INT(C6381)</f>
        <v/>
      </c>
    </row>
    <row r="6382">
      <c r="A6382" s="2" t="inlineStr">
        <is>
          <t>EXD61</t>
        </is>
      </c>
      <c r="B6382" s="3" t="n">
        <v>46124.41375</v>
      </c>
      <c r="C6382" s="3" t="n">
        <v>46124.75</v>
      </c>
      <c r="D6382" s="4">
        <f>(C6382-B6382)*24</f>
        <v/>
      </c>
      <c r="E6382" s="5">
        <f>IF(AND(HOUR(B6382)&gt;=6,HOUR(B6382)&lt;18),"Day Shift","Night Shift")</f>
        <v/>
      </c>
      <c r="F6382" s="6">
        <f>INT(B6382)</f>
        <v/>
      </c>
      <c r="G6382" s="6">
        <f>INT(C6382)</f>
        <v/>
      </c>
    </row>
    <row r="6383">
      <c r="A6383" s="7" t="inlineStr">
        <is>
          <t>EXD61</t>
        </is>
      </c>
      <c r="B6383" s="8" t="n">
        <v>46124.75</v>
      </c>
      <c r="C6383" s="8" t="n">
        <v>46125.25</v>
      </c>
      <c r="D6383" s="9">
        <f>(C6383-B6383)*24</f>
        <v/>
      </c>
      <c r="E6383" s="10">
        <f>IF(AND(HOUR(B6383)&gt;=6,HOUR(B6383)&lt;18),"Day Shift","Night Shift")</f>
        <v/>
      </c>
      <c r="F6383" s="11">
        <f>INT(B6383)</f>
        <v/>
      </c>
      <c r="G6383" s="11">
        <f>INT(C6383)</f>
        <v/>
      </c>
    </row>
    <row r="6384">
      <c r="A6384" s="2" t="inlineStr">
        <is>
          <t>EXD61</t>
        </is>
      </c>
      <c r="B6384" s="3" t="n">
        <v>46125.25</v>
      </c>
      <c r="C6384" s="3" t="n">
        <v>46125.75</v>
      </c>
      <c r="D6384" s="4">
        <f>(C6384-B6384)*24</f>
        <v/>
      </c>
      <c r="E6384" s="5">
        <f>IF(AND(HOUR(B6384)&gt;=6,HOUR(B6384)&lt;18),"Day Shift","Night Shift")</f>
        <v/>
      </c>
      <c r="F6384" s="6">
        <f>INT(B6384)</f>
        <v/>
      </c>
      <c r="G6384" s="6">
        <f>INT(C6384)</f>
        <v/>
      </c>
    </row>
    <row r="6385">
      <c r="A6385" s="7" t="inlineStr">
        <is>
          <t>EXD61</t>
        </is>
      </c>
      <c r="B6385" s="8" t="n">
        <v>46125.75</v>
      </c>
      <c r="C6385" s="8" t="n">
        <v>46125.95469907407</v>
      </c>
      <c r="D6385" s="9">
        <f>(C6385-B6385)*24</f>
        <v/>
      </c>
      <c r="E6385" s="10">
        <f>IF(AND(HOUR(B6385)&gt;=6,HOUR(B6385)&lt;18),"Day Shift","Night Shift")</f>
        <v/>
      </c>
      <c r="F6385" s="11">
        <f>INT(B6385)</f>
        <v/>
      </c>
      <c r="G6385" s="11">
        <f>INT(C6385)</f>
        <v/>
      </c>
    </row>
    <row r="6386">
      <c r="A6386" s="2" t="inlineStr">
        <is>
          <t>EXD98</t>
        </is>
      </c>
      <c r="B6386" s="3" t="n">
        <v>46124.45252314815</v>
      </c>
      <c r="C6386" s="3" t="n">
        <v>46124.75</v>
      </c>
      <c r="D6386" s="4">
        <f>(C6386-B6386)*24</f>
        <v/>
      </c>
      <c r="E6386" s="5">
        <f>IF(AND(HOUR(B6386)&gt;=6,HOUR(B6386)&lt;18),"Day Shift","Night Shift")</f>
        <v/>
      </c>
      <c r="F6386" s="6">
        <f>INT(B6386)</f>
        <v/>
      </c>
      <c r="G6386" s="6">
        <f>INT(C6386)</f>
        <v/>
      </c>
    </row>
    <row r="6387">
      <c r="A6387" s="7" t="inlineStr">
        <is>
          <t>EXD98</t>
        </is>
      </c>
      <c r="B6387" s="8" t="n">
        <v>46124.75</v>
      </c>
      <c r="C6387" s="8" t="n">
        <v>46125.25</v>
      </c>
      <c r="D6387" s="9">
        <f>(C6387-B6387)*24</f>
        <v/>
      </c>
      <c r="E6387" s="10">
        <f>IF(AND(HOUR(B6387)&gt;=6,HOUR(B6387)&lt;18),"Day Shift","Night Shift")</f>
        <v/>
      </c>
      <c r="F6387" s="11">
        <f>INT(B6387)</f>
        <v/>
      </c>
      <c r="G6387" s="11">
        <f>INT(C6387)</f>
        <v/>
      </c>
    </row>
    <row r="6388">
      <c r="A6388" s="2" t="inlineStr">
        <is>
          <t>EXD98</t>
        </is>
      </c>
      <c r="B6388" s="3" t="n">
        <v>46125.25</v>
      </c>
      <c r="C6388" s="3" t="n">
        <v>46125.38194444445</v>
      </c>
      <c r="D6388" s="4">
        <f>(C6388-B6388)*24</f>
        <v/>
      </c>
      <c r="E6388" s="5">
        <f>IF(AND(HOUR(B6388)&gt;=6,HOUR(B6388)&lt;18),"Day Shift","Night Shift")</f>
        <v/>
      </c>
      <c r="F6388" s="6">
        <f>INT(B6388)</f>
        <v/>
      </c>
      <c r="G6388" s="6">
        <f>INT(C6388)</f>
        <v/>
      </c>
    </row>
    <row r="6389">
      <c r="A6389" s="2" t="inlineStr">
        <is>
          <t>LDW265</t>
        </is>
      </c>
      <c r="B6389" s="3" t="n">
        <v>46124.55950231481</v>
      </c>
      <c r="C6389" s="3" t="n">
        <v>46124.75</v>
      </c>
      <c r="D6389" s="4">
        <f>(C6389-B6389)*24</f>
        <v/>
      </c>
      <c r="E6389" s="5">
        <f>IF(AND(HOUR(B6389)&gt;=6,HOUR(B6389)&lt;18),"Day Shift","Night Shift")</f>
        <v/>
      </c>
      <c r="F6389" s="6">
        <f>INT(B6389)</f>
        <v/>
      </c>
      <c r="G6389" s="6">
        <f>INT(C6389)</f>
        <v/>
      </c>
    </row>
    <row r="6390">
      <c r="A6390" s="7" t="inlineStr">
        <is>
          <t>LDW265</t>
        </is>
      </c>
      <c r="B6390" s="8" t="n">
        <v>46124.75</v>
      </c>
      <c r="C6390" s="8" t="n">
        <v>46125.25</v>
      </c>
      <c r="D6390" s="9">
        <f>(C6390-B6390)*24</f>
        <v/>
      </c>
      <c r="E6390" s="10">
        <f>IF(AND(HOUR(B6390)&gt;=6,HOUR(B6390)&lt;18),"Day Shift","Night Shift")</f>
        <v/>
      </c>
      <c r="F6390" s="11">
        <f>INT(B6390)</f>
        <v/>
      </c>
      <c r="G6390" s="11">
        <f>INT(C6390)</f>
        <v/>
      </c>
    </row>
    <row r="6391">
      <c r="A6391" s="2" t="inlineStr">
        <is>
          <t>LDW265</t>
        </is>
      </c>
      <c r="B6391" s="3" t="n">
        <v>46125.25</v>
      </c>
      <c r="C6391" s="3" t="n">
        <v>46125.75</v>
      </c>
      <c r="D6391" s="4">
        <f>(C6391-B6391)*24</f>
        <v/>
      </c>
      <c r="E6391" s="5">
        <f>IF(AND(HOUR(B6391)&gt;=6,HOUR(B6391)&lt;18),"Day Shift","Night Shift")</f>
        <v/>
      </c>
      <c r="F6391" s="6">
        <f>INT(B6391)</f>
        <v/>
      </c>
      <c r="G6391" s="6">
        <f>INT(C6391)</f>
        <v/>
      </c>
    </row>
    <row r="6392">
      <c r="A6392" s="7" t="inlineStr">
        <is>
          <t>LDW265</t>
        </is>
      </c>
      <c r="B6392" s="8" t="n">
        <v>46125.75</v>
      </c>
      <c r="C6392" s="8" t="n">
        <v>46125.80069444444</v>
      </c>
      <c r="D6392" s="9">
        <f>(C6392-B6392)*24</f>
        <v/>
      </c>
      <c r="E6392" s="10">
        <f>IF(AND(HOUR(B6392)&gt;=6,HOUR(B6392)&lt;18),"Day Shift","Night Shift")</f>
        <v/>
      </c>
      <c r="F6392" s="11">
        <f>INT(B6392)</f>
        <v/>
      </c>
      <c r="G6392" s="11">
        <f>INT(C6392)</f>
        <v/>
      </c>
    </row>
    <row r="6393">
      <c r="A6393" s="2" t="inlineStr">
        <is>
          <t>EDD2134;EDD2541;EDD812;EDD175;EDD1932</t>
        </is>
      </c>
      <c r="B6393" s="3" t="n">
        <v>46124.60603009259</v>
      </c>
      <c r="C6393" s="3" t="n">
        <v>46124.75</v>
      </c>
      <c r="D6393" s="4">
        <f>(C6393-B6393)*24</f>
        <v/>
      </c>
      <c r="E6393" s="5">
        <f>IF(AND(HOUR(B6393)&gt;=6,HOUR(B6393)&lt;18),"Day Shift","Night Shift")</f>
        <v/>
      </c>
      <c r="F6393" s="6">
        <f>INT(B6393)</f>
        <v/>
      </c>
      <c r="G6393" s="6">
        <f>INT(C6393)</f>
        <v/>
      </c>
    </row>
    <row r="6394">
      <c r="A6394" s="7" t="inlineStr">
        <is>
          <t>EDD2134;EDD2541;EDD812;EDD175;EDD1932</t>
        </is>
      </c>
      <c r="B6394" s="8" t="n">
        <v>46124.75</v>
      </c>
      <c r="C6394" s="8" t="n">
        <v>46125.11497685185</v>
      </c>
      <c r="D6394" s="9">
        <f>(C6394-B6394)*24</f>
        <v/>
      </c>
      <c r="E6394" s="10">
        <f>IF(AND(HOUR(B6394)&gt;=6,HOUR(B6394)&lt;18),"Day Shift","Night Shift")</f>
        <v/>
      </c>
      <c r="F6394" s="11">
        <f>INT(B6394)</f>
        <v/>
      </c>
      <c r="G6394" s="11">
        <f>INT(C6394)</f>
        <v/>
      </c>
    </row>
    <row r="6395">
      <c r="A6395" s="2" t="inlineStr">
        <is>
          <t>EXD407</t>
        </is>
      </c>
      <c r="B6395" s="3" t="n">
        <v>46124.67886574074</v>
      </c>
      <c r="C6395" s="3" t="n">
        <v>46124.75</v>
      </c>
      <c r="D6395" s="4">
        <f>(C6395-B6395)*24</f>
        <v/>
      </c>
      <c r="E6395" s="5">
        <f>IF(AND(HOUR(B6395)&gt;=6,HOUR(B6395)&lt;18),"Day Shift","Night Shift")</f>
        <v/>
      </c>
      <c r="F6395" s="6">
        <f>INT(B6395)</f>
        <v/>
      </c>
      <c r="G6395" s="6">
        <f>INT(C6395)</f>
        <v/>
      </c>
    </row>
    <row r="6396">
      <c r="A6396" s="7" t="inlineStr">
        <is>
          <t>EXD407</t>
        </is>
      </c>
      <c r="B6396" s="8" t="n">
        <v>46124.75</v>
      </c>
      <c r="C6396" s="8" t="n">
        <v>46125.25</v>
      </c>
      <c r="D6396" s="9">
        <f>(C6396-B6396)*24</f>
        <v/>
      </c>
      <c r="E6396" s="10">
        <f>IF(AND(HOUR(B6396)&gt;=6,HOUR(B6396)&lt;18),"Day Shift","Night Shift")</f>
        <v/>
      </c>
      <c r="F6396" s="11">
        <f>INT(B6396)</f>
        <v/>
      </c>
      <c r="G6396" s="11">
        <f>INT(C6396)</f>
        <v/>
      </c>
    </row>
    <row r="6397">
      <c r="A6397" s="2" t="inlineStr">
        <is>
          <t>EXD407</t>
        </is>
      </c>
      <c r="B6397" s="3" t="n">
        <v>46125.25</v>
      </c>
      <c r="C6397" s="3" t="n">
        <v>46125.75</v>
      </c>
      <c r="D6397" s="4">
        <f>(C6397-B6397)*24</f>
        <v/>
      </c>
      <c r="E6397" s="5">
        <f>IF(AND(HOUR(B6397)&gt;=6,HOUR(B6397)&lt;18),"Day Shift","Night Shift")</f>
        <v/>
      </c>
      <c r="F6397" s="6">
        <f>INT(B6397)</f>
        <v/>
      </c>
      <c r="G6397" s="6">
        <f>INT(C6397)</f>
        <v/>
      </c>
    </row>
    <row r="6398">
      <c r="A6398" s="7" t="inlineStr">
        <is>
          <t>EXD407</t>
        </is>
      </c>
      <c r="B6398" s="8" t="n">
        <v>46125.75</v>
      </c>
      <c r="C6398" s="8" t="n">
        <v>46126.25</v>
      </c>
      <c r="D6398" s="9">
        <f>(C6398-B6398)*24</f>
        <v/>
      </c>
      <c r="E6398" s="10">
        <f>IF(AND(HOUR(B6398)&gt;=6,HOUR(B6398)&lt;18),"Day Shift","Night Shift")</f>
        <v/>
      </c>
      <c r="F6398" s="11">
        <f>INT(B6398)</f>
        <v/>
      </c>
      <c r="G6398" s="11">
        <f>INT(C6398)</f>
        <v/>
      </c>
    </row>
    <row r="6399">
      <c r="A6399" s="2" t="inlineStr">
        <is>
          <t>EXD407</t>
        </is>
      </c>
      <c r="B6399" s="3" t="n">
        <v>46126.25</v>
      </c>
      <c r="C6399" s="3" t="n">
        <v>46126.27966435185</v>
      </c>
      <c r="D6399" s="4">
        <f>(C6399-B6399)*24</f>
        <v/>
      </c>
      <c r="E6399" s="5">
        <f>IF(AND(HOUR(B6399)&gt;=6,HOUR(B6399)&lt;18),"Day Shift","Night Shift")</f>
        <v/>
      </c>
      <c r="F6399" s="6">
        <f>INT(B6399)</f>
        <v/>
      </c>
      <c r="G6399" s="6">
        <f>INT(C6399)</f>
        <v/>
      </c>
    </row>
    <row r="6400">
      <c r="A6400" s="2" t="inlineStr">
        <is>
          <t>EXD408</t>
        </is>
      </c>
      <c r="B6400" s="3" t="n">
        <v>46124.69826388889</v>
      </c>
      <c r="C6400" s="3" t="n">
        <v>46124.75</v>
      </c>
      <c r="D6400" s="4">
        <f>(C6400-B6400)*24</f>
        <v/>
      </c>
      <c r="E6400" s="5">
        <f>IF(AND(HOUR(B6400)&gt;=6,HOUR(B6400)&lt;18),"Day Shift","Night Shift")</f>
        <v/>
      </c>
      <c r="F6400" s="6">
        <f>INT(B6400)</f>
        <v/>
      </c>
      <c r="G6400" s="6">
        <f>INT(C6400)</f>
        <v/>
      </c>
    </row>
    <row r="6401">
      <c r="A6401" s="7" t="inlineStr">
        <is>
          <t>EXD408</t>
        </is>
      </c>
      <c r="B6401" s="8" t="n">
        <v>46124.75</v>
      </c>
      <c r="C6401" s="8" t="n">
        <v>46125.25</v>
      </c>
      <c r="D6401" s="9">
        <f>(C6401-B6401)*24</f>
        <v/>
      </c>
      <c r="E6401" s="10">
        <f>IF(AND(HOUR(B6401)&gt;=6,HOUR(B6401)&lt;18),"Day Shift","Night Shift")</f>
        <v/>
      </c>
      <c r="F6401" s="11">
        <f>INT(B6401)</f>
        <v/>
      </c>
      <c r="G6401" s="11">
        <f>INT(C6401)</f>
        <v/>
      </c>
    </row>
    <row r="6402">
      <c r="A6402" s="2" t="inlineStr">
        <is>
          <t>EXD408</t>
        </is>
      </c>
      <c r="B6402" s="3" t="n">
        <v>46125.25</v>
      </c>
      <c r="C6402" s="3" t="n">
        <v>46125.75</v>
      </c>
      <c r="D6402" s="4">
        <f>(C6402-B6402)*24</f>
        <v/>
      </c>
      <c r="E6402" s="5">
        <f>IF(AND(HOUR(B6402)&gt;=6,HOUR(B6402)&lt;18),"Day Shift","Night Shift")</f>
        <v/>
      </c>
      <c r="F6402" s="6">
        <f>INT(B6402)</f>
        <v/>
      </c>
      <c r="G6402" s="6">
        <f>INT(C6402)</f>
        <v/>
      </c>
    </row>
    <row r="6403">
      <c r="A6403" s="7" t="inlineStr">
        <is>
          <t>EXD408</t>
        </is>
      </c>
      <c r="B6403" s="8" t="n">
        <v>46125.75</v>
      </c>
      <c r="C6403" s="8" t="n">
        <v>46125.92849537037</v>
      </c>
      <c r="D6403" s="9">
        <f>(C6403-B6403)*24</f>
        <v/>
      </c>
      <c r="E6403" s="10">
        <f>IF(AND(HOUR(B6403)&gt;=6,HOUR(B6403)&lt;18),"Day Shift","Night Shift")</f>
        <v/>
      </c>
      <c r="F6403" s="11">
        <f>INT(B6403)</f>
        <v/>
      </c>
      <c r="G6403" s="11">
        <f>INT(C6403)</f>
        <v/>
      </c>
    </row>
    <row r="6404">
      <c r="A6404" s="2" t="inlineStr">
        <is>
          <t>EXD409</t>
        </is>
      </c>
      <c r="B6404" s="3" t="n">
        <v>46124.71646990741</v>
      </c>
      <c r="C6404" s="3" t="n">
        <v>46124.75</v>
      </c>
      <c r="D6404" s="4">
        <f>(C6404-B6404)*24</f>
        <v/>
      </c>
      <c r="E6404" s="5">
        <f>IF(AND(HOUR(B6404)&gt;=6,HOUR(B6404)&lt;18),"Day Shift","Night Shift")</f>
        <v/>
      </c>
      <c r="F6404" s="6">
        <f>INT(B6404)</f>
        <v/>
      </c>
      <c r="G6404" s="6">
        <f>INT(C6404)</f>
        <v/>
      </c>
    </row>
    <row r="6405">
      <c r="A6405" s="7" t="inlineStr">
        <is>
          <t>EXD409</t>
        </is>
      </c>
      <c r="B6405" s="8" t="n">
        <v>46124.75</v>
      </c>
      <c r="C6405" s="8" t="n">
        <v>46125.25</v>
      </c>
      <c r="D6405" s="9">
        <f>(C6405-B6405)*24</f>
        <v/>
      </c>
      <c r="E6405" s="10">
        <f>IF(AND(HOUR(B6405)&gt;=6,HOUR(B6405)&lt;18),"Day Shift","Night Shift")</f>
        <v/>
      </c>
      <c r="F6405" s="11">
        <f>INT(B6405)</f>
        <v/>
      </c>
      <c r="G6405" s="11">
        <f>INT(C6405)</f>
        <v/>
      </c>
    </row>
    <row r="6406">
      <c r="A6406" s="2" t="inlineStr">
        <is>
          <t>EXD409</t>
        </is>
      </c>
      <c r="B6406" s="3" t="n">
        <v>46125.25</v>
      </c>
      <c r="C6406" s="3" t="n">
        <v>46125.75</v>
      </c>
      <c r="D6406" s="4">
        <f>(C6406-B6406)*24</f>
        <v/>
      </c>
      <c r="E6406" s="5">
        <f>IF(AND(HOUR(B6406)&gt;=6,HOUR(B6406)&lt;18),"Day Shift","Night Shift")</f>
        <v/>
      </c>
      <c r="F6406" s="6">
        <f>INT(B6406)</f>
        <v/>
      </c>
      <c r="G6406" s="6">
        <f>INT(C6406)</f>
        <v/>
      </c>
    </row>
    <row r="6407">
      <c r="A6407" s="7" t="inlineStr">
        <is>
          <t>EXD409</t>
        </is>
      </c>
      <c r="B6407" s="8" t="n">
        <v>46125.75</v>
      </c>
      <c r="C6407" s="8" t="n">
        <v>46126.25</v>
      </c>
      <c r="D6407" s="9">
        <f>(C6407-B6407)*24</f>
        <v/>
      </c>
      <c r="E6407" s="10">
        <f>IF(AND(HOUR(B6407)&gt;=6,HOUR(B6407)&lt;18),"Day Shift","Night Shift")</f>
        <v/>
      </c>
      <c r="F6407" s="11">
        <f>INT(B6407)</f>
        <v/>
      </c>
      <c r="G6407" s="11">
        <f>INT(C6407)</f>
        <v/>
      </c>
    </row>
    <row r="6408">
      <c r="A6408" s="2" t="inlineStr">
        <is>
          <t>EXD409</t>
        </is>
      </c>
      <c r="B6408" s="3" t="n">
        <v>46126.25</v>
      </c>
      <c r="C6408" s="3" t="n">
        <v>46126.75</v>
      </c>
      <c r="D6408" s="4">
        <f>(C6408-B6408)*24</f>
        <v/>
      </c>
      <c r="E6408" s="5">
        <f>IF(AND(HOUR(B6408)&gt;=6,HOUR(B6408)&lt;18),"Day Shift","Night Shift")</f>
        <v/>
      </c>
      <c r="F6408" s="6">
        <f>INT(B6408)</f>
        <v/>
      </c>
      <c r="G6408" s="6">
        <f>INT(C6408)</f>
        <v/>
      </c>
    </row>
    <row r="6409">
      <c r="A6409" s="7" t="inlineStr">
        <is>
          <t>EXD409</t>
        </is>
      </c>
      <c r="B6409" s="8" t="n">
        <v>46126.75</v>
      </c>
      <c r="C6409" s="8" t="n">
        <v>46127.25</v>
      </c>
      <c r="D6409" s="9">
        <f>(C6409-B6409)*24</f>
        <v/>
      </c>
      <c r="E6409" s="10">
        <f>IF(AND(HOUR(B6409)&gt;=6,HOUR(B6409)&lt;18),"Day Shift","Night Shift")</f>
        <v/>
      </c>
      <c r="F6409" s="11">
        <f>INT(B6409)</f>
        <v/>
      </c>
      <c r="G6409" s="11">
        <f>INT(C6409)</f>
        <v/>
      </c>
    </row>
    <row r="6410">
      <c r="A6410" s="2" t="inlineStr">
        <is>
          <t>EXD409</t>
        </is>
      </c>
      <c r="B6410" s="3" t="n">
        <v>46127.25</v>
      </c>
      <c r="C6410" s="3" t="n">
        <v>46127.36834490741</v>
      </c>
      <c r="D6410" s="4">
        <f>(C6410-B6410)*24</f>
        <v/>
      </c>
      <c r="E6410" s="5">
        <f>IF(AND(HOUR(B6410)&gt;=6,HOUR(B6410)&lt;18),"Day Shift","Night Shift")</f>
        <v/>
      </c>
      <c r="F6410" s="6">
        <f>INT(B6410)</f>
        <v/>
      </c>
      <c r="G6410" s="6">
        <f>INT(C6410)</f>
        <v/>
      </c>
    </row>
    <row r="6411">
      <c r="A6411" s="2" t="inlineStr">
        <is>
          <t>SHE36</t>
        </is>
      </c>
      <c r="B6411" s="3" t="n">
        <v>46124.71822916667</v>
      </c>
      <c r="C6411" s="3" t="n">
        <v>46124.75</v>
      </c>
      <c r="D6411" s="4">
        <f>(C6411-B6411)*24</f>
        <v/>
      </c>
      <c r="E6411" s="5">
        <f>IF(AND(HOUR(B6411)&gt;=6,HOUR(B6411)&lt;18),"Day Shift","Night Shift")</f>
        <v/>
      </c>
      <c r="F6411" s="6">
        <f>INT(B6411)</f>
        <v/>
      </c>
      <c r="G6411" s="6">
        <f>INT(C6411)</f>
        <v/>
      </c>
    </row>
    <row r="6412">
      <c r="A6412" s="7" t="inlineStr">
        <is>
          <t>SHE36</t>
        </is>
      </c>
      <c r="B6412" s="8" t="n">
        <v>46124.75</v>
      </c>
      <c r="C6412" s="8" t="n">
        <v>46125.25</v>
      </c>
      <c r="D6412" s="9">
        <f>(C6412-B6412)*24</f>
        <v/>
      </c>
      <c r="E6412" s="10">
        <f>IF(AND(HOUR(B6412)&gt;=6,HOUR(B6412)&lt;18),"Day Shift","Night Shift")</f>
        <v/>
      </c>
      <c r="F6412" s="11">
        <f>INT(B6412)</f>
        <v/>
      </c>
      <c r="G6412" s="11">
        <f>INT(C6412)</f>
        <v/>
      </c>
    </row>
    <row r="6413">
      <c r="A6413" s="2" t="inlineStr">
        <is>
          <t>SHE36</t>
        </is>
      </c>
      <c r="B6413" s="3" t="n">
        <v>46125.25</v>
      </c>
      <c r="C6413" s="3" t="n">
        <v>46125.75</v>
      </c>
      <c r="D6413" s="4">
        <f>(C6413-B6413)*24</f>
        <v/>
      </c>
      <c r="E6413" s="5">
        <f>IF(AND(HOUR(B6413)&gt;=6,HOUR(B6413)&lt;18),"Day Shift","Night Shift")</f>
        <v/>
      </c>
      <c r="F6413" s="6">
        <f>INT(B6413)</f>
        <v/>
      </c>
      <c r="G6413" s="6">
        <f>INT(C6413)</f>
        <v/>
      </c>
    </row>
    <row r="6414">
      <c r="A6414" s="7" t="inlineStr">
        <is>
          <t>SHE36</t>
        </is>
      </c>
      <c r="B6414" s="8" t="n">
        <v>46125.75</v>
      </c>
      <c r="C6414" s="8" t="n">
        <v>46126.23633101852</v>
      </c>
      <c r="D6414" s="9">
        <f>(C6414-B6414)*24</f>
        <v/>
      </c>
      <c r="E6414" s="10">
        <f>IF(AND(HOUR(B6414)&gt;=6,HOUR(B6414)&lt;18),"Day Shift","Night Shift")</f>
        <v/>
      </c>
      <c r="F6414" s="11">
        <f>INT(B6414)</f>
        <v/>
      </c>
      <c r="G6414" s="11">
        <f>INT(C6414)</f>
        <v/>
      </c>
    </row>
    <row r="6415">
      <c r="A6415" s="2" t="inlineStr">
        <is>
          <t>EXD101</t>
        </is>
      </c>
      <c r="B6415" s="3" t="n">
        <v>46124.72679398148</v>
      </c>
      <c r="C6415" s="3" t="n">
        <v>46124.75</v>
      </c>
      <c r="D6415" s="4">
        <f>(C6415-B6415)*24</f>
        <v/>
      </c>
      <c r="E6415" s="5">
        <f>IF(AND(HOUR(B6415)&gt;=6,HOUR(B6415)&lt;18),"Day Shift","Night Shift")</f>
        <v/>
      </c>
      <c r="F6415" s="6">
        <f>INT(B6415)</f>
        <v/>
      </c>
      <c r="G6415" s="6">
        <f>INT(C6415)</f>
        <v/>
      </c>
    </row>
    <row r="6416">
      <c r="A6416" s="7" t="inlineStr">
        <is>
          <t>EXD101</t>
        </is>
      </c>
      <c r="B6416" s="8" t="n">
        <v>46124.75</v>
      </c>
      <c r="C6416" s="8" t="n">
        <v>46125.25</v>
      </c>
      <c r="D6416" s="9">
        <f>(C6416-B6416)*24</f>
        <v/>
      </c>
      <c r="E6416" s="10">
        <f>IF(AND(HOUR(B6416)&gt;=6,HOUR(B6416)&lt;18),"Day Shift","Night Shift")</f>
        <v/>
      </c>
      <c r="F6416" s="11">
        <f>INT(B6416)</f>
        <v/>
      </c>
      <c r="G6416" s="11">
        <f>INT(C6416)</f>
        <v/>
      </c>
    </row>
    <row r="6417">
      <c r="A6417" s="2" t="inlineStr">
        <is>
          <t>EXD101</t>
        </is>
      </c>
      <c r="B6417" s="3" t="n">
        <v>46125.25</v>
      </c>
      <c r="C6417" s="3" t="n">
        <v>46125.34929398148</v>
      </c>
      <c r="D6417" s="4">
        <f>(C6417-B6417)*24</f>
        <v/>
      </c>
      <c r="E6417" s="5">
        <f>IF(AND(HOUR(B6417)&gt;=6,HOUR(B6417)&lt;18),"Day Shift","Night Shift")</f>
        <v/>
      </c>
      <c r="F6417" s="6">
        <f>INT(B6417)</f>
        <v/>
      </c>
      <c r="G6417" s="6">
        <f>INT(C6417)</f>
        <v/>
      </c>
    </row>
    <row r="6418">
      <c r="A6418" s="2" t="inlineStr">
        <is>
          <t>EXD73</t>
        </is>
      </c>
      <c r="B6418" s="3" t="n">
        <v>46124.74378472222</v>
      </c>
      <c r="C6418" s="3" t="n">
        <v>46124.75</v>
      </c>
      <c r="D6418" s="4">
        <f>(C6418-B6418)*24</f>
        <v/>
      </c>
      <c r="E6418" s="5">
        <f>IF(AND(HOUR(B6418)&gt;=6,HOUR(B6418)&lt;18),"Day Shift","Night Shift")</f>
        <v/>
      </c>
      <c r="F6418" s="6">
        <f>INT(B6418)</f>
        <v/>
      </c>
      <c r="G6418" s="6">
        <f>INT(C6418)</f>
        <v/>
      </c>
    </row>
    <row r="6419">
      <c r="A6419" s="7" t="inlineStr">
        <is>
          <t>EXD73</t>
        </is>
      </c>
      <c r="B6419" s="8" t="n">
        <v>46124.75</v>
      </c>
      <c r="C6419" s="8" t="n">
        <v>46125.25</v>
      </c>
      <c r="D6419" s="9">
        <f>(C6419-B6419)*24</f>
        <v/>
      </c>
      <c r="E6419" s="10">
        <f>IF(AND(HOUR(B6419)&gt;=6,HOUR(B6419)&lt;18),"Day Shift","Night Shift")</f>
        <v/>
      </c>
      <c r="F6419" s="11">
        <f>INT(B6419)</f>
        <v/>
      </c>
      <c r="G6419" s="11">
        <f>INT(C6419)</f>
        <v/>
      </c>
    </row>
    <row r="6420">
      <c r="A6420" s="2" t="inlineStr">
        <is>
          <t>EXD73</t>
        </is>
      </c>
      <c r="B6420" s="3" t="n">
        <v>46125.25</v>
      </c>
      <c r="C6420" s="3" t="n">
        <v>46125.75</v>
      </c>
      <c r="D6420" s="4">
        <f>(C6420-B6420)*24</f>
        <v/>
      </c>
      <c r="E6420" s="5">
        <f>IF(AND(HOUR(B6420)&gt;=6,HOUR(B6420)&lt;18),"Day Shift","Night Shift")</f>
        <v/>
      </c>
      <c r="F6420" s="6">
        <f>INT(B6420)</f>
        <v/>
      </c>
      <c r="G6420" s="6">
        <f>INT(C6420)</f>
        <v/>
      </c>
    </row>
    <row r="6421">
      <c r="A6421" s="7" t="inlineStr">
        <is>
          <t>EXD73</t>
        </is>
      </c>
      <c r="B6421" s="8" t="n">
        <v>46125.75</v>
      </c>
      <c r="C6421" s="8" t="n">
        <v>46126.25</v>
      </c>
      <c r="D6421" s="9">
        <f>(C6421-B6421)*24</f>
        <v/>
      </c>
      <c r="E6421" s="10">
        <f>IF(AND(HOUR(B6421)&gt;=6,HOUR(B6421)&lt;18),"Day Shift","Night Shift")</f>
        <v/>
      </c>
      <c r="F6421" s="11">
        <f>INT(B6421)</f>
        <v/>
      </c>
      <c r="G6421" s="11">
        <f>INT(C6421)</f>
        <v/>
      </c>
    </row>
    <row r="6422">
      <c r="A6422" s="2" t="inlineStr">
        <is>
          <t>EXD73</t>
        </is>
      </c>
      <c r="B6422" s="3" t="n">
        <v>46126.25</v>
      </c>
      <c r="C6422" s="3" t="n">
        <v>46126.70877314815</v>
      </c>
      <c r="D6422" s="4">
        <f>(C6422-B6422)*24</f>
        <v/>
      </c>
      <c r="E6422" s="5">
        <f>IF(AND(HOUR(B6422)&gt;=6,HOUR(B6422)&lt;18),"Day Shift","Night Shift")</f>
        <v/>
      </c>
      <c r="F6422" s="6">
        <f>INT(B6422)</f>
        <v/>
      </c>
      <c r="G6422" s="6">
        <f>INT(C6422)</f>
        <v/>
      </c>
    </row>
    <row r="6423">
      <c r="A6423" s="7" t="inlineStr">
        <is>
          <t>LDW262</t>
        </is>
      </c>
      <c r="B6423" s="8" t="n">
        <v>46124.79797453704</v>
      </c>
      <c r="C6423" s="8" t="n">
        <v>46125.25</v>
      </c>
      <c r="D6423" s="9">
        <f>(C6423-B6423)*24</f>
        <v/>
      </c>
      <c r="E6423" s="10">
        <f>IF(AND(HOUR(B6423)&gt;=6,HOUR(B6423)&lt;18),"Day Shift","Night Shift")</f>
        <v/>
      </c>
      <c r="F6423" s="11">
        <f>INT(B6423)</f>
        <v/>
      </c>
      <c r="G6423" s="11">
        <f>INT(C6423)</f>
        <v/>
      </c>
    </row>
    <row r="6424">
      <c r="A6424" s="2" t="inlineStr">
        <is>
          <t>LDW262</t>
        </is>
      </c>
      <c r="B6424" s="3" t="n">
        <v>46125.25</v>
      </c>
      <c r="C6424" s="3" t="n">
        <v>46125.26262731481</v>
      </c>
      <c r="D6424" s="4">
        <f>(C6424-B6424)*24</f>
        <v/>
      </c>
      <c r="E6424" s="5">
        <f>IF(AND(HOUR(B6424)&gt;=6,HOUR(B6424)&lt;18),"Day Shift","Night Shift")</f>
        <v/>
      </c>
      <c r="F6424" s="6">
        <f>INT(B6424)</f>
        <v/>
      </c>
      <c r="G6424" s="6">
        <f>INT(C6424)</f>
        <v/>
      </c>
    </row>
    <row r="6425">
      <c r="A6425" s="7" t="inlineStr">
        <is>
          <t>EXD55</t>
        </is>
      </c>
      <c r="B6425" s="8" t="n">
        <v>46124.99797453704</v>
      </c>
      <c r="C6425" s="8" t="n">
        <v>46125.25</v>
      </c>
      <c r="D6425" s="9">
        <f>(C6425-B6425)*24</f>
        <v/>
      </c>
      <c r="E6425" s="10">
        <f>IF(AND(HOUR(B6425)&gt;=6,HOUR(B6425)&lt;18),"Day Shift","Night Shift")</f>
        <v/>
      </c>
      <c r="F6425" s="11">
        <f>INT(B6425)</f>
        <v/>
      </c>
      <c r="G6425" s="11">
        <f>INT(C6425)</f>
        <v/>
      </c>
    </row>
    <row r="6426">
      <c r="A6426" s="2" t="inlineStr">
        <is>
          <t>EXD55</t>
        </is>
      </c>
      <c r="B6426" s="3" t="n">
        <v>46125.25</v>
      </c>
      <c r="C6426" s="3" t="n">
        <v>46125.75</v>
      </c>
      <c r="D6426" s="4">
        <f>(C6426-B6426)*24</f>
        <v/>
      </c>
      <c r="E6426" s="5">
        <f>IF(AND(HOUR(B6426)&gt;=6,HOUR(B6426)&lt;18),"Day Shift","Night Shift")</f>
        <v/>
      </c>
      <c r="F6426" s="6">
        <f>INT(B6426)</f>
        <v/>
      </c>
      <c r="G6426" s="6">
        <f>INT(C6426)</f>
        <v/>
      </c>
    </row>
    <row r="6427">
      <c r="A6427" s="7" t="inlineStr">
        <is>
          <t>EXD55</t>
        </is>
      </c>
      <c r="B6427" s="8" t="n">
        <v>46125.75</v>
      </c>
      <c r="C6427" s="8" t="n">
        <v>46126.25</v>
      </c>
      <c r="D6427" s="9">
        <f>(C6427-B6427)*24</f>
        <v/>
      </c>
      <c r="E6427" s="10">
        <f>IF(AND(HOUR(B6427)&gt;=6,HOUR(B6427)&lt;18),"Day Shift","Night Shift")</f>
        <v/>
      </c>
      <c r="F6427" s="11">
        <f>INT(B6427)</f>
        <v/>
      </c>
      <c r="G6427" s="11">
        <f>INT(C6427)</f>
        <v/>
      </c>
    </row>
    <row r="6428">
      <c r="A6428" s="2" t="inlineStr">
        <is>
          <t>EXD55</t>
        </is>
      </c>
      <c r="B6428" s="3" t="n">
        <v>46126.25</v>
      </c>
      <c r="C6428" s="3" t="n">
        <v>46126.30995370371</v>
      </c>
      <c r="D6428" s="4">
        <f>(C6428-B6428)*24</f>
        <v/>
      </c>
      <c r="E6428" s="5">
        <f>IF(AND(HOUR(B6428)&gt;=6,HOUR(B6428)&lt;18),"Day Shift","Night Shift")</f>
        <v/>
      </c>
      <c r="F6428" s="6">
        <f>INT(B6428)</f>
        <v/>
      </c>
      <c r="G6428" s="6">
        <f>INT(C6428)</f>
        <v/>
      </c>
    </row>
    <row r="6429">
      <c r="A6429" s="7" t="inlineStr">
        <is>
          <t>EXD56</t>
        </is>
      </c>
      <c r="B6429" s="8" t="n">
        <v>46125.03921296296</v>
      </c>
      <c r="C6429" s="8" t="n">
        <v>46125.25</v>
      </c>
      <c r="D6429" s="9">
        <f>(C6429-B6429)*24</f>
        <v/>
      </c>
      <c r="E6429" s="10">
        <f>IF(AND(HOUR(B6429)&gt;=6,HOUR(B6429)&lt;18),"Day Shift","Night Shift")</f>
        <v/>
      </c>
      <c r="F6429" s="11">
        <f>INT(B6429)</f>
        <v/>
      </c>
      <c r="G6429" s="11">
        <f>INT(C6429)</f>
        <v/>
      </c>
    </row>
    <row r="6430">
      <c r="A6430" s="2" t="inlineStr">
        <is>
          <t>EXD56</t>
        </is>
      </c>
      <c r="B6430" s="3" t="n">
        <v>46125.25</v>
      </c>
      <c r="C6430" s="3" t="n">
        <v>46125.75</v>
      </c>
      <c r="D6430" s="4">
        <f>(C6430-B6430)*24</f>
        <v/>
      </c>
      <c r="E6430" s="5">
        <f>IF(AND(HOUR(B6430)&gt;=6,HOUR(B6430)&lt;18),"Day Shift","Night Shift")</f>
        <v/>
      </c>
      <c r="F6430" s="6">
        <f>INT(B6430)</f>
        <v/>
      </c>
      <c r="G6430" s="6">
        <f>INT(C6430)</f>
        <v/>
      </c>
    </row>
    <row r="6431">
      <c r="A6431" s="7" t="inlineStr">
        <is>
          <t>EXD56</t>
        </is>
      </c>
      <c r="B6431" s="8" t="n">
        <v>46125.75</v>
      </c>
      <c r="C6431" s="8" t="n">
        <v>46126.25</v>
      </c>
      <c r="D6431" s="9">
        <f>(C6431-B6431)*24</f>
        <v/>
      </c>
      <c r="E6431" s="10">
        <f>IF(AND(HOUR(B6431)&gt;=6,HOUR(B6431)&lt;18),"Day Shift","Night Shift")</f>
        <v/>
      </c>
      <c r="F6431" s="11">
        <f>INT(B6431)</f>
        <v/>
      </c>
      <c r="G6431" s="11">
        <f>INT(C6431)</f>
        <v/>
      </c>
    </row>
    <row r="6432">
      <c r="A6432" s="2" t="inlineStr">
        <is>
          <t>EXD56</t>
        </is>
      </c>
      <c r="B6432" s="3" t="n">
        <v>46126.25</v>
      </c>
      <c r="C6432" s="3" t="n">
        <v>46126.75</v>
      </c>
      <c r="D6432" s="4">
        <f>(C6432-B6432)*24</f>
        <v/>
      </c>
      <c r="E6432" s="5">
        <f>IF(AND(HOUR(B6432)&gt;=6,HOUR(B6432)&lt;18),"Day Shift","Night Shift")</f>
        <v/>
      </c>
      <c r="F6432" s="6">
        <f>INT(B6432)</f>
        <v/>
      </c>
      <c r="G6432" s="6">
        <f>INT(C6432)</f>
        <v/>
      </c>
    </row>
    <row r="6433">
      <c r="A6433" s="7" t="inlineStr">
        <is>
          <t>EXD56</t>
        </is>
      </c>
      <c r="B6433" s="8" t="n">
        <v>46126.75</v>
      </c>
      <c r="C6433" s="8" t="n">
        <v>46127.25</v>
      </c>
      <c r="D6433" s="9">
        <f>(C6433-B6433)*24</f>
        <v/>
      </c>
      <c r="E6433" s="10">
        <f>IF(AND(HOUR(B6433)&gt;=6,HOUR(B6433)&lt;18),"Day Shift","Night Shift")</f>
        <v/>
      </c>
      <c r="F6433" s="11">
        <f>INT(B6433)</f>
        <v/>
      </c>
      <c r="G6433" s="11">
        <f>INT(C6433)</f>
        <v/>
      </c>
    </row>
    <row r="6434">
      <c r="A6434" s="2" t="inlineStr">
        <is>
          <t>EXD56</t>
        </is>
      </c>
      <c r="B6434" s="3" t="n">
        <v>46127.25</v>
      </c>
      <c r="C6434" s="3" t="n">
        <v>46127.75</v>
      </c>
      <c r="D6434" s="4">
        <f>(C6434-B6434)*24</f>
        <v/>
      </c>
      <c r="E6434" s="5">
        <f>IF(AND(HOUR(B6434)&gt;=6,HOUR(B6434)&lt;18),"Day Shift","Night Shift")</f>
        <v/>
      </c>
      <c r="F6434" s="6">
        <f>INT(B6434)</f>
        <v/>
      </c>
      <c r="G6434" s="6">
        <f>INT(C6434)</f>
        <v/>
      </c>
    </row>
    <row r="6435">
      <c r="A6435" s="7" t="inlineStr">
        <is>
          <t>EXD56</t>
        </is>
      </c>
      <c r="B6435" s="8" t="n">
        <v>46127.75</v>
      </c>
      <c r="C6435" s="8" t="n">
        <v>46127.88236111111</v>
      </c>
      <c r="D6435" s="9">
        <f>(C6435-B6435)*24</f>
        <v/>
      </c>
      <c r="E6435" s="10">
        <f>IF(AND(HOUR(B6435)&gt;=6,HOUR(B6435)&lt;18),"Day Shift","Night Shift")</f>
        <v/>
      </c>
      <c r="F6435" s="11">
        <f>INT(B6435)</f>
        <v/>
      </c>
      <c r="G6435" s="11">
        <f>INT(C6435)</f>
        <v/>
      </c>
    </row>
    <row r="6436">
      <c r="A6436" s="7" t="inlineStr">
        <is>
          <t>EDD175;EDD1932;EDD2134;EDD2541;EDD812</t>
        </is>
      </c>
      <c r="B6436" s="8" t="n">
        <v>46125.11497685185</v>
      </c>
      <c r="C6436" s="8" t="n">
        <v>46125.25</v>
      </c>
      <c r="D6436" s="9">
        <f>(C6436-B6436)*24</f>
        <v/>
      </c>
      <c r="E6436" s="10">
        <f>IF(AND(HOUR(B6436)&gt;=6,HOUR(B6436)&lt;18),"Day Shift","Night Shift")</f>
        <v/>
      </c>
      <c r="F6436" s="11">
        <f>INT(B6436)</f>
        <v/>
      </c>
      <c r="G6436" s="11">
        <f>INT(C6436)</f>
        <v/>
      </c>
    </row>
    <row r="6437">
      <c r="A6437" s="2" t="inlineStr">
        <is>
          <t>EDD175;EDD1932;EDD2134;EDD2541;EDD812</t>
        </is>
      </c>
      <c r="B6437" s="3" t="n">
        <v>46125.25</v>
      </c>
      <c r="C6437" s="3" t="n">
        <v>46125.73594907407</v>
      </c>
      <c r="D6437" s="4">
        <f>(C6437-B6437)*24</f>
        <v/>
      </c>
      <c r="E6437" s="5">
        <f>IF(AND(HOUR(B6437)&gt;=6,HOUR(B6437)&lt;18),"Day Shift","Night Shift")</f>
        <v/>
      </c>
      <c r="F6437" s="6">
        <f>INT(B6437)</f>
        <v/>
      </c>
      <c r="G6437" s="6">
        <f>INT(C6437)</f>
        <v/>
      </c>
    </row>
    <row r="6438">
      <c r="A6438" s="7" t="inlineStr">
        <is>
          <t>Sprint 1</t>
        </is>
      </c>
      <c r="B6438" s="8" t="n">
        <v>46125.12275462963</v>
      </c>
      <c r="C6438" s="8" t="n">
        <v>46125.25</v>
      </c>
      <c r="D6438" s="9">
        <f>(C6438-B6438)*24</f>
        <v/>
      </c>
      <c r="E6438" s="10">
        <f>IF(AND(HOUR(B6438)&gt;=6,HOUR(B6438)&lt;18),"Day Shift","Night Shift")</f>
        <v/>
      </c>
      <c r="F6438" s="11">
        <f>INT(B6438)</f>
        <v/>
      </c>
      <c r="G6438" s="11">
        <f>INT(C6438)</f>
        <v/>
      </c>
    </row>
    <row r="6439">
      <c r="A6439" s="2" t="inlineStr">
        <is>
          <t>Sprint 1</t>
        </is>
      </c>
      <c r="B6439" s="3" t="n">
        <v>46125.25</v>
      </c>
      <c r="C6439" s="3" t="n">
        <v>46125.75</v>
      </c>
      <c r="D6439" s="4">
        <f>(C6439-B6439)*24</f>
        <v/>
      </c>
      <c r="E6439" s="5">
        <f>IF(AND(HOUR(B6439)&gt;=6,HOUR(B6439)&lt;18),"Day Shift","Night Shift")</f>
        <v/>
      </c>
      <c r="F6439" s="6">
        <f>INT(B6439)</f>
        <v/>
      </c>
      <c r="G6439" s="6">
        <f>INT(C6439)</f>
        <v/>
      </c>
    </row>
    <row r="6440">
      <c r="A6440" s="7" t="inlineStr">
        <is>
          <t>Sprint 1</t>
        </is>
      </c>
      <c r="B6440" s="8" t="n">
        <v>46125.75</v>
      </c>
      <c r="C6440" s="8" t="n">
        <v>46125.84626157407</v>
      </c>
      <c r="D6440" s="9">
        <f>(C6440-B6440)*24</f>
        <v/>
      </c>
      <c r="E6440" s="10">
        <f>IF(AND(HOUR(B6440)&gt;=6,HOUR(B6440)&lt;18),"Day Shift","Night Shift")</f>
        <v/>
      </c>
      <c r="F6440" s="11">
        <f>INT(B6440)</f>
        <v/>
      </c>
      <c r="G6440" s="11">
        <f>INT(C6440)</f>
        <v/>
      </c>
    </row>
    <row r="6441">
      <c r="A6441" s="2" t="inlineStr">
        <is>
          <t>LDW262</t>
        </is>
      </c>
      <c r="B6441" s="3" t="n">
        <v>46125.26262731481</v>
      </c>
      <c r="C6441" s="3" t="n">
        <v>46125.63585648148</v>
      </c>
      <c r="D6441" s="4">
        <f>(C6441-B6441)*24</f>
        <v/>
      </c>
      <c r="E6441" s="5">
        <f>IF(AND(HOUR(B6441)&gt;=6,HOUR(B6441)&lt;18),"Day Shift","Night Shift")</f>
        <v/>
      </c>
      <c r="F6441" s="6">
        <f>INT(B6441)</f>
        <v/>
      </c>
      <c r="G6441" s="6">
        <f>INT(C6441)</f>
        <v/>
      </c>
    </row>
    <row r="6442">
      <c r="A6442" s="2" t="inlineStr">
        <is>
          <t>EXD100</t>
        </is>
      </c>
      <c r="B6442" s="3" t="n">
        <v>46125.34280092592</v>
      </c>
      <c r="C6442" s="3" t="n">
        <v>46125.75</v>
      </c>
      <c r="D6442" s="4">
        <f>(C6442-B6442)*24</f>
        <v/>
      </c>
      <c r="E6442" s="5">
        <f>IF(AND(HOUR(B6442)&gt;=6,HOUR(B6442)&lt;18),"Day Shift","Night Shift")</f>
        <v/>
      </c>
      <c r="F6442" s="6">
        <f>INT(B6442)</f>
        <v/>
      </c>
      <c r="G6442" s="6">
        <f>INT(C6442)</f>
        <v/>
      </c>
    </row>
    <row r="6443">
      <c r="A6443" s="7" t="inlineStr">
        <is>
          <t>EXD100</t>
        </is>
      </c>
      <c r="B6443" s="8" t="n">
        <v>46125.75</v>
      </c>
      <c r="C6443" s="8" t="n">
        <v>46126.25</v>
      </c>
      <c r="D6443" s="9">
        <f>(C6443-B6443)*24</f>
        <v/>
      </c>
      <c r="E6443" s="10">
        <f>IF(AND(HOUR(B6443)&gt;=6,HOUR(B6443)&lt;18),"Day Shift","Night Shift")</f>
        <v/>
      </c>
      <c r="F6443" s="11">
        <f>INT(B6443)</f>
        <v/>
      </c>
      <c r="G6443" s="11">
        <f>INT(C6443)</f>
        <v/>
      </c>
    </row>
    <row r="6444">
      <c r="A6444" s="2" t="inlineStr">
        <is>
          <t>EXD100</t>
        </is>
      </c>
      <c r="B6444" s="3" t="n">
        <v>46126.25</v>
      </c>
      <c r="C6444" s="3" t="n">
        <v>46126.37622685185</v>
      </c>
      <c r="D6444" s="4">
        <f>(C6444-B6444)*24</f>
        <v/>
      </c>
      <c r="E6444" s="5">
        <f>IF(AND(HOUR(B6444)&gt;=6,HOUR(B6444)&lt;18),"Day Shift","Night Shift")</f>
        <v/>
      </c>
      <c r="F6444" s="6">
        <f>INT(B6444)</f>
        <v/>
      </c>
      <c r="G6444" s="6">
        <f>INT(C6444)</f>
        <v/>
      </c>
    </row>
    <row r="6445">
      <c r="A6445" s="2" t="inlineStr">
        <is>
          <t>EXD98</t>
        </is>
      </c>
      <c r="B6445" s="3" t="n">
        <v>46125.38194444445</v>
      </c>
      <c r="C6445" s="3" t="n">
        <v>46125.75</v>
      </c>
      <c r="D6445" s="4">
        <f>(C6445-B6445)*24</f>
        <v/>
      </c>
      <c r="E6445" s="5">
        <f>IF(AND(HOUR(B6445)&gt;=6,HOUR(B6445)&lt;18),"Day Shift","Night Shift")</f>
        <v/>
      </c>
      <c r="F6445" s="6">
        <f>INT(B6445)</f>
        <v/>
      </c>
      <c r="G6445" s="6">
        <f>INT(C6445)</f>
        <v/>
      </c>
    </row>
    <row r="6446">
      <c r="A6446" s="7" t="inlineStr">
        <is>
          <t>EXD98</t>
        </is>
      </c>
      <c r="B6446" s="8" t="n">
        <v>46125.75</v>
      </c>
      <c r="C6446" s="8" t="n">
        <v>46126.25</v>
      </c>
      <c r="D6446" s="9">
        <f>(C6446-B6446)*24</f>
        <v/>
      </c>
      <c r="E6446" s="10">
        <f>IF(AND(HOUR(B6446)&gt;=6,HOUR(B6446)&lt;18),"Day Shift","Night Shift")</f>
        <v/>
      </c>
      <c r="F6446" s="11">
        <f>INT(B6446)</f>
        <v/>
      </c>
      <c r="G6446" s="11">
        <f>INT(C6446)</f>
        <v/>
      </c>
    </row>
    <row r="6447">
      <c r="A6447" s="2" t="inlineStr">
        <is>
          <t>EXD98</t>
        </is>
      </c>
      <c r="B6447" s="3" t="n">
        <v>46126.25</v>
      </c>
      <c r="C6447" s="3" t="n">
        <v>46126.28814814815</v>
      </c>
      <c r="D6447" s="4">
        <f>(C6447-B6447)*24</f>
        <v/>
      </c>
      <c r="E6447" s="5">
        <f>IF(AND(HOUR(B6447)&gt;=6,HOUR(B6447)&lt;18),"Day Shift","Night Shift")</f>
        <v/>
      </c>
      <c r="F6447" s="6">
        <f>INT(B6447)</f>
        <v/>
      </c>
      <c r="G6447" s="6">
        <f>INT(C6447)</f>
        <v/>
      </c>
    </row>
    <row r="6448">
      <c r="A6448" s="2" t="inlineStr">
        <is>
          <t>Stag Drill</t>
        </is>
      </c>
      <c r="B6448" s="3" t="n">
        <v>46125.48513888889</v>
      </c>
      <c r="C6448" s="3" t="n">
        <v>46125.75</v>
      </c>
      <c r="D6448" s="4">
        <f>(C6448-B6448)*24</f>
        <v/>
      </c>
      <c r="E6448" s="5">
        <f>IF(AND(HOUR(B6448)&gt;=6,HOUR(B6448)&lt;18),"Day Shift","Night Shift")</f>
        <v/>
      </c>
      <c r="F6448" s="6">
        <f>INT(B6448)</f>
        <v/>
      </c>
      <c r="G6448" s="6">
        <f>INT(C6448)</f>
        <v/>
      </c>
    </row>
    <row r="6449">
      <c r="A6449" s="7" t="inlineStr">
        <is>
          <t>Stag Drill</t>
        </is>
      </c>
      <c r="B6449" s="8" t="n">
        <v>46125.75</v>
      </c>
      <c r="C6449" s="8" t="n">
        <v>46125.88431712963</v>
      </c>
      <c r="D6449" s="9">
        <f>(C6449-B6449)*24</f>
        <v/>
      </c>
      <c r="E6449" s="10">
        <f>IF(AND(HOUR(B6449)&gt;=6,HOUR(B6449)&lt;18),"Day Shift","Night Shift")</f>
        <v/>
      </c>
      <c r="F6449" s="11">
        <f>INT(B6449)</f>
        <v/>
      </c>
      <c r="G6449" s="11">
        <f>INT(C6449)</f>
        <v/>
      </c>
    </row>
    <row r="6450">
      <c r="A6450" s="2" t="inlineStr">
        <is>
          <t>EXD101</t>
        </is>
      </c>
      <c r="B6450" s="3" t="n">
        <v>46125.48513888889</v>
      </c>
      <c r="C6450" s="3" t="n">
        <v>46125.75</v>
      </c>
      <c r="D6450" s="4">
        <f>(C6450-B6450)*24</f>
        <v/>
      </c>
      <c r="E6450" s="5">
        <f>IF(AND(HOUR(B6450)&gt;=6,HOUR(B6450)&lt;18),"Day Shift","Night Shift")</f>
        <v/>
      </c>
      <c r="F6450" s="6">
        <f>INT(B6450)</f>
        <v/>
      </c>
      <c r="G6450" s="6">
        <f>INT(C6450)</f>
        <v/>
      </c>
    </row>
    <row r="6451">
      <c r="A6451" s="7" t="inlineStr">
        <is>
          <t>EXD101</t>
        </is>
      </c>
      <c r="B6451" s="8" t="n">
        <v>46125.75</v>
      </c>
      <c r="C6451" s="8" t="n">
        <v>46126.25</v>
      </c>
      <c r="D6451" s="9">
        <f>(C6451-B6451)*24</f>
        <v/>
      </c>
      <c r="E6451" s="10">
        <f>IF(AND(HOUR(B6451)&gt;=6,HOUR(B6451)&lt;18),"Day Shift","Night Shift")</f>
        <v/>
      </c>
      <c r="F6451" s="11">
        <f>INT(B6451)</f>
        <v/>
      </c>
      <c r="G6451" s="11">
        <f>INT(C6451)</f>
        <v/>
      </c>
    </row>
    <row r="6452">
      <c r="A6452" s="2" t="inlineStr">
        <is>
          <t>EXD101</t>
        </is>
      </c>
      <c r="B6452" s="3" t="n">
        <v>46126.25</v>
      </c>
      <c r="C6452" s="3" t="n">
        <v>46126.75</v>
      </c>
      <c r="D6452" s="4">
        <f>(C6452-B6452)*24</f>
        <v/>
      </c>
      <c r="E6452" s="5">
        <f>IF(AND(HOUR(B6452)&gt;=6,HOUR(B6452)&lt;18),"Day Shift","Night Shift")</f>
        <v/>
      </c>
      <c r="F6452" s="6">
        <f>INT(B6452)</f>
        <v/>
      </c>
      <c r="G6452" s="6">
        <f>INT(C6452)</f>
        <v/>
      </c>
    </row>
    <row r="6453">
      <c r="A6453" s="7" t="inlineStr">
        <is>
          <t>EXD101</t>
        </is>
      </c>
      <c r="B6453" s="8" t="n">
        <v>46126.75</v>
      </c>
      <c r="C6453" s="8" t="n">
        <v>46127.24989583333</v>
      </c>
      <c r="D6453" s="9">
        <f>(C6453-B6453)*24</f>
        <v/>
      </c>
      <c r="E6453" s="10">
        <f>IF(AND(HOUR(B6453)&gt;=6,HOUR(B6453)&lt;18),"Day Shift","Night Shift")</f>
        <v/>
      </c>
      <c r="F6453" s="11">
        <f>INT(B6453)</f>
        <v/>
      </c>
      <c r="G6453" s="11">
        <f>INT(C6453)</f>
        <v/>
      </c>
    </row>
    <row r="6454">
      <c r="A6454" s="2" t="inlineStr">
        <is>
          <t>EXD51</t>
        </is>
      </c>
      <c r="B6454" s="3" t="n">
        <v>46125.58518518518</v>
      </c>
      <c r="C6454" s="3" t="n">
        <v>46125.75</v>
      </c>
      <c r="D6454" s="4">
        <f>(C6454-B6454)*24</f>
        <v/>
      </c>
      <c r="E6454" s="5">
        <f>IF(AND(HOUR(B6454)&gt;=6,HOUR(B6454)&lt;18),"Day Shift","Night Shift")</f>
        <v/>
      </c>
      <c r="F6454" s="6">
        <f>INT(B6454)</f>
        <v/>
      </c>
      <c r="G6454" s="6">
        <f>INT(C6454)</f>
        <v/>
      </c>
    </row>
    <row r="6455">
      <c r="A6455" s="7" t="inlineStr">
        <is>
          <t>EXD51</t>
        </is>
      </c>
      <c r="B6455" s="8" t="n">
        <v>46125.75</v>
      </c>
      <c r="C6455" s="8" t="n">
        <v>46126.25</v>
      </c>
      <c r="D6455" s="9">
        <f>(C6455-B6455)*24</f>
        <v/>
      </c>
      <c r="E6455" s="10">
        <f>IF(AND(HOUR(B6455)&gt;=6,HOUR(B6455)&lt;18),"Day Shift","Night Shift")</f>
        <v/>
      </c>
      <c r="F6455" s="11">
        <f>INT(B6455)</f>
        <v/>
      </c>
      <c r="G6455" s="11">
        <f>INT(C6455)</f>
        <v/>
      </c>
    </row>
    <row r="6456">
      <c r="A6456" s="2" t="inlineStr">
        <is>
          <t>EXD51</t>
        </is>
      </c>
      <c r="B6456" s="3" t="n">
        <v>46126.25</v>
      </c>
      <c r="C6456" s="3" t="n">
        <v>46126.75</v>
      </c>
      <c r="D6456" s="4">
        <f>(C6456-B6456)*24</f>
        <v/>
      </c>
      <c r="E6456" s="5">
        <f>IF(AND(HOUR(B6456)&gt;=6,HOUR(B6456)&lt;18),"Day Shift","Night Shift")</f>
        <v/>
      </c>
      <c r="F6456" s="6">
        <f>INT(B6456)</f>
        <v/>
      </c>
      <c r="G6456" s="6">
        <f>INT(C6456)</f>
        <v/>
      </c>
    </row>
    <row r="6457">
      <c r="A6457" s="7" t="inlineStr">
        <is>
          <t>EXD51</t>
        </is>
      </c>
      <c r="B6457" s="8" t="n">
        <v>46126.75</v>
      </c>
      <c r="C6457" s="8" t="n">
        <v>46127.02710648148</v>
      </c>
      <c r="D6457" s="9">
        <f>(C6457-B6457)*24</f>
        <v/>
      </c>
      <c r="E6457" s="10">
        <f>IF(AND(HOUR(B6457)&gt;=6,HOUR(B6457)&lt;18),"Day Shift","Night Shift")</f>
        <v/>
      </c>
      <c r="F6457" s="11">
        <f>INT(B6457)</f>
        <v/>
      </c>
      <c r="G6457" s="11">
        <f>INT(C6457)</f>
        <v/>
      </c>
    </row>
    <row r="6458">
      <c r="A6458" s="2" t="inlineStr">
        <is>
          <t>DRE08</t>
        </is>
      </c>
      <c r="B6458" s="3" t="n">
        <v>46125.67033564814</v>
      </c>
      <c r="C6458" s="3" t="n">
        <v>46125.75</v>
      </c>
      <c r="D6458" s="4">
        <f>(C6458-B6458)*24</f>
        <v/>
      </c>
      <c r="E6458" s="5">
        <f>IF(AND(HOUR(B6458)&gt;=6,HOUR(B6458)&lt;18),"Day Shift","Night Shift")</f>
        <v/>
      </c>
      <c r="F6458" s="6">
        <f>INT(B6458)</f>
        <v/>
      </c>
      <c r="G6458" s="6">
        <f>INT(C6458)</f>
        <v/>
      </c>
    </row>
    <row r="6459">
      <c r="A6459" s="7" t="inlineStr">
        <is>
          <t>DRE08</t>
        </is>
      </c>
      <c r="B6459" s="8" t="n">
        <v>46125.75</v>
      </c>
      <c r="C6459" s="8" t="n">
        <v>46126.25</v>
      </c>
      <c r="D6459" s="9">
        <f>(C6459-B6459)*24</f>
        <v/>
      </c>
      <c r="E6459" s="10">
        <f>IF(AND(HOUR(B6459)&gt;=6,HOUR(B6459)&lt;18),"Day Shift","Night Shift")</f>
        <v/>
      </c>
      <c r="F6459" s="11">
        <f>INT(B6459)</f>
        <v/>
      </c>
      <c r="G6459" s="11">
        <f>INT(C6459)</f>
        <v/>
      </c>
    </row>
    <row r="6460">
      <c r="A6460" s="2" t="inlineStr">
        <is>
          <t>DRE08</t>
        </is>
      </c>
      <c r="B6460" s="3" t="n">
        <v>46126.25</v>
      </c>
      <c r="C6460" s="3" t="n">
        <v>46126.75</v>
      </c>
      <c r="D6460" s="4">
        <f>(C6460-B6460)*24</f>
        <v/>
      </c>
      <c r="E6460" s="5">
        <f>IF(AND(HOUR(B6460)&gt;=6,HOUR(B6460)&lt;18),"Day Shift","Night Shift")</f>
        <v/>
      </c>
      <c r="F6460" s="6">
        <f>INT(B6460)</f>
        <v/>
      </c>
      <c r="G6460" s="6">
        <f>INT(C6460)</f>
        <v/>
      </c>
    </row>
    <row r="6461">
      <c r="A6461" s="7" t="inlineStr">
        <is>
          <t>DRE08</t>
        </is>
      </c>
      <c r="B6461" s="8" t="n">
        <v>46126.75</v>
      </c>
      <c r="C6461" s="8" t="n">
        <v>46127.25</v>
      </c>
      <c r="D6461" s="9">
        <f>(C6461-B6461)*24</f>
        <v/>
      </c>
      <c r="E6461" s="10">
        <f>IF(AND(HOUR(B6461)&gt;=6,HOUR(B6461)&lt;18),"Day Shift","Night Shift")</f>
        <v/>
      </c>
      <c r="F6461" s="11">
        <f>INT(B6461)</f>
        <v/>
      </c>
      <c r="G6461" s="11">
        <f>INT(C6461)</f>
        <v/>
      </c>
    </row>
    <row r="6462">
      <c r="A6462" s="2" t="inlineStr">
        <is>
          <t>DRE08</t>
        </is>
      </c>
      <c r="B6462" s="3" t="n">
        <v>46127.25</v>
      </c>
      <c r="C6462" s="3" t="n">
        <v>46127.75</v>
      </c>
      <c r="D6462" s="4">
        <f>(C6462-B6462)*24</f>
        <v/>
      </c>
      <c r="E6462" s="5">
        <f>IF(AND(HOUR(B6462)&gt;=6,HOUR(B6462)&lt;18),"Day Shift","Night Shift")</f>
        <v/>
      </c>
      <c r="F6462" s="6">
        <f>INT(B6462)</f>
        <v/>
      </c>
      <c r="G6462" s="6">
        <f>INT(C6462)</f>
        <v/>
      </c>
    </row>
    <row r="6463">
      <c r="A6463" s="7" t="inlineStr">
        <is>
          <t>DRE08</t>
        </is>
      </c>
      <c r="B6463" s="8" t="n">
        <v>46127.75</v>
      </c>
      <c r="C6463" s="8" t="n">
        <v>46128.25</v>
      </c>
      <c r="D6463" s="9">
        <f>(C6463-B6463)*24</f>
        <v/>
      </c>
      <c r="E6463" s="10">
        <f>IF(AND(HOUR(B6463)&gt;=6,HOUR(B6463)&lt;18),"Day Shift","Night Shift")</f>
        <v/>
      </c>
      <c r="F6463" s="11">
        <f>INT(B6463)</f>
        <v/>
      </c>
      <c r="G6463" s="11">
        <f>INT(C6463)</f>
        <v/>
      </c>
    </row>
    <row r="6464">
      <c r="A6464" s="2" t="inlineStr">
        <is>
          <t>DRE08</t>
        </is>
      </c>
      <c r="B6464" s="3" t="n">
        <v>46128.25</v>
      </c>
      <c r="C6464" s="3" t="n">
        <v>46128.75</v>
      </c>
      <c r="D6464" s="4">
        <f>(C6464-B6464)*24</f>
        <v/>
      </c>
      <c r="E6464" s="5">
        <f>IF(AND(HOUR(B6464)&gt;=6,HOUR(B6464)&lt;18),"Day Shift","Night Shift")</f>
        <v/>
      </c>
      <c r="F6464" s="6">
        <f>INT(B6464)</f>
        <v/>
      </c>
      <c r="G6464" s="6">
        <f>INT(C6464)</f>
        <v/>
      </c>
    </row>
    <row r="6465">
      <c r="A6465" s="7" t="inlineStr">
        <is>
          <t>DRE08</t>
        </is>
      </c>
      <c r="B6465" s="8" t="n">
        <v>46128.75</v>
      </c>
      <c r="C6465" s="8" t="n">
        <v>46129.25</v>
      </c>
      <c r="D6465" s="9">
        <f>(C6465-B6465)*24</f>
        <v/>
      </c>
      <c r="E6465" s="10">
        <f>IF(AND(HOUR(B6465)&gt;=6,HOUR(B6465)&lt;18),"Day Shift","Night Shift")</f>
        <v/>
      </c>
      <c r="F6465" s="11">
        <f>INT(B6465)</f>
        <v/>
      </c>
      <c r="G6465" s="11">
        <f>INT(C6465)</f>
        <v/>
      </c>
    </row>
    <row r="6466">
      <c r="A6466" s="2" t="inlineStr">
        <is>
          <t>DRE08</t>
        </is>
      </c>
      <c r="B6466" s="3" t="n">
        <v>46129.25</v>
      </c>
      <c r="C6466" s="3" t="n">
        <v>46129.75</v>
      </c>
      <c r="D6466" s="4">
        <f>(C6466-B6466)*24</f>
        <v/>
      </c>
      <c r="E6466" s="5">
        <f>IF(AND(HOUR(B6466)&gt;=6,HOUR(B6466)&lt;18),"Day Shift","Night Shift")</f>
        <v/>
      </c>
      <c r="F6466" s="6">
        <f>INT(B6466)</f>
        <v/>
      </c>
      <c r="G6466" s="6">
        <f>INT(C6466)</f>
        <v/>
      </c>
    </row>
    <row r="6467">
      <c r="A6467" s="7" t="inlineStr">
        <is>
          <t>DRE08</t>
        </is>
      </c>
      <c r="B6467" s="8" t="n">
        <v>46129.75</v>
      </c>
      <c r="C6467" s="8" t="n">
        <v>46130.25</v>
      </c>
      <c r="D6467" s="9">
        <f>(C6467-B6467)*24</f>
        <v/>
      </c>
      <c r="E6467" s="10">
        <f>IF(AND(HOUR(B6467)&gt;=6,HOUR(B6467)&lt;18),"Day Shift","Night Shift")</f>
        <v/>
      </c>
      <c r="F6467" s="11">
        <f>INT(B6467)</f>
        <v/>
      </c>
      <c r="G6467" s="11">
        <f>INT(C6467)</f>
        <v/>
      </c>
    </row>
    <row r="6468">
      <c r="A6468" s="2" t="inlineStr">
        <is>
          <t>DRE08</t>
        </is>
      </c>
      <c r="B6468" s="3" t="n">
        <v>46130.25</v>
      </c>
      <c r="C6468" s="3" t="n">
        <v>46130.75</v>
      </c>
      <c r="D6468" s="4">
        <f>(C6468-B6468)*24</f>
        <v/>
      </c>
      <c r="E6468" s="5">
        <f>IF(AND(HOUR(B6468)&gt;=6,HOUR(B6468)&lt;18),"Day Shift","Night Shift")</f>
        <v/>
      </c>
      <c r="F6468" s="6">
        <f>INT(B6468)</f>
        <v/>
      </c>
      <c r="G6468" s="6">
        <f>INT(C6468)</f>
        <v/>
      </c>
    </row>
    <row r="6469">
      <c r="A6469" s="7" t="inlineStr">
        <is>
          <t>DRE08</t>
        </is>
      </c>
      <c r="B6469" s="8" t="n">
        <v>46130.75</v>
      </c>
      <c r="C6469" s="8" t="n">
        <v>46131.25</v>
      </c>
      <c r="D6469" s="9">
        <f>(C6469-B6469)*24</f>
        <v/>
      </c>
      <c r="E6469" s="10">
        <f>IF(AND(HOUR(B6469)&gt;=6,HOUR(B6469)&lt;18),"Day Shift","Night Shift")</f>
        <v/>
      </c>
      <c r="F6469" s="11">
        <f>INT(B6469)</f>
        <v/>
      </c>
      <c r="G6469" s="11">
        <f>INT(C6469)</f>
        <v/>
      </c>
    </row>
    <row r="6470">
      <c r="A6470" s="2" t="inlineStr">
        <is>
          <t>DRE08</t>
        </is>
      </c>
      <c r="B6470" s="3" t="n">
        <v>46131.25</v>
      </c>
      <c r="C6470" s="3" t="n">
        <v>46131.75</v>
      </c>
      <c r="D6470" s="4">
        <f>(C6470-B6470)*24</f>
        <v/>
      </c>
      <c r="E6470" s="5">
        <f>IF(AND(HOUR(B6470)&gt;=6,HOUR(B6470)&lt;18),"Day Shift","Night Shift")</f>
        <v/>
      </c>
      <c r="F6470" s="6">
        <f>INT(B6470)</f>
        <v/>
      </c>
      <c r="G6470" s="6">
        <f>INT(C6470)</f>
        <v/>
      </c>
    </row>
    <row r="6471">
      <c r="A6471" s="7" t="inlineStr">
        <is>
          <t>DRE08</t>
        </is>
      </c>
      <c r="B6471" s="8" t="n">
        <v>46131.75</v>
      </c>
      <c r="C6471" s="8" t="n">
        <v>46132.00795138889</v>
      </c>
      <c r="D6471" s="9">
        <f>(C6471-B6471)*24</f>
        <v/>
      </c>
      <c r="E6471" s="10">
        <f>IF(AND(HOUR(B6471)&gt;=6,HOUR(B6471)&lt;18),"Day Shift","Night Shift")</f>
        <v/>
      </c>
      <c r="F6471" s="11">
        <f>INT(B6471)</f>
        <v/>
      </c>
      <c r="G6471" s="11">
        <f>INT(C6471)</f>
        <v/>
      </c>
    </row>
    <row r="6472">
      <c r="A6472" s="2" t="inlineStr">
        <is>
          <t>EDD175;EDD1932;EDD2134;EDD2541;EDD812</t>
        </is>
      </c>
      <c r="B6472" s="3" t="n">
        <v>46125.73594907407</v>
      </c>
      <c r="C6472" s="3" t="n">
        <v>46125.75</v>
      </c>
      <c r="D6472" s="4">
        <f>(C6472-B6472)*24</f>
        <v/>
      </c>
      <c r="E6472" s="5">
        <f>IF(AND(HOUR(B6472)&gt;=6,HOUR(B6472)&lt;18),"Day Shift","Night Shift")</f>
        <v/>
      </c>
      <c r="F6472" s="6">
        <f>INT(B6472)</f>
        <v/>
      </c>
      <c r="G6472" s="6">
        <f>INT(C6472)</f>
        <v/>
      </c>
    </row>
    <row r="6473">
      <c r="A6473" s="7" t="inlineStr">
        <is>
          <t>EDD175;EDD1932;EDD2134;EDD2541;EDD812</t>
        </is>
      </c>
      <c r="B6473" s="8" t="n">
        <v>46125.75</v>
      </c>
      <c r="C6473" s="8" t="n">
        <v>46126.0522337963</v>
      </c>
      <c r="D6473" s="9">
        <f>(C6473-B6473)*24</f>
        <v/>
      </c>
      <c r="E6473" s="10">
        <f>IF(AND(HOUR(B6473)&gt;=6,HOUR(B6473)&lt;18),"Day Shift","Night Shift")</f>
        <v/>
      </c>
      <c r="F6473" s="11">
        <f>INT(B6473)</f>
        <v/>
      </c>
      <c r="G6473" s="11">
        <f>INT(C6473)</f>
        <v/>
      </c>
    </row>
    <row r="6474">
      <c r="A6474" s="7" t="inlineStr">
        <is>
          <t>LDW262</t>
        </is>
      </c>
      <c r="B6474" s="8" t="n">
        <v>46125.79956018519</v>
      </c>
      <c r="C6474" s="8" t="n">
        <v>46126.12596064815</v>
      </c>
      <c r="D6474" s="9">
        <f>(C6474-B6474)*24</f>
        <v/>
      </c>
      <c r="E6474" s="10">
        <f>IF(AND(HOUR(B6474)&gt;=6,HOUR(B6474)&lt;18),"Day Shift","Night Shift")</f>
        <v/>
      </c>
      <c r="F6474" s="11">
        <f>INT(B6474)</f>
        <v/>
      </c>
      <c r="G6474" s="11">
        <f>INT(C6474)</f>
        <v/>
      </c>
    </row>
    <row r="6475">
      <c r="A6475" s="7" t="inlineStr">
        <is>
          <t>LDW265</t>
        </is>
      </c>
      <c r="B6475" s="8" t="n">
        <v>46125.80069444444</v>
      </c>
      <c r="C6475" s="8" t="n">
        <v>46126.06054398148</v>
      </c>
      <c r="D6475" s="9">
        <f>(C6475-B6475)*24</f>
        <v/>
      </c>
      <c r="E6475" s="10">
        <f>IF(AND(HOUR(B6475)&gt;=6,HOUR(B6475)&lt;18),"Day Shift","Night Shift")</f>
        <v/>
      </c>
      <c r="F6475" s="11">
        <f>INT(B6475)</f>
        <v/>
      </c>
      <c r="G6475" s="11">
        <f>INT(C6475)</f>
        <v/>
      </c>
    </row>
    <row r="6476">
      <c r="A6476" s="7" t="inlineStr">
        <is>
          <t>Sprint 1</t>
        </is>
      </c>
      <c r="B6476" s="8" t="n">
        <v>46125.84626157407</v>
      </c>
      <c r="C6476" s="8" t="n">
        <v>46126.25</v>
      </c>
      <c r="D6476" s="9">
        <f>(C6476-B6476)*24</f>
        <v/>
      </c>
      <c r="E6476" s="10">
        <f>IF(AND(HOUR(B6476)&gt;=6,HOUR(B6476)&lt;18),"Day Shift","Night Shift")</f>
        <v/>
      </c>
      <c r="F6476" s="11">
        <f>INT(B6476)</f>
        <v/>
      </c>
      <c r="G6476" s="11">
        <f>INT(C6476)</f>
        <v/>
      </c>
    </row>
    <row r="6477">
      <c r="A6477" s="2" t="inlineStr">
        <is>
          <t>Sprint 1</t>
        </is>
      </c>
      <c r="B6477" s="3" t="n">
        <v>46126.25</v>
      </c>
      <c r="C6477" s="3" t="n">
        <v>46126.52043981481</v>
      </c>
      <c r="D6477" s="4">
        <f>(C6477-B6477)*24</f>
        <v/>
      </c>
      <c r="E6477" s="5">
        <f>IF(AND(HOUR(B6477)&gt;=6,HOUR(B6477)&lt;18),"Day Shift","Night Shift")</f>
        <v/>
      </c>
      <c r="F6477" s="6">
        <f>INT(B6477)</f>
        <v/>
      </c>
      <c r="G6477" s="6">
        <f>INT(C6477)</f>
        <v/>
      </c>
    </row>
    <row r="6478">
      <c r="A6478" s="7" t="inlineStr">
        <is>
          <t>Stag Drill</t>
        </is>
      </c>
      <c r="B6478" s="8" t="n">
        <v>46125.88431712963</v>
      </c>
      <c r="C6478" s="8" t="n">
        <v>46126.18900462963</v>
      </c>
      <c r="D6478" s="9">
        <f>(C6478-B6478)*24</f>
        <v/>
      </c>
      <c r="E6478" s="10">
        <f>IF(AND(HOUR(B6478)&gt;=6,HOUR(B6478)&lt;18),"Day Shift","Night Shift")</f>
        <v/>
      </c>
      <c r="F6478" s="11">
        <f>INT(B6478)</f>
        <v/>
      </c>
      <c r="G6478" s="11">
        <f>INT(C6478)</f>
        <v/>
      </c>
    </row>
    <row r="6479">
      <c r="A6479" s="7" t="inlineStr">
        <is>
          <t>EXD408</t>
        </is>
      </c>
      <c r="B6479" s="8" t="n">
        <v>46125.92849537037</v>
      </c>
      <c r="C6479" s="8" t="n">
        <v>46126.25</v>
      </c>
      <c r="D6479" s="9">
        <f>(C6479-B6479)*24</f>
        <v/>
      </c>
      <c r="E6479" s="10">
        <f>IF(AND(HOUR(B6479)&gt;=6,HOUR(B6479)&lt;18),"Day Shift","Night Shift")</f>
        <v/>
      </c>
      <c r="F6479" s="11">
        <f>INT(B6479)</f>
        <v/>
      </c>
      <c r="G6479" s="11">
        <f>INT(C6479)</f>
        <v/>
      </c>
    </row>
    <row r="6480">
      <c r="A6480" s="2" t="inlineStr">
        <is>
          <t>EXD408</t>
        </is>
      </c>
      <c r="B6480" s="3" t="n">
        <v>46126.25</v>
      </c>
      <c r="C6480" s="3" t="n">
        <v>46126.75</v>
      </c>
      <c r="D6480" s="4">
        <f>(C6480-B6480)*24</f>
        <v/>
      </c>
      <c r="E6480" s="5">
        <f>IF(AND(HOUR(B6480)&gt;=6,HOUR(B6480)&lt;18),"Day Shift","Night Shift")</f>
        <v/>
      </c>
      <c r="F6480" s="6">
        <f>INT(B6480)</f>
        <v/>
      </c>
      <c r="G6480" s="6">
        <f>INT(C6480)</f>
        <v/>
      </c>
    </row>
    <row r="6481">
      <c r="A6481" s="7" t="inlineStr">
        <is>
          <t>EXD408</t>
        </is>
      </c>
      <c r="B6481" s="8" t="n">
        <v>46126.75</v>
      </c>
      <c r="C6481" s="8" t="n">
        <v>46127.25</v>
      </c>
      <c r="D6481" s="9">
        <f>(C6481-B6481)*24</f>
        <v/>
      </c>
      <c r="E6481" s="10">
        <f>IF(AND(HOUR(B6481)&gt;=6,HOUR(B6481)&lt;18),"Day Shift","Night Shift")</f>
        <v/>
      </c>
      <c r="F6481" s="11">
        <f>INT(B6481)</f>
        <v/>
      </c>
      <c r="G6481" s="11">
        <f>INT(C6481)</f>
        <v/>
      </c>
    </row>
    <row r="6482">
      <c r="A6482" s="2" t="inlineStr">
        <is>
          <t>EXD408</t>
        </is>
      </c>
      <c r="B6482" s="3" t="n">
        <v>46127.25</v>
      </c>
      <c r="C6482" s="3" t="n">
        <v>46127.40971064815</v>
      </c>
      <c r="D6482" s="4">
        <f>(C6482-B6482)*24</f>
        <v/>
      </c>
      <c r="E6482" s="5">
        <f>IF(AND(HOUR(B6482)&gt;=6,HOUR(B6482)&lt;18),"Day Shift","Night Shift")</f>
        <v/>
      </c>
      <c r="F6482" s="6">
        <f>INT(B6482)</f>
        <v/>
      </c>
      <c r="G6482" s="6">
        <f>INT(C6482)</f>
        <v/>
      </c>
    </row>
    <row r="6483">
      <c r="A6483" s="7" t="inlineStr">
        <is>
          <t>EXD61</t>
        </is>
      </c>
      <c r="B6483" s="8" t="n">
        <v>46125.95469907407</v>
      </c>
      <c r="C6483" s="8" t="n">
        <v>46126.15744212963</v>
      </c>
      <c r="D6483" s="9">
        <f>(C6483-B6483)*24</f>
        <v/>
      </c>
      <c r="E6483" s="10">
        <f>IF(AND(HOUR(B6483)&gt;=6,HOUR(B6483)&lt;18),"Day Shift","Night Shift")</f>
        <v/>
      </c>
      <c r="F6483" s="11">
        <f>INT(B6483)</f>
        <v/>
      </c>
      <c r="G6483" s="11">
        <f>INT(C6483)</f>
        <v/>
      </c>
    </row>
    <row r="6484">
      <c r="A6484" s="7" t="inlineStr">
        <is>
          <t>EDD175;EDD1932;EDD2134;EDD2541;EDD812</t>
        </is>
      </c>
      <c r="B6484" s="8" t="n">
        <v>46126.0522337963</v>
      </c>
      <c r="C6484" s="8" t="n">
        <v>46126.1769212963</v>
      </c>
      <c r="D6484" s="9">
        <f>(C6484-B6484)*24</f>
        <v/>
      </c>
      <c r="E6484" s="10">
        <f>IF(AND(HOUR(B6484)&gt;=6,HOUR(B6484)&lt;18),"Day Shift","Night Shift")</f>
        <v/>
      </c>
      <c r="F6484" s="11">
        <f>INT(B6484)</f>
        <v/>
      </c>
      <c r="G6484" s="11">
        <f>INT(C6484)</f>
        <v/>
      </c>
    </row>
    <row r="6485">
      <c r="A6485" s="7" t="inlineStr">
        <is>
          <t>LDW265</t>
        </is>
      </c>
      <c r="B6485" s="8" t="n">
        <v>46126.06054398148</v>
      </c>
      <c r="C6485" s="8" t="n">
        <v>46126.25</v>
      </c>
      <c r="D6485" s="9">
        <f>(C6485-B6485)*24</f>
        <v/>
      </c>
      <c r="E6485" s="10">
        <f>IF(AND(HOUR(B6485)&gt;=6,HOUR(B6485)&lt;18),"Day Shift","Night Shift")</f>
        <v/>
      </c>
      <c r="F6485" s="11">
        <f>INT(B6485)</f>
        <v/>
      </c>
      <c r="G6485" s="11">
        <f>INT(C6485)</f>
        <v/>
      </c>
    </row>
    <row r="6486">
      <c r="A6486" s="2" t="inlineStr">
        <is>
          <t>LDW265</t>
        </is>
      </c>
      <c r="B6486" s="3" t="n">
        <v>46126.25</v>
      </c>
      <c r="C6486" s="3" t="n">
        <v>46126.75</v>
      </c>
      <c r="D6486" s="4">
        <f>(C6486-B6486)*24</f>
        <v/>
      </c>
      <c r="E6486" s="5">
        <f>IF(AND(HOUR(B6486)&gt;=6,HOUR(B6486)&lt;18),"Day Shift","Night Shift")</f>
        <v/>
      </c>
      <c r="F6486" s="6">
        <f>INT(B6486)</f>
        <v/>
      </c>
      <c r="G6486" s="6">
        <f>INT(C6486)</f>
        <v/>
      </c>
    </row>
    <row r="6487">
      <c r="A6487" s="7" t="inlineStr">
        <is>
          <t>LDW265</t>
        </is>
      </c>
      <c r="B6487" s="8" t="n">
        <v>46126.75</v>
      </c>
      <c r="C6487" s="8" t="n">
        <v>46127.2256712963</v>
      </c>
      <c r="D6487" s="9">
        <f>(C6487-B6487)*24</f>
        <v/>
      </c>
      <c r="E6487" s="10">
        <f>IF(AND(HOUR(B6487)&gt;=6,HOUR(B6487)&lt;18),"Day Shift","Night Shift")</f>
        <v/>
      </c>
      <c r="F6487" s="11">
        <f>INT(B6487)</f>
        <v/>
      </c>
      <c r="G6487" s="11">
        <f>INT(C6487)</f>
        <v/>
      </c>
    </row>
    <row r="6488">
      <c r="A6488" s="7" t="inlineStr">
        <is>
          <t>LDW262</t>
        </is>
      </c>
      <c r="B6488" s="8" t="n">
        <v>46126.12596064815</v>
      </c>
      <c r="C6488" s="8" t="n">
        <v>46126.25</v>
      </c>
      <c r="D6488" s="9">
        <f>(C6488-B6488)*24</f>
        <v/>
      </c>
      <c r="E6488" s="10">
        <f>IF(AND(HOUR(B6488)&gt;=6,HOUR(B6488)&lt;18),"Day Shift","Night Shift")</f>
        <v/>
      </c>
      <c r="F6488" s="11">
        <f>INT(B6488)</f>
        <v/>
      </c>
      <c r="G6488" s="11">
        <f>INT(C6488)</f>
        <v/>
      </c>
    </row>
    <row r="6489">
      <c r="A6489" s="2" t="inlineStr">
        <is>
          <t>LDW262</t>
        </is>
      </c>
      <c r="B6489" s="3" t="n">
        <v>46126.25</v>
      </c>
      <c r="C6489" s="3" t="n">
        <v>46126.49716435185</v>
      </c>
      <c r="D6489" s="4">
        <f>(C6489-B6489)*24</f>
        <v/>
      </c>
      <c r="E6489" s="5">
        <f>IF(AND(HOUR(B6489)&gt;=6,HOUR(B6489)&lt;18),"Day Shift","Night Shift")</f>
        <v/>
      </c>
      <c r="F6489" s="6">
        <f>INT(B6489)</f>
        <v/>
      </c>
      <c r="G6489" s="6">
        <f>INT(C6489)</f>
        <v/>
      </c>
    </row>
    <row r="6490">
      <c r="A6490" s="7" t="inlineStr">
        <is>
          <t>EXD61</t>
        </is>
      </c>
      <c r="B6490" s="8" t="n">
        <v>46126.15744212963</v>
      </c>
      <c r="C6490" s="8" t="n">
        <v>46126.25</v>
      </c>
      <c r="D6490" s="9">
        <f>(C6490-B6490)*24</f>
        <v/>
      </c>
      <c r="E6490" s="10">
        <f>IF(AND(HOUR(B6490)&gt;=6,HOUR(B6490)&lt;18),"Day Shift","Night Shift")</f>
        <v/>
      </c>
      <c r="F6490" s="11">
        <f>INT(B6490)</f>
        <v/>
      </c>
      <c r="G6490" s="11">
        <f>INT(C6490)</f>
        <v/>
      </c>
    </row>
    <row r="6491">
      <c r="A6491" s="2" t="inlineStr">
        <is>
          <t>EXD61</t>
        </is>
      </c>
      <c r="B6491" s="3" t="n">
        <v>46126.25</v>
      </c>
      <c r="C6491" s="3" t="n">
        <v>46126.75</v>
      </c>
      <c r="D6491" s="4">
        <f>(C6491-B6491)*24</f>
        <v/>
      </c>
      <c r="E6491" s="5">
        <f>IF(AND(HOUR(B6491)&gt;=6,HOUR(B6491)&lt;18),"Day Shift","Night Shift")</f>
        <v/>
      </c>
      <c r="F6491" s="6">
        <f>INT(B6491)</f>
        <v/>
      </c>
      <c r="G6491" s="6">
        <f>INT(C6491)</f>
        <v/>
      </c>
    </row>
    <row r="6492">
      <c r="A6492" s="7" t="inlineStr">
        <is>
          <t>EXD61</t>
        </is>
      </c>
      <c r="B6492" s="8" t="n">
        <v>46126.75</v>
      </c>
      <c r="C6492" s="8" t="n">
        <v>46127.16335648148</v>
      </c>
      <c r="D6492" s="9">
        <f>(C6492-B6492)*24</f>
        <v/>
      </c>
      <c r="E6492" s="10">
        <f>IF(AND(HOUR(B6492)&gt;=6,HOUR(B6492)&lt;18),"Day Shift","Night Shift")</f>
        <v/>
      </c>
      <c r="F6492" s="11">
        <f>INT(B6492)</f>
        <v/>
      </c>
      <c r="G6492" s="11">
        <f>INT(C6492)</f>
        <v/>
      </c>
    </row>
    <row r="6493">
      <c r="A6493" s="7" t="inlineStr">
        <is>
          <t>EDD175;EDD1932;EDD2134;EDD2541;EDD812</t>
        </is>
      </c>
      <c r="B6493" s="8" t="n">
        <v>46126.1769212963</v>
      </c>
      <c r="C6493" s="8" t="n">
        <v>46126.25</v>
      </c>
      <c r="D6493" s="9">
        <f>(C6493-B6493)*24</f>
        <v/>
      </c>
      <c r="E6493" s="10">
        <f>IF(AND(HOUR(B6493)&gt;=6,HOUR(B6493)&lt;18),"Day Shift","Night Shift")</f>
        <v/>
      </c>
      <c r="F6493" s="11">
        <f>INT(B6493)</f>
        <v/>
      </c>
      <c r="G6493" s="11">
        <f>INT(C6493)</f>
        <v/>
      </c>
    </row>
    <row r="6494">
      <c r="A6494" s="2" t="inlineStr">
        <is>
          <t>EDD175;EDD1932;EDD2134;EDD2541;EDD812</t>
        </is>
      </c>
      <c r="B6494" s="3" t="n">
        <v>46126.25</v>
      </c>
      <c r="C6494" s="3" t="n">
        <v>46126.30162037037</v>
      </c>
      <c r="D6494" s="4">
        <f>(C6494-B6494)*24</f>
        <v/>
      </c>
      <c r="E6494" s="5">
        <f>IF(AND(HOUR(B6494)&gt;=6,HOUR(B6494)&lt;18),"Day Shift","Night Shift")</f>
        <v/>
      </c>
      <c r="F6494" s="6">
        <f>INT(B6494)</f>
        <v/>
      </c>
      <c r="G6494" s="6">
        <f>INT(C6494)</f>
        <v/>
      </c>
    </row>
    <row r="6495">
      <c r="A6495" s="7" t="inlineStr">
        <is>
          <t>Stag Drill</t>
        </is>
      </c>
      <c r="B6495" s="8" t="n">
        <v>46126.18900462963</v>
      </c>
      <c r="C6495" s="8" t="n">
        <v>46126.25</v>
      </c>
      <c r="D6495" s="9">
        <f>(C6495-B6495)*24</f>
        <v/>
      </c>
      <c r="E6495" s="10">
        <f>IF(AND(HOUR(B6495)&gt;=6,HOUR(B6495)&lt;18),"Day Shift","Night Shift")</f>
        <v/>
      </c>
      <c r="F6495" s="11">
        <f>INT(B6495)</f>
        <v/>
      </c>
      <c r="G6495" s="11">
        <f>INT(C6495)</f>
        <v/>
      </c>
    </row>
    <row r="6496">
      <c r="A6496" s="2" t="inlineStr">
        <is>
          <t>Stag Drill</t>
        </is>
      </c>
      <c r="B6496" s="3" t="n">
        <v>46126.25</v>
      </c>
      <c r="C6496" s="3" t="n">
        <v>46126.75</v>
      </c>
      <c r="D6496" s="4">
        <f>(C6496-B6496)*24</f>
        <v/>
      </c>
      <c r="E6496" s="5">
        <f>IF(AND(HOUR(B6496)&gt;=6,HOUR(B6496)&lt;18),"Day Shift","Night Shift")</f>
        <v/>
      </c>
      <c r="F6496" s="6">
        <f>INT(B6496)</f>
        <v/>
      </c>
      <c r="G6496" s="6">
        <f>INT(C6496)</f>
        <v/>
      </c>
    </row>
    <row r="6497">
      <c r="A6497" s="7" t="inlineStr">
        <is>
          <t>Stag Drill</t>
        </is>
      </c>
      <c r="B6497" s="8" t="n">
        <v>46126.75</v>
      </c>
      <c r="C6497" s="8" t="n">
        <v>46126.7684375</v>
      </c>
      <c r="D6497" s="9">
        <f>(C6497-B6497)*24</f>
        <v/>
      </c>
      <c r="E6497" s="10">
        <f>IF(AND(HOUR(B6497)&gt;=6,HOUR(B6497)&lt;18),"Day Shift","Night Shift")</f>
        <v/>
      </c>
      <c r="F6497" s="11">
        <f>INT(B6497)</f>
        <v/>
      </c>
      <c r="G6497" s="11">
        <f>INT(C6497)</f>
        <v/>
      </c>
    </row>
    <row r="6498">
      <c r="A6498" s="7" t="inlineStr">
        <is>
          <t>SHE36</t>
        </is>
      </c>
      <c r="B6498" s="8" t="n">
        <v>46126.23633101852</v>
      </c>
      <c r="C6498" s="8" t="n">
        <v>46126.25</v>
      </c>
      <c r="D6498" s="9">
        <f>(C6498-B6498)*24</f>
        <v/>
      </c>
      <c r="E6498" s="10">
        <f>IF(AND(HOUR(B6498)&gt;=6,HOUR(B6498)&lt;18),"Day Shift","Night Shift")</f>
        <v/>
      </c>
      <c r="F6498" s="11">
        <f>INT(B6498)</f>
        <v/>
      </c>
      <c r="G6498" s="11">
        <f>INT(C6498)</f>
        <v/>
      </c>
    </row>
    <row r="6499">
      <c r="A6499" s="2" t="inlineStr">
        <is>
          <t>SHE36</t>
        </is>
      </c>
      <c r="B6499" s="3" t="n">
        <v>46126.25</v>
      </c>
      <c r="C6499" s="3" t="n">
        <v>46126.75</v>
      </c>
      <c r="D6499" s="4">
        <f>(C6499-B6499)*24</f>
        <v/>
      </c>
      <c r="E6499" s="5">
        <f>IF(AND(HOUR(B6499)&gt;=6,HOUR(B6499)&lt;18),"Day Shift","Night Shift")</f>
        <v/>
      </c>
      <c r="F6499" s="6">
        <f>INT(B6499)</f>
        <v/>
      </c>
      <c r="G6499" s="6">
        <f>INT(C6499)</f>
        <v/>
      </c>
    </row>
    <row r="6500">
      <c r="A6500" s="7" t="inlineStr">
        <is>
          <t>SHE36</t>
        </is>
      </c>
      <c r="B6500" s="8" t="n">
        <v>46126.75</v>
      </c>
      <c r="C6500" s="8" t="n">
        <v>46126.89756944445</v>
      </c>
      <c r="D6500" s="9">
        <f>(C6500-B6500)*24</f>
        <v/>
      </c>
      <c r="E6500" s="10">
        <f>IF(AND(HOUR(B6500)&gt;=6,HOUR(B6500)&lt;18),"Day Shift","Night Shift")</f>
        <v/>
      </c>
      <c r="F6500" s="11">
        <f>INT(B6500)</f>
        <v/>
      </c>
      <c r="G6500" s="11">
        <f>INT(C6500)</f>
        <v/>
      </c>
    </row>
    <row r="6501">
      <c r="A6501" s="2" t="inlineStr">
        <is>
          <t>EXD407</t>
        </is>
      </c>
      <c r="B6501" s="3" t="n">
        <v>46126.27966435185</v>
      </c>
      <c r="C6501" s="3" t="n">
        <v>46126.75</v>
      </c>
      <c r="D6501" s="4">
        <f>(C6501-B6501)*24</f>
        <v/>
      </c>
      <c r="E6501" s="5">
        <f>IF(AND(HOUR(B6501)&gt;=6,HOUR(B6501)&lt;18),"Day Shift","Night Shift")</f>
        <v/>
      </c>
      <c r="F6501" s="6">
        <f>INT(B6501)</f>
        <v/>
      </c>
      <c r="G6501" s="6">
        <f>INT(C6501)</f>
        <v/>
      </c>
    </row>
    <row r="6502">
      <c r="A6502" s="7" t="inlineStr">
        <is>
          <t>EXD407</t>
        </is>
      </c>
      <c r="B6502" s="8" t="n">
        <v>46126.75</v>
      </c>
      <c r="C6502" s="8" t="n">
        <v>46127.25</v>
      </c>
      <c r="D6502" s="9">
        <f>(C6502-B6502)*24</f>
        <v/>
      </c>
      <c r="E6502" s="10">
        <f>IF(AND(HOUR(B6502)&gt;=6,HOUR(B6502)&lt;18),"Day Shift","Night Shift")</f>
        <v/>
      </c>
      <c r="F6502" s="11">
        <f>INT(B6502)</f>
        <v/>
      </c>
      <c r="G6502" s="11">
        <f>INT(C6502)</f>
        <v/>
      </c>
    </row>
    <row r="6503">
      <c r="A6503" s="2" t="inlineStr">
        <is>
          <t>EXD407</t>
        </is>
      </c>
      <c r="B6503" s="3" t="n">
        <v>46127.25</v>
      </c>
      <c r="C6503" s="3" t="n">
        <v>46127.75</v>
      </c>
      <c r="D6503" s="4">
        <f>(C6503-B6503)*24</f>
        <v/>
      </c>
      <c r="E6503" s="5">
        <f>IF(AND(HOUR(B6503)&gt;=6,HOUR(B6503)&lt;18),"Day Shift","Night Shift")</f>
        <v/>
      </c>
      <c r="F6503" s="6">
        <f>INT(B6503)</f>
        <v/>
      </c>
      <c r="G6503" s="6">
        <f>INT(C6503)</f>
        <v/>
      </c>
    </row>
    <row r="6504">
      <c r="A6504" s="7" t="inlineStr">
        <is>
          <t>EXD407</t>
        </is>
      </c>
      <c r="B6504" s="8" t="n">
        <v>46127.75</v>
      </c>
      <c r="C6504" s="8" t="n">
        <v>46127.96618055556</v>
      </c>
      <c r="D6504" s="9">
        <f>(C6504-B6504)*24</f>
        <v/>
      </c>
      <c r="E6504" s="10">
        <f>IF(AND(HOUR(B6504)&gt;=6,HOUR(B6504)&lt;18),"Day Shift","Night Shift")</f>
        <v/>
      </c>
      <c r="F6504" s="11">
        <f>INT(B6504)</f>
        <v/>
      </c>
      <c r="G6504" s="11">
        <f>INT(C6504)</f>
        <v/>
      </c>
    </row>
    <row r="6505">
      <c r="A6505" s="2" t="inlineStr">
        <is>
          <t>EXD98</t>
        </is>
      </c>
      <c r="B6505" s="3" t="n">
        <v>46126.28814814815</v>
      </c>
      <c r="C6505" s="3" t="n">
        <v>46126.75</v>
      </c>
      <c r="D6505" s="4">
        <f>(C6505-B6505)*24</f>
        <v/>
      </c>
      <c r="E6505" s="5">
        <f>IF(AND(HOUR(B6505)&gt;=6,HOUR(B6505)&lt;18),"Day Shift","Night Shift")</f>
        <v/>
      </c>
      <c r="F6505" s="6">
        <f>INT(B6505)</f>
        <v/>
      </c>
      <c r="G6505" s="6">
        <f>INT(C6505)</f>
        <v/>
      </c>
    </row>
    <row r="6506">
      <c r="A6506" s="7" t="inlineStr">
        <is>
          <t>EXD98</t>
        </is>
      </c>
      <c r="B6506" s="8" t="n">
        <v>46126.75</v>
      </c>
      <c r="C6506" s="8" t="n">
        <v>46127.14520833334</v>
      </c>
      <c r="D6506" s="9">
        <f>(C6506-B6506)*24</f>
        <v/>
      </c>
      <c r="E6506" s="10">
        <f>IF(AND(HOUR(B6506)&gt;=6,HOUR(B6506)&lt;18),"Day Shift","Night Shift")</f>
        <v/>
      </c>
      <c r="F6506" s="11">
        <f>INT(B6506)</f>
        <v/>
      </c>
      <c r="G6506" s="11">
        <f>INT(C6506)</f>
        <v/>
      </c>
    </row>
    <row r="6507">
      <c r="A6507" s="2" t="inlineStr">
        <is>
          <t>EDD175;EDD1932;EDD2134;EDD2541;EDD812</t>
        </is>
      </c>
      <c r="B6507" s="3" t="n">
        <v>46126.30162037037</v>
      </c>
      <c r="C6507" s="3" t="n">
        <v>46126.42634259259</v>
      </c>
      <c r="D6507" s="4">
        <f>(C6507-B6507)*24</f>
        <v/>
      </c>
      <c r="E6507" s="5">
        <f>IF(AND(HOUR(B6507)&gt;=6,HOUR(B6507)&lt;18),"Day Shift","Night Shift")</f>
        <v/>
      </c>
      <c r="F6507" s="6">
        <f>INT(B6507)</f>
        <v/>
      </c>
      <c r="G6507" s="6">
        <f>INT(C6507)</f>
        <v/>
      </c>
    </row>
    <row r="6508">
      <c r="A6508" s="2" t="inlineStr">
        <is>
          <t>EXD55</t>
        </is>
      </c>
      <c r="B6508" s="3" t="n">
        <v>46126.30995370371</v>
      </c>
      <c r="C6508" s="3" t="n">
        <v>46126.75</v>
      </c>
      <c r="D6508" s="4">
        <f>(C6508-B6508)*24</f>
        <v/>
      </c>
      <c r="E6508" s="5">
        <f>IF(AND(HOUR(B6508)&gt;=6,HOUR(B6508)&lt;18),"Day Shift","Night Shift")</f>
        <v/>
      </c>
      <c r="F6508" s="6">
        <f>INT(B6508)</f>
        <v/>
      </c>
      <c r="G6508" s="6">
        <f>INT(C6508)</f>
        <v/>
      </c>
    </row>
    <row r="6509">
      <c r="A6509" s="7" t="inlineStr">
        <is>
          <t>EXD55</t>
        </is>
      </c>
      <c r="B6509" s="8" t="n">
        <v>46126.75</v>
      </c>
      <c r="C6509" s="8" t="n">
        <v>46127.25</v>
      </c>
      <c r="D6509" s="9">
        <f>(C6509-B6509)*24</f>
        <v/>
      </c>
      <c r="E6509" s="10">
        <f>IF(AND(HOUR(B6509)&gt;=6,HOUR(B6509)&lt;18),"Day Shift","Night Shift")</f>
        <v/>
      </c>
      <c r="F6509" s="11">
        <f>INT(B6509)</f>
        <v/>
      </c>
      <c r="G6509" s="11">
        <f>INT(C6509)</f>
        <v/>
      </c>
    </row>
    <row r="6510">
      <c r="A6510" s="2" t="inlineStr">
        <is>
          <t>EXD55</t>
        </is>
      </c>
      <c r="B6510" s="3" t="n">
        <v>46127.25</v>
      </c>
      <c r="C6510" s="3" t="n">
        <v>46127.67590277778</v>
      </c>
      <c r="D6510" s="4">
        <f>(C6510-B6510)*24</f>
        <v/>
      </c>
      <c r="E6510" s="5">
        <f>IF(AND(HOUR(B6510)&gt;=6,HOUR(B6510)&lt;18),"Day Shift","Night Shift")</f>
        <v/>
      </c>
      <c r="F6510" s="6">
        <f>INT(B6510)</f>
        <v/>
      </c>
      <c r="G6510" s="6">
        <f>INT(C6510)</f>
        <v/>
      </c>
    </row>
    <row r="6511">
      <c r="A6511" s="2" t="inlineStr">
        <is>
          <t>EXD100</t>
        </is>
      </c>
      <c r="B6511" s="3" t="n">
        <v>46126.37622685185</v>
      </c>
      <c r="C6511" s="3" t="n">
        <v>46126.75</v>
      </c>
      <c r="D6511" s="4">
        <f>(C6511-B6511)*24</f>
        <v/>
      </c>
      <c r="E6511" s="5">
        <f>IF(AND(HOUR(B6511)&gt;=6,HOUR(B6511)&lt;18),"Day Shift","Night Shift")</f>
        <v/>
      </c>
      <c r="F6511" s="6">
        <f>INT(B6511)</f>
        <v/>
      </c>
      <c r="G6511" s="6">
        <f>INT(C6511)</f>
        <v/>
      </c>
    </row>
    <row r="6512">
      <c r="A6512" s="7" t="inlineStr">
        <is>
          <t>EXD100</t>
        </is>
      </c>
      <c r="B6512" s="8" t="n">
        <v>46126.75</v>
      </c>
      <c r="C6512" s="8" t="n">
        <v>46127.1367824074</v>
      </c>
      <c r="D6512" s="9">
        <f>(C6512-B6512)*24</f>
        <v/>
      </c>
      <c r="E6512" s="10">
        <f>IF(AND(HOUR(B6512)&gt;=6,HOUR(B6512)&lt;18),"Day Shift","Night Shift")</f>
        <v/>
      </c>
      <c r="F6512" s="11">
        <f>INT(B6512)</f>
        <v/>
      </c>
      <c r="G6512" s="11">
        <f>INT(C6512)</f>
        <v/>
      </c>
    </row>
    <row r="6513">
      <c r="A6513" s="2" t="inlineStr">
        <is>
          <t>EDD175;EDD1932;EDD2134;EDD2541;EDD812</t>
        </is>
      </c>
      <c r="B6513" s="3" t="n">
        <v>46126.42634259259</v>
      </c>
      <c r="C6513" s="3" t="n">
        <v>46126.55128472222</v>
      </c>
      <c r="D6513" s="4">
        <f>(C6513-B6513)*24</f>
        <v/>
      </c>
      <c r="E6513" s="5">
        <f>IF(AND(HOUR(B6513)&gt;=6,HOUR(B6513)&lt;18),"Day Shift","Night Shift")</f>
        <v/>
      </c>
      <c r="F6513" s="6">
        <f>INT(B6513)</f>
        <v/>
      </c>
      <c r="G6513" s="6">
        <f>INT(C6513)</f>
        <v/>
      </c>
    </row>
    <row r="6514">
      <c r="A6514" s="2" t="inlineStr">
        <is>
          <t>LDW262</t>
        </is>
      </c>
      <c r="B6514" s="3" t="n">
        <v>46126.49716435185</v>
      </c>
      <c r="C6514" s="3" t="n">
        <v>46126.75</v>
      </c>
      <c r="D6514" s="4">
        <f>(C6514-B6514)*24</f>
        <v/>
      </c>
      <c r="E6514" s="5">
        <f>IF(AND(HOUR(B6514)&gt;=6,HOUR(B6514)&lt;18),"Day Shift","Night Shift")</f>
        <v/>
      </c>
      <c r="F6514" s="6">
        <f>INT(B6514)</f>
        <v/>
      </c>
      <c r="G6514" s="6">
        <f>INT(C6514)</f>
        <v/>
      </c>
    </row>
    <row r="6515">
      <c r="A6515" s="7" t="inlineStr">
        <is>
          <t>LDW262</t>
        </is>
      </c>
      <c r="B6515" s="8" t="n">
        <v>46126.75</v>
      </c>
      <c r="C6515" s="8" t="n">
        <v>46126.81609953703</v>
      </c>
      <c r="D6515" s="9">
        <f>(C6515-B6515)*24</f>
        <v/>
      </c>
      <c r="E6515" s="10">
        <f>IF(AND(HOUR(B6515)&gt;=6,HOUR(B6515)&lt;18),"Day Shift","Night Shift")</f>
        <v/>
      </c>
      <c r="F6515" s="11">
        <f>INT(B6515)</f>
        <v/>
      </c>
      <c r="G6515" s="11">
        <f>INT(C6515)</f>
        <v/>
      </c>
    </row>
    <row r="6516">
      <c r="A6516" s="2" t="inlineStr">
        <is>
          <t>Sprint 1</t>
        </is>
      </c>
      <c r="B6516" s="3" t="n">
        <v>46126.52043981481</v>
      </c>
      <c r="C6516" s="3" t="n">
        <v>46126.75</v>
      </c>
      <c r="D6516" s="4">
        <f>(C6516-B6516)*24</f>
        <v/>
      </c>
      <c r="E6516" s="5">
        <f>IF(AND(HOUR(B6516)&gt;=6,HOUR(B6516)&lt;18),"Day Shift","Night Shift")</f>
        <v/>
      </c>
      <c r="F6516" s="6">
        <f>INT(B6516)</f>
        <v/>
      </c>
      <c r="G6516" s="6">
        <f>INT(C6516)</f>
        <v/>
      </c>
    </row>
    <row r="6517">
      <c r="A6517" s="7" t="inlineStr">
        <is>
          <t>Sprint 1</t>
        </is>
      </c>
      <c r="B6517" s="8" t="n">
        <v>46126.75</v>
      </c>
      <c r="C6517" s="8" t="n">
        <v>46127.18260416666</v>
      </c>
      <c r="D6517" s="9">
        <f>(C6517-B6517)*24</f>
        <v/>
      </c>
      <c r="E6517" s="10">
        <f>IF(AND(HOUR(B6517)&gt;=6,HOUR(B6517)&lt;18),"Day Shift","Night Shift")</f>
        <v/>
      </c>
      <c r="F6517" s="11">
        <f>INT(B6517)</f>
        <v/>
      </c>
      <c r="G6517" s="11">
        <f>INT(C6517)</f>
        <v/>
      </c>
    </row>
    <row r="6518">
      <c r="A6518" s="2" t="inlineStr">
        <is>
          <t>EDD175;EDD1932;EDD2134;EDD2541;EDD812</t>
        </is>
      </c>
      <c r="B6518" s="3" t="n">
        <v>46126.55128472222</v>
      </c>
      <c r="C6518" s="3" t="n">
        <v>46126.67597222222</v>
      </c>
      <c r="D6518" s="4">
        <f>(C6518-B6518)*24</f>
        <v/>
      </c>
      <c r="E6518" s="5">
        <f>IF(AND(HOUR(B6518)&gt;=6,HOUR(B6518)&lt;18),"Day Shift","Night Shift")</f>
        <v/>
      </c>
      <c r="F6518" s="6">
        <f>INT(B6518)</f>
        <v/>
      </c>
      <c r="G6518" s="6">
        <f>INT(C6518)</f>
        <v/>
      </c>
    </row>
    <row r="6519">
      <c r="A6519" s="2" t="inlineStr">
        <is>
          <t>EDD175;EDD1932;EDD2134;EDD2541;EDD812</t>
        </is>
      </c>
      <c r="B6519" s="3" t="n">
        <v>46126.67597222222</v>
      </c>
      <c r="C6519" s="3" t="n">
        <v>46126.75</v>
      </c>
      <c r="D6519" s="4">
        <f>(C6519-B6519)*24</f>
        <v/>
      </c>
      <c r="E6519" s="5">
        <f>IF(AND(HOUR(B6519)&gt;=6,HOUR(B6519)&lt;18),"Day Shift","Night Shift")</f>
        <v/>
      </c>
      <c r="F6519" s="6">
        <f>INT(B6519)</f>
        <v/>
      </c>
      <c r="G6519" s="6">
        <f>INT(C6519)</f>
        <v/>
      </c>
    </row>
    <row r="6520">
      <c r="A6520" s="7" t="inlineStr">
        <is>
          <t>EDD175;EDD1932;EDD2134;EDD2541;EDD812</t>
        </is>
      </c>
      <c r="B6520" s="8" t="n">
        <v>46126.75</v>
      </c>
      <c r="C6520" s="8" t="n">
        <v>46126.79266203703</v>
      </c>
      <c r="D6520" s="9">
        <f>(C6520-B6520)*24</f>
        <v/>
      </c>
      <c r="E6520" s="10">
        <f>IF(AND(HOUR(B6520)&gt;=6,HOUR(B6520)&lt;18),"Day Shift","Night Shift")</f>
        <v/>
      </c>
      <c r="F6520" s="11">
        <f>INT(B6520)</f>
        <v/>
      </c>
      <c r="G6520" s="11">
        <f>INT(C6520)</f>
        <v/>
      </c>
    </row>
    <row r="6521">
      <c r="A6521" s="2" t="inlineStr">
        <is>
          <t>EXD73</t>
        </is>
      </c>
      <c r="B6521" s="3" t="n">
        <v>46126.70877314815</v>
      </c>
      <c r="C6521" s="3" t="n">
        <v>46126.75</v>
      </c>
      <c r="D6521" s="4">
        <f>(C6521-B6521)*24</f>
        <v/>
      </c>
      <c r="E6521" s="5">
        <f>IF(AND(HOUR(B6521)&gt;=6,HOUR(B6521)&lt;18),"Day Shift","Night Shift")</f>
        <v/>
      </c>
      <c r="F6521" s="6">
        <f>INT(B6521)</f>
        <v/>
      </c>
      <c r="G6521" s="6">
        <f>INT(C6521)</f>
        <v/>
      </c>
    </row>
    <row r="6522">
      <c r="A6522" s="7" t="inlineStr">
        <is>
          <t>EXD73</t>
        </is>
      </c>
      <c r="B6522" s="8" t="n">
        <v>46126.75</v>
      </c>
      <c r="C6522" s="8" t="n">
        <v>46127.25</v>
      </c>
      <c r="D6522" s="9">
        <f>(C6522-B6522)*24</f>
        <v/>
      </c>
      <c r="E6522" s="10">
        <f>IF(AND(HOUR(B6522)&gt;=6,HOUR(B6522)&lt;18),"Day Shift","Night Shift")</f>
        <v/>
      </c>
      <c r="F6522" s="11">
        <f>INT(B6522)</f>
        <v/>
      </c>
      <c r="G6522" s="11">
        <f>INT(C6522)</f>
        <v/>
      </c>
    </row>
    <row r="6523">
      <c r="A6523" s="2" t="inlineStr">
        <is>
          <t>EXD73</t>
        </is>
      </c>
      <c r="B6523" s="3" t="n">
        <v>46127.25</v>
      </c>
      <c r="C6523" s="3" t="n">
        <v>46127.75</v>
      </c>
      <c r="D6523" s="4">
        <f>(C6523-B6523)*24</f>
        <v/>
      </c>
      <c r="E6523" s="5">
        <f>IF(AND(HOUR(B6523)&gt;=6,HOUR(B6523)&lt;18),"Day Shift","Night Shift")</f>
        <v/>
      </c>
      <c r="F6523" s="6">
        <f>INT(B6523)</f>
        <v/>
      </c>
      <c r="G6523" s="6">
        <f>INT(C6523)</f>
        <v/>
      </c>
    </row>
    <row r="6524">
      <c r="A6524" s="7" t="inlineStr">
        <is>
          <t>EXD73</t>
        </is>
      </c>
      <c r="B6524" s="8" t="n">
        <v>46127.75</v>
      </c>
      <c r="C6524" s="8" t="n">
        <v>46128.25</v>
      </c>
      <c r="D6524" s="9">
        <f>(C6524-B6524)*24</f>
        <v/>
      </c>
      <c r="E6524" s="10">
        <f>IF(AND(HOUR(B6524)&gt;=6,HOUR(B6524)&lt;18),"Day Shift","Night Shift")</f>
        <v/>
      </c>
      <c r="F6524" s="11">
        <f>INT(B6524)</f>
        <v/>
      </c>
      <c r="G6524" s="11">
        <f>INT(C6524)</f>
        <v/>
      </c>
    </row>
    <row r="6525">
      <c r="A6525" s="2" t="inlineStr">
        <is>
          <t>EXD73</t>
        </is>
      </c>
      <c r="B6525" s="3" t="n">
        <v>46128.25</v>
      </c>
      <c r="C6525" s="3" t="n">
        <v>46128.5972800926</v>
      </c>
      <c r="D6525" s="4">
        <f>(C6525-B6525)*24</f>
        <v/>
      </c>
      <c r="E6525" s="5">
        <f>IF(AND(HOUR(B6525)&gt;=6,HOUR(B6525)&lt;18),"Day Shift","Night Shift")</f>
        <v/>
      </c>
      <c r="F6525" s="6">
        <f>INT(B6525)</f>
        <v/>
      </c>
      <c r="G6525" s="6">
        <f>INT(C6525)</f>
        <v/>
      </c>
    </row>
    <row r="6526">
      <c r="A6526" s="7" t="inlineStr">
        <is>
          <t>Stag Drill</t>
        </is>
      </c>
      <c r="B6526" s="8" t="n">
        <v>46126.7684375</v>
      </c>
      <c r="C6526" s="8" t="n">
        <v>46127.25</v>
      </c>
      <c r="D6526" s="9">
        <f>(C6526-B6526)*24</f>
        <v/>
      </c>
      <c r="E6526" s="10">
        <f>IF(AND(HOUR(B6526)&gt;=6,HOUR(B6526)&lt;18),"Day Shift","Night Shift")</f>
        <v/>
      </c>
      <c r="F6526" s="11">
        <f>INT(B6526)</f>
        <v/>
      </c>
      <c r="G6526" s="11">
        <f>INT(C6526)</f>
        <v/>
      </c>
    </row>
    <row r="6527">
      <c r="A6527" s="2" t="inlineStr">
        <is>
          <t>Stag Drill</t>
        </is>
      </c>
      <c r="B6527" s="3" t="n">
        <v>46127.25</v>
      </c>
      <c r="C6527" s="3" t="n">
        <v>46127.34510416666</v>
      </c>
      <c r="D6527" s="4">
        <f>(C6527-B6527)*24</f>
        <v/>
      </c>
      <c r="E6527" s="5">
        <f>IF(AND(HOUR(B6527)&gt;=6,HOUR(B6527)&lt;18),"Day Shift","Night Shift")</f>
        <v/>
      </c>
      <c r="F6527" s="6">
        <f>INT(B6527)</f>
        <v/>
      </c>
      <c r="G6527" s="6">
        <f>INT(C6527)</f>
        <v/>
      </c>
    </row>
    <row r="6528">
      <c r="A6528" s="7" t="inlineStr">
        <is>
          <t>EDD175;EDD1932;EDD2134;EDD2541;EDD812</t>
        </is>
      </c>
      <c r="B6528" s="8" t="n">
        <v>46126.79266203703</v>
      </c>
      <c r="C6528" s="8" t="n">
        <v>46126.82997685186</v>
      </c>
      <c r="D6528" s="9">
        <f>(C6528-B6528)*24</f>
        <v/>
      </c>
      <c r="E6528" s="10">
        <f>IF(AND(HOUR(B6528)&gt;=6,HOUR(B6528)&lt;18),"Day Shift","Night Shift")</f>
        <v/>
      </c>
      <c r="F6528" s="11">
        <f>INT(B6528)</f>
        <v/>
      </c>
      <c r="G6528" s="11">
        <f>INT(C6528)</f>
        <v/>
      </c>
    </row>
    <row r="6529">
      <c r="A6529" s="7" t="inlineStr">
        <is>
          <t>EDD175;EDD1932;EDD2134;EDD2541;EDD812</t>
        </is>
      </c>
      <c r="B6529" s="8" t="n">
        <v>46126.82997685186</v>
      </c>
      <c r="C6529" s="8" t="n">
        <v>46126.95643518519</v>
      </c>
      <c r="D6529" s="9">
        <f>(C6529-B6529)*24</f>
        <v/>
      </c>
      <c r="E6529" s="10">
        <f>IF(AND(HOUR(B6529)&gt;=6,HOUR(B6529)&lt;18),"Day Shift","Night Shift")</f>
        <v/>
      </c>
      <c r="F6529" s="11">
        <f>INT(B6529)</f>
        <v/>
      </c>
      <c r="G6529" s="11">
        <f>INT(C6529)</f>
        <v/>
      </c>
    </row>
    <row r="6530">
      <c r="A6530" s="7" t="inlineStr">
        <is>
          <t>SHE36</t>
        </is>
      </c>
      <c r="B6530" s="8" t="n">
        <v>46126.89756944445</v>
      </c>
      <c r="C6530" s="8" t="n">
        <v>46127.25</v>
      </c>
      <c r="D6530" s="9">
        <f>(C6530-B6530)*24</f>
        <v/>
      </c>
      <c r="E6530" s="10">
        <f>IF(AND(HOUR(B6530)&gt;=6,HOUR(B6530)&lt;18),"Day Shift","Night Shift")</f>
        <v/>
      </c>
      <c r="F6530" s="11">
        <f>INT(B6530)</f>
        <v/>
      </c>
      <c r="G6530" s="11">
        <f>INT(C6530)</f>
        <v/>
      </c>
    </row>
    <row r="6531">
      <c r="A6531" s="2" t="inlineStr">
        <is>
          <t>SHE36</t>
        </is>
      </c>
      <c r="B6531" s="3" t="n">
        <v>46127.25</v>
      </c>
      <c r="C6531" s="3" t="n">
        <v>46127.75</v>
      </c>
      <c r="D6531" s="4">
        <f>(C6531-B6531)*24</f>
        <v/>
      </c>
      <c r="E6531" s="5">
        <f>IF(AND(HOUR(B6531)&gt;=6,HOUR(B6531)&lt;18),"Day Shift","Night Shift")</f>
        <v/>
      </c>
      <c r="F6531" s="6">
        <f>INT(B6531)</f>
        <v/>
      </c>
      <c r="G6531" s="6">
        <f>INT(C6531)</f>
        <v/>
      </c>
    </row>
    <row r="6532">
      <c r="A6532" s="7" t="inlineStr">
        <is>
          <t>SHE36</t>
        </is>
      </c>
      <c r="B6532" s="8" t="n">
        <v>46127.75</v>
      </c>
      <c r="C6532" s="8" t="n">
        <v>46127.98893518518</v>
      </c>
      <c r="D6532" s="9">
        <f>(C6532-B6532)*24</f>
        <v/>
      </c>
      <c r="E6532" s="10">
        <f>IF(AND(HOUR(B6532)&gt;=6,HOUR(B6532)&lt;18),"Day Shift","Night Shift")</f>
        <v/>
      </c>
      <c r="F6532" s="11">
        <f>INT(B6532)</f>
        <v/>
      </c>
      <c r="G6532" s="11">
        <f>INT(C6532)</f>
        <v/>
      </c>
    </row>
    <row r="6533">
      <c r="A6533" s="7" t="inlineStr">
        <is>
          <t>EDD175;EDD1932;EDD2134;EDD2541;EDD812</t>
        </is>
      </c>
      <c r="B6533" s="8" t="n">
        <v>46126.95643518519</v>
      </c>
      <c r="C6533" s="8" t="n">
        <v>46127.08291666667</v>
      </c>
      <c r="D6533" s="9">
        <f>(C6533-B6533)*24</f>
        <v/>
      </c>
      <c r="E6533" s="10">
        <f>IF(AND(HOUR(B6533)&gt;=6,HOUR(B6533)&lt;18),"Day Shift","Night Shift")</f>
        <v/>
      </c>
      <c r="F6533" s="11">
        <f>INT(B6533)</f>
        <v/>
      </c>
      <c r="G6533" s="11">
        <f>INT(C6533)</f>
        <v/>
      </c>
    </row>
    <row r="6534">
      <c r="A6534" s="7" t="inlineStr">
        <is>
          <t>EXD51</t>
        </is>
      </c>
      <c r="B6534" s="8" t="n">
        <v>46127.02710648148</v>
      </c>
      <c r="C6534" s="8" t="n">
        <v>46127.25</v>
      </c>
      <c r="D6534" s="9">
        <f>(C6534-B6534)*24</f>
        <v/>
      </c>
      <c r="E6534" s="10">
        <f>IF(AND(HOUR(B6534)&gt;=6,HOUR(B6534)&lt;18),"Day Shift","Night Shift")</f>
        <v/>
      </c>
      <c r="F6534" s="11">
        <f>INT(B6534)</f>
        <v/>
      </c>
      <c r="G6534" s="11">
        <f>INT(C6534)</f>
        <v/>
      </c>
    </row>
    <row r="6535">
      <c r="A6535" s="2" t="inlineStr">
        <is>
          <t>EXD51</t>
        </is>
      </c>
      <c r="B6535" s="3" t="n">
        <v>46127.25</v>
      </c>
      <c r="C6535" s="3" t="n">
        <v>46127.75</v>
      </c>
      <c r="D6535" s="4">
        <f>(C6535-B6535)*24</f>
        <v/>
      </c>
      <c r="E6535" s="5">
        <f>IF(AND(HOUR(B6535)&gt;=6,HOUR(B6535)&lt;18),"Day Shift","Night Shift")</f>
        <v/>
      </c>
      <c r="F6535" s="6">
        <f>INT(B6535)</f>
        <v/>
      </c>
      <c r="G6535" s="6">
        <f>INT(C6535)</f>
        <v/>
      </c>
    </row>
    <row r="6536">
      <c r="A6536" s="7" t="inlineStr">
        <is>
          <t>EXD51</t>
        </is>
      </c>
      <c r="B6536" s="8" t="n">
        <v>46127.75</v>
      </c>
      <c r="C6536" s="8" t="n">
        <v>46128.25</v>
      </c>
      <c r="D6536" s="9">
        <f>(C6536-B6536)*24</f>
        <v/>
      </c>
      <c r="E6536" s="10">
        <f>IF(AND(HOUR(B6536)&gt;=6,HOUR(B6536)&lt;18),"Day Shift","Night Shift")</f>
        <v/>
      </c>
      <c r="F6536" s="11">
        <f>INT(B6536)</f>
        <v/>
      </c>
      <c r="G6536" s="11">
        <f>INT(C6536)</f>
        <v/>
      </c>
    </row>
    <row r="6537">
      <c r="A6537" s="2" t="inlineStr">
        <is>
          <t>EXD51</t>
        </is>
      </c>
      <c r="B6537" s="3" t="n">
        <v>46128.25</v>
      </c>
      <c r="C6537" s="3" t="n">
        <v>46128.75</v>
      </c>
      <c r="D6537" s="4">
        <f>(C6537-B6537)*24</f>
        <v/>
      </c>
      <c r="E6537" s="5">
        <f>IF(AND(HOUR(B6537)&gt;=6,HOUR(B6537)&lt;18),"Day Shift","Night Shift")</f>
        <v/>
      </c>
      <c r="F6537" s="6">
        <f>INT(B6537)</f>
        <v/>
      </c>
      <c r="G6537" s="6">
        <f>INT(C6537)</f>
        <v/>
      </c>
    </row>
    <row r="6538">
      <c r="A6538" s="7" t="inlineStr">
        <is>
          <t>EXD51</t>
        </is>
      </c>
      <c r="B6538" s="8" t="n">
        <v>46128.75</v>
      </c>
      <c r="C6538" s="8" t="n">
        <v>46129.25</v>
      </c>
      <c r="D6538" s="9">
        <f>(C6538-B6538)*24</f>
        <v/>
      </c>
      <c r="E6538" s="10">
        <f>IF(AND(HOUR(B6538)&gt;=6,HOUR(B6538)&lt;18),"Day Shift","Night Shift")</f>
        <v/>
      </c>
      <c r="F6538" s="11">
        <f>INT(B6538)</f>
        <v/>
      </c>
      <c r="G6538" s="11">
        <f>INT(C6538)</f>
        <v/>
      </c>
    </row>
    <row r="6539">
      <c r="A6539" s="2" t="inlineStr">
        <is>
          <t>EXD51</t>
        </is>
      </c>
      <c r="B6539" s="3" t="n">
        <v>46129.25</v>
      </c>
      <c r="C6539" s="3" t="n">
        <v>46129.75</v>
      </c>
      <c r="D6539" s="4">
        <f>(C6539-B6539)*24</f>
        <v/>
      </c>
      <c r="E6539" s="5">
        <f>IF(AND(HOUR(B6539)&gt;=6,HOUR(B6539)&lt;18),"Day Shift","Night Shift")</f>
        <v/>
      </c>
      <c r="F6539" s="6">
        <f>INT(B6539)</f>
        <v/>
      </c>
      <c r="G6539" s="6">
        <f>INT(C6539)</f>
        <v/>
      </c>
    </row>
    <row r="6540">
      <c r="A6540" s="7" t="inlineStr">
        <is>
          <t>EXD51</t>
        </is>
      </c>
      <c r="B6540" s="8" t="n">
        <v>46129.75</v>
      </c>
      <c r="C6540" s="8" t="n">
        <v>46130.25</v>
      </c>
      <c r="D6540" s="9">
        <f>(C6540-B6540)*24</f>
        <v/>
      </c>
      <c r="E6540" s="10">
        <f>IF(AND(HOUR(B6540)&gt;=6,HOUR(B6540)&lt;18),"Day Shift","Night Shift")</f>
        <v/>
      </c>
      <c r="F6540" s="11">
        <f>INT(B6540)</f>
        <v/>
      </c>
      <c r="G6540" s="11">
        <f>INT(C6540)</f>
        <v/>
      </c>
    </row>
    <row r="6541">
      <c r="A6541" s="2" t="inlineStr">
        <is>
          <t>EXD51</t>
        </is>
      </c>
      <c r="B6541" s="3" t="n">
        <v>46130.25</v>
      </c>
      <c r="C6541" s="3" t="n">
        <v>46130.75</v>
      </c>
      <c r="D6541" s="4">
        <f>(C6541-B6541)*24</f>
        <v/>
      </c>
      <c r="E6541" s="5">
        <f>IF(AND(HOUR(B6541)&gt;=6,HOUR(B6541)&lt;18),"Day Shift","Night Shift")</f>
        <v/>
      </c>
      <c r="F6541" s="6">
        <f>INT(B6541)</f>
        <v/>
      </c>
      <c r="G6541" s="6">
        <f>INT(C6541)</f>
        <v/>
      </c>
    </row>
    <row r="6542">
      <c r="A6542" s="7" t="inlineStr">
        <is>
          <t>EXD51</t>
        </is>
      </c>
      <c r="B6542" s="8" t="n">
        <v>46130.75</v>
      </c>
      <c r="C6542" s="8" t="n">
        <v>46131.25</v>
      </c>
      <c r="D6542" s="9">
        <f>(C6542-B6542)*24</f>
        <v/>
      </c>
      <c r="E6542" s="10">
        <f>IF(AND(HOUR(B6542)&gt;=6,HOUR(B6542)&lt;18),"Day Shift","Night Shift")</f>
        <v/>
      </c>
      <c r="F6542" s="11">
        <f>INT(B6542)</f>
        <v/>
      </c>
      <c r="G6542" s="11">
        <f>INT(C6542)</f>
        <v/>
      </c>
    </row>
    <row r="6543">
      <c r="A6543" s="2" t="inlineStr">
        <is>
          <t>EXD51</t>
        </is>
      </c>
      <c r="B6543" s="3" t="n">
        <v>46131.25</v>
      </c>
      <c r="C6543" s="3" t="n">
        <v>46131.75</v>
      </c>
      <c r="D6543" s="4">
        <f>(C6543-B6543)*24</f>
        <v/>
      </c>
      <c r="E6543" s="5">
        <f>IF(AND(HOUR(B6543)&gt;=6,HOUR(B6543)&lt;18),"Day Shift","Night Shift")</f>
        <v/>
      </c>
      <c r="F6543" s="6">
        <f>INT(B6543)</f>
        <v/>
      </c>
      <c r="G6543" s="6">
        <f>INT(C6543)</f>
        <v/>
      </c>
    </row>
    <row r="6544">
      <c r="A6544" s="7" t="inlineStr">
        <is>
          <t>EXD51</t>
        </is>
      </c>
      <c r="B6544" s="8" t="n">
        <v>46131.75</v>
      </c>
      <c r="C6544" s="8" t="n">
        <v>46131.77300925926</v>
      </c>
      <c r="D6544" s="9">
        <f>(C6544-B6544)*24</f>
        <v/>
      </c>
      <c r="E6544" s="10">
        <f>IF(AND(HOUR(B6544)&gt;=6,HOUR(B6544)&lt;18),"Day Shift","Night Shift")</f>
        <v/>
      </c>
      <c r="F6544" s="11">
        <f>INT(B6544)</f>
        <v/>
      </c>
      <c r="G6544" s="11">
        <f>INT(C6544)</f>
        <v/>
      </c>
    </row>
    <row r="6545">
      <c r="A6545" s="7" t="inlineStr">
        <is>
          <t>EDD175;EDD1932;EDD2134;EDD2541;EDD812</t>
        </is>
      </c>
      <c r="B6545" s="8" t="n">
        <v>46127.08291666667</v>
      </c>
      <c r="C6545" s="8" t="n">
        <v>46127.2094212963</v>
      </c>
      <c r="D6545" s="9">
        <f>(C6545-B6545)*24</f>
        <v/>
      </c>
      <c r="E6545" s="10">
        <f>IF(AND(HOUR(B6545)&gt;=6,HOUR(B6545)&lt;18),"Day Shift","Night Shift")</f>
        <v/>
      </c>
      <c r="F6545" s="11">
        <f>INT(B6545)</f>
        <v/>
      </c>
      <c r="G6545" s="11">
        <f>INT(C6545)</f>
        <v/>
      </c>
    </row>
    <row r="6546">
      <c r="A6546" s="7" t="inlineStr">
        <is>
          <t>EXD60</t>
        </is>
      </c>
      <c r="B6546" s="8" t="n">
        <v>46127.08828703704</v>
      </c>
      <c r="C6546" s="8" t="n">
        <v>46127.25</v>
      </c>
      <c r="D6546" s="9">
        <f>(C6546-B6546)*24</f>
        <v/>
      </c>
      <c r="E6546" s="10">
        <f>IF(AND(HOUR(B6546)&gt;=6,HOUR(B6546)&lt;18),"Day Shift","Night Shift")</f>
        <v/>
      </c>
      <c r="F6546" s="11">
        <f>INT(B6546)</f>
        <v/>
      </c>
      <c r="G6546" s="11">
        <f>INT(C6546)</f>
        <v/>
      </c>
    </row>
    <row r="6547">
      <c r="A6547" s="2" t="inlineStr">
        <is>
          <t>EXD60</t>
        </is>
      </c>
      <c r="B6547" s="3" t="n">
        <v>46127.25</v>
      </c>
      <c r="C6547" s="3" t="n">
        <v>46127.2614699074</v>
      </c>
      <c r="D6547" s="4">
        <f>(C6547-B6547)*24</f>
        <v/>
      </c>
      <c r="E6547" s="5">
        <f>IF(AND(HOUR(B6547)&gt;=6,HOUR(B6547)&lt;18),"Day Shift","Night Shift")</f>
        <v/>
      </c>
      <c r="F6547" s="6">
        <f>INT(B6547)</f>
        <v/>
      </c>
      <c r="G6547" s="6">
        <f>INT(C6547)</f>
        <v/>
      </c>
    </row>
    <row r="6548">
      <c r="A6548" s="7" t="inlineStr">
        <is>
          <t>DRE12</t>
        </is>
      </c>
      <c r="B6548" s="8" t="n">
        <v>46127.12561342592</v>
      </c>
      <c r="C6548" s="8" t="n">
        <v>46127.25</v>
      </c>
      <c r="D6548" s="9">
        <f>(C6548-B6548)*24</f>
        <v/>
      </c>
      <c r="E6548" s="10">
        <f>IF(AND(HOUR(B6548)&gt;=6,HOUR(B6548)&lt;18),"Day Shift","Night Shift")</f>
        <v/>
      </c>
      <c r="F6548" s="11">
        <f>INT(B6548)</f>
        <v/>
      </c>
      <c r="G6548" s="11">
        <f>INT(C6548)</f>
        <v/>
      </c>
    </row>
    <row r="6549">
      <c r="A6549" s="2" t="inlineStr">
        <is>
          <t>DRE12</t>
        </is>
      </c>
      <c r="B6549" s="3" t="n">
        <v>46127.25</v>
      </c>
      <c r="C6549" s="3" t="n">
        <v>46127.75</v>
      </c>
      <c r="D6549" s="4">
        <f>(C6549-B6549)*24</f>
        <v/>
      </c>
      <c r="E6549" s="5">
        <f>IF(AND(HOUR(B6549)&gt;=6,HOUR(B6549)&lt;18),"Day Shift","Night Shift")</f>
        <v/>
      </c>
      <c r="F6549" s="6">
        <f>INT(B6549)</f>
        <v/>
      </c>
      <c r="G6549" s="6">
        <f>INT(C6549)</f>
        <v/>
      </c>
    </row>
    <row r="6550">
      <c r="A6550" s="7" t="inlineStr">
        <is>
          <t>DRE12</t>
        </is>
      </c>
      <c r="B6550" s="8" t="n">
        <v>46127.75</v>
      </c>
      <c r="C6550" s="8" t="n">
        <v>46128.25</v>
      </c>
      <c r="D6550" s="9">
        <f>(C6550-B6550)*24</f>
        <v/>
      </c>
      <c r="E6550" s="10">
        <f>IF(AND(HOUR(B6550)&gt;=6,HOUR(B6550)&lt;18),"Day Shift","Night Shift")</f>
        <v/>
      </c>
      <c r="F6550" s="11">
        <f>INT(B6550)</f>
        <v/>
      </c>
      <c r="G6550" s="11">
        <f>INT(C6550)</f>
        <v/>
      </c>
    </row>
    <row r="6551">
      <c r="A6551" s="2" t="inlineStr">
        <is>
          <t>DRE12</t>
        </is>
      </c>
      <c r="B6551" s="3" t="n">
        <v>46128.25</v>
      </c>
      <c r="C6551" s="3" t="n">
        <v>46128.75</v>
      </c>
      <c r="D6551" s="4">
        <f>(C6551-B6551)*24</f>
        <v/>
      </c>
      <c r="E6551" s="5">
        <f>IF(AND(HOUR(B6551)&gt;=6,HOUR(B6551)&lt;18),"Day Shift","Night Shift")</f>
        <v/>
      </c>
      <c r="F6551" s="6">
        <f>INT(B6551)</f>
        <v/>
      </c>
      <c r="G6551" s="6">
        <f>INT(C6551)</f>
        <v/>
      </c>
    </row>
    <row r="6552">
      <c r="A6552" s="7" t="inlineStr">
        <is>
          <t>DRE12</t>
        </is>
      </c>
      <c r="B6552" s="8" t="n">
        <v>46128.75</v>
      </c>
      <c r="C6552" s="8" t="n">
        <v>46129.25</v>
      </c>
      <c r="D6552" s="9">
        <f>(C6552-B6552)*24</f>
        <v/>
      </c>
      <c r="E6552" s="10">
        <f>IF(AND(HOUR(B6552)&gt;=6,HOUR(B6552)&lt;18),"Day Shift","Night Shift")</f>
        <v/>
      </c>
      <c r="F6552" s="11">
        <f>INT(B6552)</f>
        <v/>
      </c>
      <c r="G6552" s="11">
        <f>INT(C6552)</f>
        <v/>
      </c>
    </row>
    <row r="6553">
      <c r="A6553" s="2" t="inlineStr">
        <is>
          <t>DRE12</t>
        </is>
      </c>
      <c r="B6553" s="3" t="n">
        <v>46129.25</v>
      </c>
      <c r="C6553" s="3" t="n">
        <v>46129.25219907407</v>
      </c>
      <c r="D6553" s="4">
        <f>(C6553-B6553)*24</f>
        <v/>
      </c>
      <c r="E6553" s="5">
        <f>IF(AND(HOUR(B6553)&gt;=6,HOUR(B6553)&lt;18),"Day Shift","Night Shift")</f>
        <v/>
      </c>
      <c r="F6553" s="6">
        <f>INT(B6553)</f>
        <v/>
      </c>
      <c r="G6553" s="6">
        <f>INT(C6553)</f>
        <v/>
      </c>
    </row>
    <row r="6554">
      <c r="A6554" s="7" t="inlineStr">
        <is>
          <t>EXD100</t>
        </is>
      </c>
      <c r="B6554" s="8" t="n">
        <v>46127.1367824074</v>
      </c>
      <c r="C6554" s="8" t="n">
        <v>46127.25</v>
      </c>
      <c r="D6554" s="9">
        <f>(C6554-B6554)*24</f>
        <v/>
      </c>
      <c r="E6554" s="10">
        <f>IF(AND(HOUR(B6554)&gt;=6,HOUR(B6554)&lt;18),"Day Shift","Night Shift")</f>
        <v/>
      </c>
      <c r="F6554" s="11">
        <f>INT(B6554)</f>
        <v/>
      </c>
      <c r="G6554" s="11">
        <f>INT(C6554)</f>
        <v/>
      </c>
    </row>
    <row r="6555">
      <c r="A6555" s="2" t="inlineStr">
        <is>
          <t>EXD100</t>
        </is>
      </c>
      <c r="B6555" s="3" t="n">
        <v>46127.25</v>
      </c>
      <c r="C6555" s="3" t="n">
        <v>46127.70842592593</v>
      </c>
      <c r="D6555" s="4">
        <f>(C6555-B6555)*24</f>
        <v/>
      </c>
      <c r="E6555" s="5">
        <f>IF(AND(HOUR(B6555)&gt;=6,HOUR(B6555)&lt;18),"Day Shift","Night Shift")</f>
        <v/>
      </c>
      <c r="F6555" s="6">
        <f>INT(B6555)</f>
        <v/>
      </c>
      <c r="G6555" s="6">
        <f>INT(C6555)</f>
        <v/>
      </c>
    </row>
    <row r="6556">
      <c r="A6556" s="7" t="inlineStr">
        <is>
          <t>EXD98</t>
        </is>
      </c>
      <c r="B6556" s="8" t="n">
        <v>46127.14520833334</v>
      </c>
      <c r="C6556" s="8" t="n">
        <v>46127.25</v>
      </c>
      <c r="D6556" s="9">
        <f>(C6556-B6556)*24</f>
        <v/>
      </c>
      <c r="E6556" s="10">
        <f>IF(AND(HOUR(B6556)&gt;=6,HOUR(B6556)&lt;18),"Day Shift","Night Shift")</f>
        <v/>
      </c>
      <c r="F6556" s="11">
        <f>INT(B6556)</f>
        <v/>
      </c>
      <c r="G6556" s="11">
        <f>INT(C6556)</f>
        <v/>
      </c>
    </row>
    <row r="6557">
      <c r="A6557" s="2" t="inlineStr">
        <is>
          <t>EXD98</t>
        </is>
      </c>
      <c r="B6557" s="3" t="n">
        <v>46127.25</v>
      </c>
      <c r="C6557" s="3" t="n">
        <v>46127.75</v>
      </c>
      <c r="D6557" s="4">
        <f>(C6557-B6557)*24</f>
        <v/>
      </c>
      <c r="E6557" s="5">
        <f>IF(AND(HOUR(B6557)&gt;=6,HOUR(B6557)&lt;18),"Day Shift","Night Shift")</f>
        <v/>
      </c>
      <c r="F6557" s="6">
        <f>INT(B6557)</f>
        <v/>
      </c>
      <c r="G6557" s="6">
        <f>INT(C6557)</f>
        <v/>
      </c>
    </row>
    <row r="6558">
      <c r="A6558" s="7" t="inlineStr">
        <is>
          <t>EXD98</t>
        </is>
      </c>
      <c r="B6558" s="8" t="n">
        <v>46127.75</v>
      </c>
      <c r="C6558" s="8" t="n">
        <v>46127.95835648148</v>
      </c>
      <c r="D6558" s="9">
        <f>(C6558-B6558)*24</f>
        <v/>
      </c>
      <c r="E6558" s="10">
        <f>IF(AND(HOUR(B6558)&gt;=6,HOUR(B6558)&lt;18),"Day Shift","Night Shift")</f>
        <v/>
      </c>
      <c r="F6558" s="11">
        <f>INT(B6558)</f>
        <v/>
      </c>
      <c r="G6558" s="11">
        <f>INT(C6558)</f>
        <v/>
      </c>
    </row>
    <row r="6559">
      <c r="A6559" s="7" t="inlineStr">
        <is>
          <t>Sprint 1</t>
        </is>
      </c>
      <c r="B6559" s="8" t="n">
        <v>46127.18260416666</v>
      </c>
      <c r="C6559" s="8" t="n">
        <v>46127.25</v>
      </c>
      <c r="D6559" s="9">
        <f>(C6559-B6559)*24</f>
        <v/>
      </c>
      <c r="E6559" s="10">
        <f>IF(AND(HOUR(B6559)&gt;=6,HOUR(B6559)&lt;18),"Day Shift","Night Shift")</f>
        <v/>
      </c>
      <c r="F6559" s="11">
        <f>INT(B6559)</f>
        <v/>
      </c>
      <c r="G6559" s="11">
        <f>INT(C6559)</f>
        <v/>
      </c>
    </row>
    <row r="6560">
      <c r="A6560" s="2" t="inlineStr">
        <is>
          <t>Sprint 1</t>
        </is>
      </c>
      <c r="B6560" s="3" t="n">
        <v>46127.25</v>
      </c>
      <c r="C6560" s="3" t="n">
        <v>46127.75</v>
      </c>
      <c r="D6560" s="4">
        <f>(C6560-B6560)*24</f>
        <v/>
      </c>
      <c r="E6560" s="5">
        <f>IF(AND(HOUR(B6560)&gt;=6,HOUR(B6560)&lt;18),"Day Shift","Night Shift")</f>
        <v/>
      </c>
      <c r="F6560" s="6">
        <f>INT(B6560)</f>
        <v/>
      </c>
      <c r="G6560" s="6">
        <f>INT(C6560)</f>
        <v/>
      </c>
    </row>
    <row r="6561">
      <c r="A6561" s="7" t="inlineStr">
        <is>
          <t>Sprint 1</t>
        </is>
      </c>
      <c r="B6561" s="8" t="n">
        <v>46127.75</v>
      </c>
      <c r="C6561" s="8" t="n">
        <v>46127.85380787037</v>
      </c>
      <c r="D6561" s="9">
        <f>(C6561-B6561)*24</f>
        <v/>
      </c>
      <c r="E6561" s="10">
        <f>IF(AND(HOUR(B6561)&gt;=6,HOUR(B6561)&lt;18),"Day Shift","Night Shift")</f>
        <v/>
      </c>
      <c r="F6561" s="11">
        <f>INT(B6561)</f>
        <v/>
      </c>
      <c r="G6561" s="11">
        <f>INT(C6561)</f>
        <v/>
      </c>
    </row>
    <row r="6562">
      <c r="A6562" s="7" t="inlineStr">
        <is>
          <t>EDD175;EDD1932;EDD2134;EDD2541;EDD812</t>
        </is>
      </c>
      <c r="B6562" s="8" t="n">
        <v>46127.2094212963</v>
      </c>
      <c r="C6562" s="8" t="n">
        <v>46127.25</v>
      </c>
      <c r="D6562" s="9">
        <f>(C6562-B6562)*24</f>
        <v/>
      </c>
      <c r="E6562" s="10">
        <f>IF(AND(HOUR(B6562)&gt;=6,HOUR(B6562)&lt;18),"Day Shift","Night Shift")</f>
        <v/>
      </c>
      <c r="F6562" s="11">
        <f>INT(B6562)</f>
        <v/>
      </c>
      <c r="G6562" s="11">
        <f>INT(C6562)</f>
        <v/>
      </c>
    </row>
    <row r="6563">
      <c r="A6563" s="2" t="inlineStr">
        <is>
          <t>EDD175;EDD1932;EDD2134;EDD2541;EDD812</t>
        </is>
      </c>
      <c r="B6563" s="3" t="n">
        <v>46127.25</v>
      </c>
      <c r="C6563" s="3" t="n">
        <v>46127.3362037037</v>
      </c>
      <c r="D6563" s="4">
        <f>(C6563-B6563)*24</f>
        <v/>
      </c>
      <c r="E6563" s="5">
        <f>IF(AND(HOUR(B6563)&gt;=6,HOUR(B6563)&lt;18),"Day Shift","Night Shift")</f>
        <v/>
      </c>
      <c r="F6563" s="6">
        <f>INT(B6563)</f>
        <v/>
      </c>
      <c r="G6563" s="6">
        <f>INT(C6563)</f>
        <v/>
      </c>
    </row>
    <row r="6564">
      <c r="A6564" s="7" t="inlineStr">
        <is>
          <t>EXD51</t>
        </is>
      </c>
      <c r="B6564" s="8" t="n">
        <v>46127.22571759259</v>
      </c>
      <c r="C6564" s="8" t="n">
        <v>46127.25</v>
      </c>
      <c r="D6564" s="9">
        <f>(C6564-B6564)*24</f>
        <v/>
      </c>
      <c r="E6564" s="10">
        <f>IF(AND(HOUR(B6564)&gt;=6,HOUR(B6564)&lt;18),"Day Shift","Night Shift")</f>
        <v/>
      </c>
      <c r="F6564" s="11">
        <f>INT(B6564)</f>
        <v/>
      </c>
      <c r="G6564" s="11">
        <f>INT(C6564)</f>
        <v/>
      </c>
    </row>
    <row r="6565">
      <c r="A6565" s="2" t="inlineStr">
        <is>
          <t>EXD51</t>
        </is>
      </c>
      <c r="B6565" s="3" t="n">
        <v>46127.25</v>
      </c>
      <c r="C6565" s="3" t="n">
        <v>46127.47951388889</v>
      </c>
      <c r="D6565" s="4">
        <f>(C6565-B6565)*24</f>
        <v/>
      </c>
      <c r="E6565" s="5">
        <f>IF(AND(HOUR(B6565)&gt;=6,HOUR(B6565)&lt;18),"Day Shift","Night Shift")</f>
        <v/>
      </c>
      <c r="F6565" s="6">
        <f>INT(B6565)</f>
        <v/>
      </c>
      <c r="G6565" s="6">
        <f>INT(C6565)</f>
        <v/>
      </c>
    </row>
    <row r="6566">
      <c r="A6566" s="7" t="inlineStr">
        <is>
          <t>EXD101</t>
        </is>
      </c>
      <c r="B6566" s="8" t="n">
        <v>46127.24989583333</v>
      </c>
      <c r="C6566" s="8" t="n">
        <v>46127.25</v>
      </c>
      <c r="D6566" s="9">
        <f>(C6566-B6566)*24</f>
        <v/>
      </c>
      <c r="E6566" s="10">
        <f>IF(AND(HOUR(B6566)&gt;=6,HOUR(B6566)&lt;18),"Day Shift","Night Shift")</f>
        <v/>
      </c>
      <c r="F6566" s="11">
        <f>INT(B6566)</f>
        <v/>
      </c>
      <c r="G6566" s="11">
        <f>INT(C6566)</f>
        <v/>
      </c>
    </row>
    <row r="6567">
      <c r="A6567" s="2" t="inlineStr">
        <is>
          <t>EXD101</t>
        </is>
      </c>
      <c r="B6567" s="3" t="n">
        <v>46127.25</v>
      </c>
      <c r="C6567" s="3" t="n">
        <v>46127.75</v>
      </c>
      <c r="D6567" s="4">
        <f>(C6567-B6567)*24</f>
        <v/>
      </c>
      <c r="E6567" s="5">
        <f>IF(AND(HOUR(B6567)&gt;=6,HOUR(B6567)&lt;18),"Day Shift","Night Shift")</f>
        <v/>
      </c>
      <c r="F6567" s="6">
        <f>INT(B6567)</f>
        <v/>
      </c>
      <c r="G6567" s="6">
        <f>INT(C6567)</f>
        <v/>
      </c>
    </row>
    <row r="6568">
      <c r="A6568" s="7" t="inlineStr">
        <is>
          <t>EXD101</t>
        </is>
      </c>
      <c r="B6568" s="8" t="n">
        <v>46127.75</v>
      </c>
      <c r="C6568" s="8" t="n">
        <v>46128.25</v>
      </c>
      <c r="D6568" s="9">
        <f>(C6568-B6568)*24</f>
        <v/>
      </c>
      <c r="E6568" s="10">
        <f>IF(AND(HOUR(B6568)&gt;=6,HOUR(B6568)&lt;18),"Day Shift","Night Shift")</f>
        <v/>
      </c>
      <c r="F6568" s="11">
        <f>INT(B6568)</f>
        <v/>
      </c>
      <c r="G6568" s="11">
        <f>INT(C6568)</f>
        <v/>
      </c>
    </row>
    <row r="6569">
      <c r="A6569" s="2" t="inlineStr">
        <is>
          <t>EXD101</t>
        </is>
      </c>
      <c r="B6569" s="3" t="n">
        <v>46128.25</v>
      </c>
      <c r="C6569" s="3" t="n">
        <v>46128.36914351852</v>
      </c>
      <c r="D6569" s="4">
        <f>(C6569-B6569)*24</f>
        <v/>
      </c>
      <c r="E6569" s="5">
        <f>IF(AND(HOUR(B6569)&gt;=6,HOUR(B6569)&lt;18),"Day Shift","Night Shift")</f>
        <v/>
      </c>
      <c r="F6569" s="6">
        <f>INT(B6569)</f>
        <v/>
      </c>
      <c r="G6569" s="6">
        <f>INT(C6569)</f>
        <v/>
      </c>
    </row>
    <row r="6570">
      <c r="A6570" s="2" t="inlineStr">
        <is>
          <t>EXD60</t>
        </is>
      </c>
      <c r="B6570" s="3" t="n">
        <v>46127.2614699074</v>
      </c>
      <c r="C6570" s="3" t="n">
        <v>46127.75</v>
      </c>
      <c r="D6570" s="4">
        <f>(C6570-B6570)*24</f>
        <v/>
      </c>
      <c r="E6570" s="5">
        <f>IF(AND(HOUR(B6570)&gt;=6,HOUR(B6570)&lt;18),"Day Shift","Night Shift")</f>
        <v/>
      </c>
      <c r="F6570" s="6">
        <f>INT(B6570)</f>
        <v/>
      </c>
      <c r="G6570" s="6">
        <f>INT(C6570)</f>
        <v/>
      </c>
    </row>
    <row r="6571">
      <c r="A6571" s="7" t="inlineStr">
        <is>
          <t>EXD60</t>
        </is>
      </c>
      <c r="B6571" s="8" t="n">
        <v>46127.75</v>
      </c>
      <c r="C6571" s="8" t="n">
        <v>46128.25</v>
      </c>
      <c r="D6571" s="9">
        <f>(C6571-B6571)*24</f>
        <v/>
      </c>
      <c r="E6571" s="10">
        <f>IF(AND(HOUR(B6571)&gt;=6,HOUR(B6571)&lt;18),"Day Shift","Night Shift")</f>
        <v/>
      </c>
      <c r="F6571" s="11">
        <f>INT(B6571)</f>
        <v/>
      </c>
      <c r="G6571" s="11">
        <f>INT(C6571)</f>
        <v/>
      </c>
    </row>
    <row r="6572">
      <c r="A6572" s="2" t="inlineStr">
        <is>
          <t>EXD60</t>
        </is>
      </c>
      <c r="B6572" s="3" t="n">
        <v>46128.25</v>
      </c>
      <c r="C6572" s="3" t="n">
        <v>46128.75</v>
      </c>
      <c r="D6572" s="4">
        <f>(C6572-B6572)*24</f>
        <v/>
      </c>
      <c r="E6572" s="5">
        <f>IF(AND(HOUR(B6572)&gt;=6,HOUR(B6572)&lt;18),"Day Shift","Night Shift")</f>
        <v/>
      </c>
      <c r="F6572" s="6">
        <f>INT(B6572)</f>
        <v/>
      </c>
      <c r="G6572" s="6">
        <f>INT(C6572)</f>
        <v/>
      </c>
    </row>
    <row r="6573">
      <c r="A6573" s="7" t="inlineStr">
        <is>
          <t>EXD60</t>
        </is>
      </c>
      <c r="B6573" s="8" t="n">
        <v>46128.75</v>
      </c>
      <c r="C6573" s="8" t="n">
        <v>46129.25</v>
      </c>
      <c r="D6573" s="9">
        <f>(C6573-B6573)*24</f>
        <v/>
      </c>
      <c r="E6573" s="10">
        <f>IF(AND(HOUR(B6573)&gt;=6,HOUR(B6573)&lt;18),"Day Shift","Night Shift")</f>
        <v/>
      </c>
      <c r="F6573" s="11">
        <f>INT(B6573)</f>
        <v/>
      </c>
      <c r="G6573" s="11">
        <f>INT(C6573)</f>
        <v/>
      </c>
    </row>
    <row r="6574">
      <c r="A6574" s="2" t="inlineStr">
        <is>
          <t>EXD60</t>
        </is>
      </c>
      <c r="B6574" s="3" t="n">
        <v>46129.25</v>
      </c>
      <c r="C6574" s="3" t="n">
        <v>46129.75</v>
      </c>
      <c r="D6574" s="4">
        <f>(C6574-B6574)*24</f>
        <v/>
      </c>
      <c r="E6574" s="5">
        <f>IF(AND(HOUR(B6574)&gt;=6,HOUR(B6574)&lt;18),"Day Shift","Night Shift")</f>
        <v/>
      </c>
      <c r="F6574" s="6">
        <f>INT(B6574)</f>
        <v/>
      </c>
      <c r="G6574" s="6">
        <f>INT(C6574)</f>
        <v/>
      </c>
    </row>
    <row r="6575">
      <c r="A6575" s="7" t="inlineStr">
        <is>
          <t>EXD60</t>
        </is>
      </c>
      <c r="B6575" s="8" t="n">
        <v>46129.75</v>
      </c>
      <c r="C6575" s="8" t="n">
        <v>46130.25</v>
      </c>
      <c r="D6575" s="9">
        <f>(C6575-B6575)*24</f>
        <v/>
      </c>
      <c r="E6575" s="10">
        <f>IF(AND(HOUR(B6575)&gt;=6,HOUR(B6575)&lt;18),"Day Shift","Night Shift")</f>
        <v/>
      </c>
      <c r="F6575" s="11">
        <f>INT(B6575)</f>
        <v/>
      </c>
      <c r="G6575" s="11">
        <f>INT(C6575)</f>
        <v/>
      </c>
    </row>
    <row r="6576">
      <c r="A6576" s="2" t="inlineStr">
        <is>
          <t>EXD60</t>
        </is>
      </c>
      <c r="B6576" s="3" t="n">
        <v>46130.25</v>
      </c>
      <c r="C6576" s="3" t="n">
        <v>46130.75</v>
      </c>
      <c r="D6576" s="4">
        <f>(C6576-B6576)*24</f>
        <v/>
      </c>
      <c r="E6576" s="5">
        <f>IF(AND(HOUR(B6576)&gt;=6,HOUR(B6576)&lt;18),"Day Shift","Night Shift")</f>
        <v/>
      </c>
      <c r="F6576" s="6">
        <f>INT(B6576)</f>
        <v/>
      </c>
      <c r="G6576" s="6">
        <f>INT(C6576)</f>
        <v/>
      </c>
    </row>
    <row r="6577">
      <c r="A6577" s="7" t="inlineStr">
        <is>
          <t>EXD60</t>
        </is>
      </c>
      <c r="B6577" s="8" t="n">
        <v>46130.75</v>
      </c>
      <c r="C6577" s="8" t="n">
        <v>46130.94515046296</v>
      </c>
      <c r="D6577" s="9">
        <f>(C6577-B6577)*24</f>
        <v/>
      </c>
      <c r="E6577" s="10">
        <f>IF(AND(HOUR(B6577)&gt;=6,HOUR(B6577)&lt;18),"Day Shift","Night Shift")</f>
        <v/>
      </c>
      <c r="F6577" s="11">
        <f>INT(B6577)</f>
        <v/>
      </c>
      <c r="G6577" s="11">
        <f>INT(C6577)</f>
        <v/>
      </c>
    </row>
    <row r="6578">
      <c r="A6578" s="2" t="inlineStr">
        <is>
          <t>EDD175;EDD1932;EDD2134;EDD2541;EDD812</t>
        </is>
      </c>
      <c r="B6578" s="3" t="n">
        <v>46127.3362037037</v>
      </c>
      <c r="C6578" s="3" t="n">
        <v>46127.46269675926</v>
      </c>
      <c r="D6578" s="4">
        <f>(C6578-B6578)*24</f>
        <v/>
      </c>
      <c r="E6578" s="5">
        <f>IF(AND(HOUR(B6578)&gt;=6,HOUR(B6578)&lt;18),"Day Shift","Night Shift")</f>
        <v/>
      </c>
      <c r="F6578" s="6">
        <f>INT(B6578)</f>
        <v/>
      </c>
      <c r="G6578" s="6">
        <f>INT(C6578)</f>
        <v/>
      </c>
    </row>
    <row r="6579">
      <c r="A6579" s="2" t="inlineStr">
        <is>
          <t>Stag Drill</t>
        </is>
      </c>
      <c r="B6579" s="3" t="n">
        <v>46127.34510416666</v>
      </c>
      <c r="C6579" s="3" t="n">
        <v>46127.75</v>
      </c>
      <c r="D6579" s="4">
        <f>(C6579-B6579)*24</f>
        <v/>
      </c>
      <c r="E6579" s="5">
        <f>IF(AND(HOUR(B6579)&gt;=6,HOUR(B6579)&lt;18),"Day Shift","Night Shift")</f>
        <v/>
      </c>
      <c r="F6579" s="6">
        <f>INT(B6579)</f>
        <v/>
      </c>
      <c r="G6579" s="6">
        <f>INT(C6579)</f>
        <v/>
      </c>
    </row>
    <row r="6580">
      <c r="A6580" s="7" t="inlineStr">
        <is>
          <t>Stag Drill</t>
        </is>
      </c>
      <c r="B6580" s="8" t="n">
        <v>46127.75</v>
      </c>
      <c r="C6580" s="8" t="n">
        <v>46127.79109953704</v>
      </c>
      <c r="D6580" s="9">
        <f>(C6580-B6580)*24</f>
        <v/>
      </c>
      <c r="E6580" s="10">
        <f>IF(AND(HOUR(B6580)&gt;=6,HOUR(B6580)&lt;18),"Day Shift","Night Shift")</f>
        <v/>
      </c>
      <c r="F6580" s="11">
        <f>INT(B6580)</f>
        <v/>
      </c>
      <c r="G6580" s="11">
        <f>INT(C6580)</f>
        <v/>
      </c>
    </row>
    <row r="6581">
      <c r="A6581" s="2" t="inlineStr">
        <is>
          <t>EXD409</t>
        </is>
      </c>
      <c r="B6581" s="3" t="n">
        <v>46127.36834490741</v>
      </c>
      <c r="C6581" s="3" t="n">
        <v>46127.75</v>
      </c>
      <c r="D6581" s="4">
        <f>(C6581-B6581)*24</f>
        <v/>
      </c>
      <c r="E6581" s="5">
        <f>IF(AND(HOUR(B6581)&gt;=6,HOUR(B6581)&lt;18),"Day Shift","Night Shift")</f>
        <v/>
      </c>
      <c r="F6581" s="6">
        <f>INT(B6581)</f>
        <v/>
      </c>
      <c r="G6581" s="6">
        <f>INT(C6581)</f>
        <v/>
      </c>
    </row>
    <row r="6582">
      <c r="A6582" s="7" t="inlineStr">
        <is>
          <t>EXD409</t>
        </is>
      </c>
      <c r="B6582" s="8" t="n">
        <v>46127.75</v>
      </c>
      <c r="C6582" s="8" t="n">
        <v>46128.25</v>
      </c>
      <c r="D6582" s="9">
        <f>(C6582-B6582)*24</f>
        <v/>
      </c>
      <c r="E6582" s="10">
        <f>IF(AND(HOUR(B6582)&gt;=6,HOUR(B6582)&lt;18),"Day Shift","Night Shift")</f>
        <v/>
      </c>
      <c r="F6582" s="11">
        <f>INT(B6582)</f>
        <v/>
      </c>
      <c r="G6582" s="11">
        <f>INT(C6582)</f>
        <v/>
      </c>
    </row>
    <row r="6583">
      <c r="A6583" s="2" t="inlineStr">
        <is>
          <t>EXD409</t>
        </is>
      </c>
      <c r="B6583" s="3" t="n">
        <v>46128.25</v>
      </c>
      <c r="C6583" s="3" t="n">
        <v>46128.75</v>
      </c>
      <c r="D6583" s="4">
        <f>(C6583-B6583)*24</f>
        <v/>
      </c>
      <c r="E6583" s="5">
        <f>IF(AND(HOUR(B6583)&gt;=6,HOUR(B6583)&lt;18),"Day Shift","Night Shift")</f>
        <v/>
      </c>
      <c r="F6583" s="6">
        <f>INT(B6583)</f>
        <v/>
      </c>
      <c r="G6583" s="6">
        <f>INT(C6583)</f>
        <v/>
      </c>
    </row>
    <row r="6584">
      <c r="A6584" s="7" t="inlineStr">
        <is>
          <t>EXD409</t>
        </is>
      </c>
      <c r="B6584" s="8" t="n">
        <v>46128.75</v>
      </c>
      <c r="C6584" s="8" t="n">
        <v>46129.25</v>
      </c>
      <c r="D6584" s="9">
        <f>(C6584-B6584)*24</f>
        <v/>
      </c>
      <c r="E6584" s="10">
        <f>IF(AND(HOUR(B6584)&gt;=6,HOUR(B6584)&lt;18),"Day Shift","Night Shift")</f>
        <v/>
      </c>
      <c r="F6584" s="11">
        <f>INT(B6584)</f>
        <v/>
      </c>
      <c r="G6584" s="11">
        <f>INT(C6584)</f>
        <v/>
      </c>
    </row>
    <row r="6585">
      <c r="A6585" s="2" t="inlineStr">
        <is>
          <t>EXD409</t>
        </is>
      </c>
      <c r="B6585" s="3" t="n">
        <v>46129.25</v>
      </c>
      <c r="C6585" s="3" t="n">
        <v>46129.75</v>
      </c>
      <c r="D6585" s="4">
        <f>(C6585-B6585)*24</f>
        <v/>
      </c>
      <c r="E6585" s="5">
        <f>IF(AND(HOUR(B6585)&gt;=6,HOUR(B6585)&lt;18),"Day Shift","Night Shift")</f>
        <v/>
      </c>
      <c r="F6585" s="6">
        <f>INT(B6585)</f>
        <v/>
      </c>
      <c r="G6585" s="6">
        <f>INT(C6585)</f>
        <v/>
      </c>
    </row>
    <row r="6586">
      <c r="A6586" s="7" t="inlineStr">
        <is>
          <t>EXD409</t>
        </is>
      </c>
      <c r="B6586" s="8" t="n">
        <v>46129.75</v>
      </c>
      <c r="C6586" s="8" t="n">
        <v>46129.93261574074</v>
      </c>
      <c r="D6586" s="9">
        <f>(C6586-B6586)*24</f>
        <v/>
      </c>
      <c r="E6586" s="10">
        <f>IF(AND(HOUR(B6586)&gt;=6,HOUR(B6586)&lt;18),"Day Shift","Night Shift")</f>
        <v/>
      </c>
      <c r="F6586" s="11">
        <f>INT(B6586)</f>
        <v/>
      </c>
      <c r="G6586" s="11">
        <f>INT(C6586)</f>
        <v/>
      </c>
    </row>
    <row r="6587">
      <c r="A6587" s="2" t="inlineStr">
        <is>
          <t>DRE42</t>
        </is>
      </c>
      <c r="B6587" s="3" t="n">
        <v>46127.39861111111</v>
      </c>
      <c r="C6587" s="3" t="n">
        <v>46127.75</v>
      </c>
      <c r="D6587" s="4">
        <f>(C6587-B6587)*24</f>
        <v/>
      </c>
      <c r="E6587" s="5">
        <f>IF(AND(HOUR(B6587)&gt;=6,HOUR(B6587)&lt;18),"Day Shift","Night Shift")</f>
        <v/>
      </c>
      <c r="F6587" s="6">
        <f>INT(B6587)</f>
        <v/>
      </c>
      <c r="G6587" s="6">
        <f>INT(C6587)</f>
        <v/>
      </c>
    </row>
    <row r="6588">
      <c r="A6588" s="7" t="inlineStr">
        <is>
          <t>DRE42</t>
        </is>
      </c>
      <c r="B6588" s="8" t="n">
        <v>46127.75</v>
      </c>
      <c r="C6588" s="8" t="n">
        <v>46128.25</v>
      </c>
      <c r="D6588" s="9">
        <f>(C6588-B6588)*24</f>
        <v/>
      </c>
      <c r="E6588" s="10">
        <f>IF(AND(HOUR(B6588)&gt;=6,HOUR(B6588)&lt;18),"Day Shift","Night Shift")</f>
        <v/>
      </c>
      <c r="F6588" s="11">
        <f>INT(B6588)</f>
        <v/>
      </c>
      <c r="G6588" s="11">
        <f>INT(C6588)</f>
        <v/>
      </c>
    </row>
    <row r="6589">
      <c r="A6589" s="2" t="inlineStr">
        <is>
          <t>DRE42</t>
        </is>
      </c>
      <c r="B6589" s="3" t="n">
        <v>46128.25</v>
      </c>
      <c r="C6589" s="3" t="n">
        <v>46128.75</v>
      </c>
      <c r="D6589" s="4">
        <f>(C6589-B6589)*24</f>
        <v/>
      </c>
      <c r="E6589" s="5">
        <f>IF(AND(HOUR(B6589)&gt;=6,HOUR(B6589)&lt;18),"Day Shift","Night Shift")</f>
        <v/>
      </c>
      <c r="F6589" s="6">
        <f>INT(B6589)</f>
        <v/>
      </c>
      <c r="G6589" s="6">
        <f>INT(C6589)</f>
        <v/>
      </c>
    </row>
    <row r="6590">
      <c r="A6590" s="7" t="inlineStr">
        <is>
          <t>DRE42</t>
        </is>
      </c>
      <c r="B6590" s="8" t="n">
        <v>46128.75</v>
      </c>
      <c r="C6590" s="8" t="n">
        <v>46129.25</v>
      </c>
      <c r="D6590" s="9">
        <f>(C6590-B6590)*24</f>
        <v/>
      </c>
      <c r="E6590" s="10">
        <f>IF(AND(HOUR(B6590)&gt;=6,HOUR(B6590)&lt;18),"Day Shift","Night Shift")</f>
        <v/>
      </c>
      <c r="F6590" s="11">
        <f>INT(B6590)</f>
        <v/>
      </c>
      <c r="G6590" s="11">
        <f>INT(C6590)</f>
        <v/>
      </c>
    </row>
    <row r="6591">
      <c r="A6591" s="2" t="inlineStr">
        <is>
          <t>DRE42</t>
        </is>
      </c>
      <c r="B6591" s="3" t="n">
        <v>46129.25</v>
      </c>
      <c r="C6591" s="3" t="n">
        <v>46129.75</v>
      </c>
      <c r="D6591" s="4">
        <f>(C6591-B6591)*24</f>
        <v/>
      </c>
      <c r="E6591" s="5">
        <f>IF(AND(HOUR(B6591)&gt;=6,HOUR(B6591)&lt;18),"Day Shift","Night Shift")</f>
        <v/>
      </c>
      <c r="F6591" s="6">
        <f>INT(B6591)</f>
        <v/>
      </c>
      <c r="G6591" s="6">
        <f>INT(C6591)</f>
        <v/>
      </c>
    </row>
    <row r="6592">
      <c r="A6592" s="7" t="inlineStr">
        <is>
          <t>DRE42</t>
        </is>
      </c>
      <c r="B6592" s="8" t="n">
        <v>46129.75</v>
      </c>
      <c r="C6592" s="8" t="n">
        <v>46130.25</v>
      </c>
      <c r="D6592" s="9">
        <f>(C6592-B6592)*24</f>
        <v/>
      </c>
      <c r="E6592" s="10">
        <f>IF(AND(HOUR(B6592)&gt;=6,HOUR(B6592)&lt;18),"Day Shift","Night Shift")</f>
        <v/>
      </c>
      <c r="F6592" s="11">
        <f>INT(B6592)</f>
        <v/>
      </c>
      <c r="G6592" s="11">
        <f>INT(C6592)</f>
        <v/>
      </c>
    </row>
    <row r="6593">
      <c r="A6593" s="2" t="inlineStr">
        <is>
          <t>DRE42</t>
        </is>
      </c>
      <c r="B6593" s="3" t="n">
        <v>46130.25</v>
      </c>
      <c r="C6593" s="3" t="n">
        <v>46130.75</v>
      </c>
      <c r="D6593" s="4">
        <f>(C6593-B6593)*24</f>
        <v/>
      </c>
      <c r="E6593" s="5">
        <f>IF(AND(HOUR(B6593)&gt;=6,HOUR(B6593)&lt;18),"Day Shift","Night Shift")</f>
        <v/>
      </c>
      <c r="F6593" s="6">
        <f>INT(B6593)</f>
        <v/>
      </c>
      <c r="G6593" s="6">
        <f>INT(C6593)</f>
        <v/>
      </c>
    </row>
    <row r="6594">
      <c r="A6594" s="7" t="inlineStr">
        <is>
          <t>DRE42</t>
        </is>
      </c>
      <c r="B6594" s="8" t="n">
        <v>46130.75</v>
      </c>
      <c r="C6594" s="8" t="n">
        <v>46131.25</v>
      </c>
      <c r="D6594" s="9">
        <f>(C6594-B6594)*24</f>
        <v/>
      </c>
      <c r="E6594" s="10">
        <f>IF(AND(HOUR(B6594)&gt;=6,HOUR(B6594)&lt;18),"Day Shift","Night Shift")</f>
        <v/>
      </c>
      <c r="F6594" s="11">
        <f>INT(B6594)</f>
        <v/>
      </c>
      <c r="G6594" s="11">
        <f>INT(C6594)</f>
        <v/>
      </c>
    </row>
    <row r="6595">
      <c r="A6595" s="2" t="inlineStr">
        <is>
          <t>DRE42</t>
        </is>
      </c>
      <c r="B6595" s="3" t="n">
        <v>46131.25</v>
      </c>
      <c r="C6595" s="3" t="n">
        <v>46131.75</v>
      </c>
      <c r="D6595" s="4">
        <f>(C6595-B6595)*24</f>
        <v/>
      </c>
      <c r="E6595" s="5">
        <f>IF(AND(HOUR(B6595)&gt;=6,HOUR(B6595)&lt;18),"Day Shift","Night Shift")</f>
        <v/>
      </c>
      <c r="F6595" s="6">
        <f>INT(B6595)</f>
        <v/>
      </c>
      <c r="G6595" s="6">
        <f>INT(C6595)</f>
        <v/>
      </c>
    </row>
    <row r="6596">
      <c r="A6596" s="7" t="inlineStr">
        <is>
          <t>DRE42</t>
        </is>
      </c>
      <c r="B6596" s="8" t="n">
        <v>46131.75</v>
      </c>
      <c r="C6596" s="8" t="n">
        <v>46132.25</v>
      </c>
      <c r="D6596" s="9">
        <f>(C6596-B6596)*24</f>
        <v/>
      </c>
      <c r="E6596" s="10">
        <f>IF(AND(HOUR(B6596)&gt;=6,HOUR(B6596)&lt;18),"Day Shift","Night Shift")</f>
        <v/>
      </c>
      <c r="F6596" s="11">
        <f>INT(B6596)</f>
        <v/>
      </c>
      <c r="G6596" s="11">
        <f>INT(C6596)</f>
        <v/>
      </c>
    </row>
    <row r="6597">
      <c r="A6597" s="2" t="inlineStr">
        <is>
          <t>DRE42</t>
        </is>
      </c>
      <c r="B6597" s="3" t="n">
        <v>46132.25</v>
      </c>
      <c r="C6597" s="3" t="n">
        <v>46132.75</v>
      </c>
      <c r="D6597" s="4">
        <f>(C6597-B6597)*24</f>
        <v/>
      </c>
      <c r="E6597" s="5">
        <f>IF(AND(HOUR(B6597)&gt;=6,HOUR(B6597)&lt;18),"Day Shift","Night Shift")</f>
        <v/>
      </c>
      <c r="F6597" s="6">
        <f>INT(B6597)</f>
        <v/>
      </c>
      <c r="G6597" s="6">
        <f>INT(C6597)</f>
        <v/>
      </c>
    </row>
    <row r="6598">
      <c r="A6598" s="7" t="inlineStr">
        <is>
          <t>DRE42</t>
        </is>
      </c>
      <c r="B6598" s="8" t="n">
        <v>46132.75</v>
      </c>
      <c r="C6598" s="8" t="n">
        <v>46133.25</v>
      </c>
      <c r="D6598" s="9">
        <f>(C6598-B6598)*24</f>
        <v/>
      </c>
      <c r="E6598" s="10">
        <f>IF(AND(HOUR(B6598)&gt;=6,HOUR(B6598)&lt;18),"Day Shift","Night Shift")</f>
        <v/>
      </c>
      <c r="F6598" s="11">
        <f>INT(B6598)</f>
        <v/>
      </c>
      <c r="G6598" s="11">
        <f>INT(C6598)</f>
        <v/>
      </c>
    </row>
    <row r="6599">
      <c r="A6599" s="2" t="inlineStr">
        <is>
          <t>DRE42</t>
        </is>
      </c>
      <c r="B6599" s="3" t="n">
        <v>46133.25</v>
      </c>
      <c r="C6599" s="3" t="n">
        <v>46133.75</v>
      </c>
      <c r="D6599" s="4">
        <f>(C6599-B6599)*24</f>
        <v/>
      </c>
      <c r="E6599" s="5">
        <f>IF(AND(HOUR(B6599)&gt;=6,HOUR(B6599)&lt;18),"Day Shift","Night Shift")</f>
        <v/>
      </c>
      <c r="F6599" s="6">
        <f>INT(B6599)</f>
        <v/>
      </c>
      <c r="G6599" s="6">
        <f>INT(C6599)</f>
        <v/>
      </c>
    </row>
    <row r="6600">
      <c r="A6600" s="7" t="inlineStr">
        <is>
          <t>DRE42</t>
        </is>
      </c>
      <c r="B6600" s="8" t="n">
        <v>46133.75</v>
      </c>
      <c r="C6600" s="8" t="n">
        <v>46133.97012731482</v>
      </c>
      <c r="D6600" s="9">
        <f>(C6600-B6600)*24</f>
        <v/>
      </c>
      <c r="E6600" s="10">
        <f>IF(AND(HOUR(B6600)&gt;=6,HOUR(B6600)&lt;18),"Day Shift","Night Shift")</f>
        <v/>
      </c>
      <c r="F6600" s="11">
        <f>INT(B6600)</f>
        <v/>
      </c>
      <c r="G6600" s="11">
        <f>INT(C6600)</f>
        <v/>
      </c>
    </row>
    <row r="6601">
      <c r="A6601" s="2" t="inlineStr">
        <is>
          <t>EXD408</t>
        </is>
      </c>
      <c r="B6601" s="3" t="n">
        <v>46127.40971064815</v>
      </c>
      <c r="C6601" s="3" t="n">
        <v>46127.75</v>
      </c>
      <c r="D6601" s="4">
        <f>(C6601-B6601)*24</f>
        <v/>
      </c>
      <c r="E6601" s="5">
        <f>IF(AND(HOUR(B6601)&gt;=6,HOUR(B6601)&lt;18),"Day Shift","Night Shift")</f>
        <v/>
      </c>
      <c r="F6601" s="6">
        <f>INT(B6601)</f>
        <v/>
      </c>
      <c r="G6601" s="6">
        <f>INT(C6601)</f>
        <v/>
      </c>
    </row>
    <row r="6602">
      <c r="A6602" s="7" t="inlineStr">
        <is>
          <t>EXD408</t>
        </is>
      </c>
      <c r="B6602" s="8" t="n">
        <v>46127.75</v>
      </c>
      <c r="C6602" s="8" t="n">
        <v>46128.25</v>
      </c>
      <c r="D6602" s="9">
        <f>(C6602-B6602)*24</f>
        <v/>
      </c>
      <c r="E6602" s="10">
        <f>IF(AND(HOUR(B6602)&gt;=6,HOUR(B6602)&lt;18),"Day Shift","Night Shift")</f>
        <v/>
      </c>
      <c r="F6602" s="11">
        <f>INT(B6602)</f>
        <v/>
      </c>
      <c r="G6602" s="11">
        <f>INT(C6602)</f>
        <v/>
      </c>
    </row>
    <row r="6603">
      <c r="A6603" s="2" t="inlineStr">
        <is>
          <t>EXD408</t>
        </is>
      </c>
      <c r="B6603" s="3" t="n">
        <v>46128.25</v>
      </c>
      <c r="C6603" s="3" t="n">
        <v>46128.63510416666</v>
      </c>
      <c r="D6603" s="4">
        <f>(C6603-B6603)*24</f>
        <v/>
      </c>
      <c r="E6603" s="5">
        <f>IF(AND(HOUR(B6603)&gt;=6,HOUR(B6603)&lt;18),"Day Shift","Night Shift")</f>
        <v/>
      </c>
      <c r="F6603" s="6">
        <f>INT(B6603)</f>
        <v/>
      </c>
      <c r="G6603" s="6">
        <f>INT(C6603)</f>
        <v/>
      </c>
    </row>
    <row r="6604">
      <c r="A6604" s="2" t="inlineStr">
        <is>
          <t>EXD61</t>
        </is>
      </c>
      <c r="B6604" s="3" t="n">
        <v>46127.41435185185</v>
      </c>
      <c r="C6604" s="3" t="n">
        <v>46127.75</v>
      </c>
      <c r="D6604" s="4">
        <f>(C6604-B6604)*24</f>
        <v/>
      </c>
      <c r="E6604" s="5">
        <f>IF(AND(HOUR(B6604)&gt;=6,HOUR(B6604)&lt;18),"Day Shift","Night Shift")</f>
        <v/>
      </c>
      <c r="F6604" s="6">
        <f>INT(B6604)</f>
        <v/>
      </c>
      <c r="G6604" s="6">
        <f>INT(C6604)</f>
        <v/>
      </c>
    </row>
    <row r="6605">
      <c r="A6605" s="7" t="inlineStr">
        <is>
          <t>EXD61</t>
        </is>
      </c>
      <c r="B6605" s="8" t="n">
        <v>46127.75</v>
      </c>
      <c r="C6605" s="8" t="n">
        <v>46127.84571759259</v>
      </c>
      <c r="D6605" s="9">
        <f>(C6605-B6605)*24</f>
        <v/>
      </c>
      <c r="E6605" s="10">
        <f>IF(AND(HOUR(B6605)&gt;=6,HOUR(B6605)&lt;18),"Day Shift","Night Shift")</f>
        <v/>
      </c>
      <c r="F6605" s="11">
        <f>INT(B6605)</f>
        <v/>
      </c>
      <c r="G6605" s="11">
        <f>INT(C6605)</f>
        <v/>
      </c>
    </row>
    <row r="6606">
      <c r="A6606" s="2" t="inlineStr">
        <is>
          <t>EDD175;EDD1932;EDD2134;EDD2541;EDD812</t>
        </is>
      </c>
      <c r="B6606" s="3" t="n">
        <v>46127.46269675926</v>
      </c>
      <c r="C6606" s="3" t="n">
        <v>46127.58189814815</v>
      </c>
      <c r="D6606" s="4">
        <f>(C6606-B6606)*24</f>
        <v/>
      </c>
      <c r="E6606" s="5">
        <f>IF(AND(HOUR(B6606)&gt;=6,HOUR(B6606)&lt;18),"Day Shift","Night Shift")</f>
        <v/>
      </c>
      <c r="F6606" s="6">
        <f>INT(B6606)</f>
        <v/>
      </c>
      <c r="G6606" s="6">
        <f>INT(C6606)</f>
        <v/>
      </c>
    </row>
    <row r="6607">
      <c r="A6607" s="2" t="inlineStr">
        <is>
          <t>EXD51</t>
        </is>
      </c>
      <c r="B6607" s="3" t="n">
        <v>46127.47951388889</v>
      </c>
      <c r="C6607" s="3" t="n">
        <v>46127.74410879629</v>
      </c>
      <c r="D6607" s="4">
        <f>(C6607-B6607)*24</f>
        <v/>
      </c>
      <c r="E6607" s="5">
        <f>IF(AND(HOUR(B6607)&gt;=6,HOUR(B6607)&lt;18),"Day Shift","Night Shift")</f>
        <v/>
      </c>
      <c r="F6607" s="6">
        <f>INT(B6607)</f>
        <v/>
      </c>
      <c r="G6607" s="6">
        <f>INT(C6607)</f>
        <v/>
      </c>
    </row>
    <row r="6608">
      <c r="A6608" s="2" t="inlineStr">
        <is>
          <t>EDD175;EDD1932;EDD2134;EDD2541;EDD812</t>
        </is>
      </c>
      <c r="B6608" s="3" t="n">
        <v>46127.58189814815</v>
      </c>
      <c r="C6608" s="3" t="n">
        <v>46127.63586805556</v>
      </c>
      <c r="D6608" s="4">
        <f>(C6608-B6608)*24</f>
        <v/>
      </c>
      <c r="E6608" s="5">
        <f>IF(AND(HOUR(B6608)&gt;=6,HOUR(B6608)&lt;18),"Day Shift","Night Shift")</f>
        <v/>
      </c>
      <c r="F6608" s="6">
        <f>INT(B6608)</f>
        <v/>
      </c>
      <c r="G6608" s="6">
        <f>INT(C6608)</f>
        <v/>
      </c>
    </row>
    <row r="6609">
      <c r="A6609" s="2" t="inlineStr">
        <is>
          <t>EDD175;EDD1932;EDD2134;EDD2541;EDD812</t>
        </is>
      </c>
      <c r="B6609" s="3" t="n">
        <v>46127.63716435185</v>
      </c>
      <c r="C6609" s="3" t="n">
        <v>46127.75</v>
      </c>
      <c r="D6609" s="4">
        <f>(C6609-B6609)*24</f>
        <v/>
      </c>
      <c r="E6609" s="5">
        <f>IF(AND(HOUR(B6609)&gt;=6,HOUR(B6609)&lt;18),"Day Shift","Night Shift")</f>
        <v/>
      </c>
      <c r="F6609" s="6">
        <f>INT(B6609)</f>
        <v/>
      </c>
      <c r="G6609" s="6">
        <f>INT(C6609)</f>
        <v/>
      </c>
    </row>
    <row r="6610">
      <c r="A6610" s="7" t="inlineStr">
        <is>
          <t>EDD175;EDD1932;EDD2134;EDD2541;EDD812</t>
        </is>
      </c>
      <c r="B6610" s="8" t="n">
        <v>46127.75</v>
      </c>
      <c r="C6610" s="8" t="n">
        <v>46127.76540509259</v>
      </c>
      <c r="D6610" s="9">
        <f>(C6610-B6610)*24</f>
        <v/>
      </c>
      <c r="E6610" s="10">
        <f>IF(AND(HOUR(B6610)&gt;=6,HOUR(B6610)&lt;18),"Day Shift","Night Shift")</f>
        <v/>
      </c>
      <c r="F6610" s="11">
        <f>INT(B6610)</f>
        <v/>
      </c>
      <c r="G6610" s="11">
        <f>INT(C6610)</f>
        <v/>
      </c>
    </row>
    <row r="6611">
      <c r="A6611" s="2" t="inlineStr">
        <is>
          <t>EXD100</t>
        </is>
      </c>
      <c r="B6611" s="3" t="n">
        <v>46127.70842592593</v>
      </c>
      <c r="C6611" s="3" t="n">
        <v>46127.75</v>
      </c>
      <c r="D6611" s="4">
        <f>(C6611-B6611)*24</f>
        <v/>
      </c>
      <c r="E6611" s="5">
        <f>IF(AND(HOUR(B6611)&gt;=6,HOUR(B6611)&lt;18),"Day Shift","Night Shift")</f>
        <v/>
      </c>
      <c r="F6611" s="6">
        <f>INT(B6611)</f>
        <v/>
      </c>
      <c r="G6611" s="6">
        <f>INT(C6611)</f>
        <v/>
      </c>
    </row>
    <row r="6612">
      <c r="A6612" s="7" t="inlineStr">
        <is>
          <t>EXD100</t>
        </is>
      </c>
      <c r="B6612" s="8" t="n">
        <v>46127.75</v>
      </c>
      <c r="C6612" s="8" t="n">
        <v>46128.25</v>
      </c>
      <c r="D6612" s="9">
        <f>(C6612-B6612)*24</f>
        <v/>
      </c>
      <c r="E6612" s="10">
        <f>IF(AND(HOUR(B6612)&gt;=6,HOUR(B6612)&lt;18),"Day Shift","Night Shift")</f>
        <v/>
      </c>
      <c r="F6612" s="11">
        <f>INT(B6612)</f>
        <v/>
      </c>
      <c r="G6612" s="11">
        <f>INT(C6612)</f>
        <v/>
      </c>
    </row>
    <row r="6613">
      <c r="A6613" s="2" t="inlineStr">
        <is>
          <t>EXD100</t>
        </is>
      </c>
      <c r="B6613" s="3" t="n">
        <v>46128.25</v>
      </c>
      <c r="C6613" s="3" t="n">
        <v>46128.30542824074</v>
      </c>
      <c r="D6613" s="4">
        <f>(C6613-B6613)*24</f>
        <v/>
      </c>
      <c r="E6613" s="5">
        <f>IF(AND(HOUR(B6613)&gt;=6,HOUR(B6613)&lt;18),"Day Shift","Night Shift")</f>
        <v/>
      </c>
      <c r="F6613" s="6">
        <f>INT(B6613)</f>
        <v/>
      </c>
      <c r="G6613" s="6">
        <f>INT(C6613)</f>
        <v/>
      </c>
    </row>
    <row r="6614">
      <c r="A6614" s="2" t="inlineStr">
        <is>
          <t>EXD51</t>
        </is>
      </c>
      <c r="B6614" s="3" t="n">
        <v>46127.74415509259</v>
      </c>
      <c r="C6614" s="3" t="n">
        <v>46127.75</v>
      </c>
      <c r="D6614" s="4">
        <f>(C6614-B6614)*24</f>
        <v/>
      </c>
      <c r="E6614" s="5">
        <f>IF(AND(HOUR(B6614)&gt;=6,HOUR(B6614)&lt;18),"Day Shift","Night Shift")</f>
        <v/>
      </c>
      <c r="F6614" s="6">
        <f>INT(B6614)</f>
        <v/>
      </c>
      <c r="G6614" s="6">
        <f>INT(C6614)</f>
        <v/>
      </c>
    </row>
    <row r="6615">
      <c r="A6615" s="7" t="inlineStr">
        <is>
          <t>EXD51</t>
        </is>
      </c>
      <c r="B6615" s="8" t="n">
        <v>46127.75</v>
      </c>
      <c r="C6615" s="8" t="n">
        <v>46128.22717592592</v>
      </c>
      <c r="D6615" s="9">
        <f>(C6615-B6615)*24</f>
        <v/>
      </c>
      <c r="E6615" s="10">
        <f>IF(AND(HOUR(B6615)&gt;=6,HOUR(B6615)&lt;18),"Day Shift","Night Shift")</f>
        <v/>
      </c>
      <c r="F6615" s="11">
        <f>INT(B6615)</f>
        <v/>
      </c>
      <c r="G6615" s="11">
        <f>INT(C6615)</f>
        <v/>
      </c>
    </row>
    <row r="6616">
      <c r="A6616" s="7" t="inlineStr">
        <is>
          <t>EDD175;EDD1932;EDD2134;EDD2541;EDD812</t>
        </is>
      </c>
      <c r="B6616" s="8" t="n">
        <v>46127.76540509259</v>
      </c>
      <c r="C6616" s="8" t="n">
        <v>46127.89368055556</v>
      </c>
      <c r="D6616" s="9">
        <f>(C6616-B6616)*24</f>
        <v/>
      </c>
      <c r="E6616" s="10">
        <f>IF(AND(HOUR(B6616)&gt;=6,HOUR(B6616)&lt;18),"Day Shift","Night Shift")</f>
        <v/>
      </c>
      <c r="F6616" s="11">
        <f>INT(B6616)</f>
        <v/>
      </c>
      <c r="G6616" s="11">
        <f>INT(C6616)</f>
        <v/>
      </c>
    </row>
    <row r="6617">
      <c r="A6617" s="7" t="inlineStr">
        <is>
          <t>Stag Drill</t>
        </is>
      </c>
      <c r="B6617" s="8" t="n">
        <v>46127.79109953704</v>
      </c>
      <c r="C6617" s="8" t="n">
        <v>46128.25</v>
      </c>
      <c r="D6617" s="9">
        <f>(C6617-B6617)*24</f>
        <v/>
      </c>
      <c r="E6617" s="10">
        <f>IF(AND(HOUR(B6617)&gt;=6,HOUR(B6617)&lt;18),"Day Shift","Night Shift")</f>
        <v/>
      </c>
      <c r="F6617" s="11">
        <f>INT(B6617)</f>
        <v/>
      </c>
      <c r="G6617" s="11">
        <f>INT(C6617)</f>
        <v/>
      </c>
    </row>
    <row r="6618">
      <c r="A6618" s="2" t="inlineStr">
        <is>
          <t>Stag Drill</t>
        </is>
      </c>
      <c r="B6618" s="3" t="n">
        <v>46128.25</v>
      </c>
      <c r="C6618" s="3" t="n">
        <v>46128.38679398148</v>
      </c>
      <c r="D6618" s="4">
        <f>(C6618-B6618)*24</f>
        <v/>
      </c>
      <c r="E6618" s="5">
        <f>IF(AND(HOUR(B6618)&gt;=6,HOUR(B6618)&lt;18),"Day Shift","Night Shift")</f>
        <v/>
      </c>
      <c r="F6618" s="6">
        <f>INT(B6618)</f>
        <v/>
      </c>
      <c r="G6618" s="6">
        <f>INT(C6618)</f>
        <v/>
      </c>
    </row>
    <row r="6619">
      <c r="A6619" s="7" t="inlineStr">
        <is>
          <t>EXD55</t>
        </is>
      </c>
      <c r="B6619" s="8" t="n">
        <v>46127.79809027778</v>
      </c>
      <c r="C6619" s="8" t="n">
        <v>46128.25</v>
      </c>
      <c r="D6619" s="9">
        <f>(C6619-B6619)*24</f>
        <v/>
      </c>
      <c r="E6619" s="10">
        <f>IF(AND(HOUR(B6619)&gt;=6,HOUR(B6619)&lt;18),"Day Shift","Night Shift")</f>
        <v/>
      </c>
      <c r="F6619" s="11">
        <f>INT(B6619)</f>
        <v/>
      </c>
      <c r="G6619" s="11">
        <f>INT(C6619)</f>
        <v/>
      </c>
    </row>
    <row r="6620">
      <c r="A6620" s="2" t="inlineStr">
        <is>
          <t>EXD55</t>
        </is>
      </c>
      <c r="B6620" s="3" t="n">
        <v>46128.25</v>
      </c>
      <c r="C6620" s="3" t="n">
        <v>46128.75</v>
      </c>
      <c r="D6620" s="4">
        <f>(C6620-B6620)*24</f>
        <v/>
      </c>
      <c r="E6620" s="5">
        <f>IF(AND(HOUR(B6620)&gt;=6,HOUR(B6620)&lt;18),"Day Shift","Night Shift")</f>
        <v/>
      </c>
      <c r="F6620" s="6">
        <f>INT(B6620)</f>
        <v/>
      </c>
      <c r="G6620" s="6">
        <f>INT(C6620)</f>
        <v/>
      </c>
    </row>
    <row r="6621">
      <c r="A6621" s="7" t="inlineStr">
        <is>
          <t>EXD55</t>
        </is>
      </c>
      <c r="B6621" s="8" t="n">
        <v>46128.75</v>
      </c>
      <c r="C6621" s="8" t="n">
        <v>46129.25</v>
      </c>
      <c r="D6621" s="9">
        <f>(C6621-B6621)*24</f>
        <v/>
      </c>
      <c r="E6621" s="10">
        <f>IF(AND(HOUR(B6621)&gt;=6,HOUR(B6621)&lt;18),"Day Shift","Night Shift")</f>
        <v/>
      </c>
      <c r="F6621" s="11">
        <f>INT(B6621)</f>
        <v/>
      </c>
      <c r="G6621" s="11">
        <f>INT(C6621)</f>
        <v/>
      </c>
    </row>
    <row r="6622">
      <c r="A6622" s="2" t="inlineStr">
        <is>
          <t>EXD55</t>
        </is>
      </c>
      <c r="B6622" s="3" t="n">
        <v>46129.25</v>
      </c>
      <c r="C6622" s="3" t="n">
        <v>46129.75</v>
      </c>
      <c r="D6622" s="4">
        <f>(C6622-B6622)*24</f>
        <v/>
      </c>
      <c r="E6622" s="5">
        <f>IF(AND(HOUR(B6622)&gt;=6,HOUR(B6622)&lt;18),"Day Shift","Night Shift")</f>
        <v/>
      </c>
      <c r="F6622" s="6">
        <f>INT(B6622)</f>
        <v/>
      </c>
      <c r="G6622" s="6">
        <f>INT(C6622)</f>
        <v/>
      </c>
    </row>
    <row r="6623">
      <c r="A6623" s="7" t="inlineStr">
        <is>
          <t>EXD55</t>
        </is>
      </c>
      <c r="B6623" s="8" t="n">
        <v>46129.75</v>
      </c>
      <c r="C6623" s="8" t="n">
        <v>46130.25</v>
      </c>
      <c r="D6623" s="9">
        <f>(C6623-B6623)*24</f>
        <v/>
      </c>
      <c r="E6623" s="10">
        <f>IF(AND(HOUR(B6623)&gt;=6,HOUR(B6623)&lt;18),"Day Shift","Night Shift")</f>
        <v/>
      </c>
      <c r="F6623" s="11">
        <f>INT(B6623)</f>
        <v/>
      </c>
      <c r="G6623" s="11">
        <f>INT(C6623)</f>
        <v/>
      </c>
    </row>
    <row r="6624">
      <c r="A6624" s="2" t="inlineStr">
        <is>
          <t>EXD55</t>
        </is>
      </c>
      <c r="B6624" s="3" t="n">
        <v>46130.25</v>
      </c>
      <c r="C6624" s="3" t="n">
        <v>46130.66621527778</v>
      </c>
      <c r="D6624" s="4">
        <f>(C6624-B6624)*24</f>
        <v/>
      </c>
      <c r="E6624" s="5">
        <f>IF(AND(HOUR(B6624)&gt;=6,HOUR(B6624)&lt;18),"Day Shift","Night Shift")</f>
        <v/>
      </c>
      <c r="F6624" s="6">
        <f>INT(B6624)</f>
        <v/>
      </c>
      <c r="G6624" s="6">
        <f>INT(C6624)</f>
        <v/>
      </c>
    </row>
    <row r="6625">
      <c r="A6625" s="7" t="inlineStr">
        <is>
          <t>Sprint 1</t>
        </is>
      </c>
      <c r="B6625" s="8" t="n">
        <v>46127.85380787037</v>
      </c>
      <c r="C6625" s="8" t="n">
        <v>46128.25</v>
      </c>
      <c r="D6625" s="9">
        <f>(C6625-B6625)*24</f>
        <v/>
      </c>
      <c r="E6625" s="10">
        <f>IF(AND(HOUR(B6625)&gt;=6,HOUR(B6625)&lt;18),"Day Shift","Night Shift")</f>
        <v/>
      </c>
      <c r="F6625" s="11">
        <f>INT(B6625)</f>
        <v/>
      </c>
      <c r="G6625" s="11">
        <f>INT(C6625)</f>
        <v/>
      </c>
    </row>
    <row r="6626">
      <c r="A6626" s="2" t="inlineStr">
        <is>
          <t>Sprint 1</t>
        </is>
      </c>
      <c r="B6626" s="3" t="n">
        <v>46128.25</v>
      </c>
      <c r="C6626" s="3" t="n">
        <v>46128.55236111111</v>
      </c>
      <c r="D6626" s="4">
        <f>(C6626-B6626)*24</f>
        <v/>
      </c>
      <c r="E6626" s="5">
        <f>IF(AND(HOUR(B6626)&gt;=6,HOUR(B6626)&lt;18),"Day Shift","Night Shift")</f>
        <v/>
      </c>
      <c r="F6626" s="6">
        <f>INT(B6626)</f>
        <v/>
      </c>
      <c r="G6626" s="6">
        <f>INT(C6626)</f>
        <v/>
      </c>
    </row>
    <row r="6627">
      <c r="A6627" s="7" t="inlineStr">
        <is>
          <t>EXD56</t>
        </is>
      </c>
      <c r="B6627" s="8" t="n">
        <v>46127.88236111111</v>
      </c>
      <c r="C6627" s="8" t="n">
        <v>46128.25</v>
      </c>
      <c r="D6627" s="9">
        <f>(C6627-B6627)*24</f>
        <v/>
      </c>
      <c r="E6627" s="10">
        <f>IF(AND(HOUR(B6627)&gt;=6,HOUR(B6627)&lt;18),"Day Shift","Night Shift")</f>
        <v/>
      </c>
      <c r="F6627" s="11">
        <f>INT(B6627)</f>
        <v/>
      </c>
      <c r="G6627" s="11">
        <f>INT(C6627)</f>
        <v/>
      </c>
    </row>
    <row r="6628">
      <c r="A6628" s="2" t="inlineStr">
        <is>
          <t>EXD56</t>
        </is>
      </c>
      <c r="B6628" s="3" t="n">
        <v>46128.25</v>
      </c>
      <c r="C6628" s="3" t="n">
        <v>46128.75</v>
      </c>
      <c r="D6628" s="4">
        <f>(C6628-B6628)*24</f>
        <v/>
      </c>
      <c r="E6628" s="5">
        <f>IF(AND(HOUR(B6628)&gt;=6,HOUR(B6628)&lt;18),"Day Shift","Night Shift")</f>
        <v/>
      </c>
      <c r="F6628" s="6">
        <f>INT(B6628)</f>
        <v/>
      </c>
      <c r="G6628" s="6">
        <f>INT(C6628)</f>
        <v/>
      </c>
    </row>
    <row r="6629">
      <c r="A6629" s="7" t="inlineStr">
        <is>
          <t>EXD56</t>
        </is>
      </c>
      <c r="B6629" s="8" t="n">
        <v>46128.75</v>
      </c>
      <c r="C6629" s="8" t="n">
        <v>46129.25</v>
      </c>
      <c r="D6629" s="9">
        <f>(C6629-B6629)*24</f>
        <v/>
      </c>
      <c r="E6629" s="10">
        <f>IF(AND(HOUR(B6629)&gt;=6,HOUR(B6629)&lt;18),"Day Shift","Night Shift")</f>
        <v/>
      </c>
      <c r="F6629" s="11">
        <f>INT(B6629)</f>
        <v/>
      </c>
      <c r="G6629" s="11">
        <f>INT(C6629)</f>
        <v/>
      </c>
    </row>
    <row r="6630">
      <c r="A6630" s="2" t="inlineStr">
        <is>
          <t>EXD56</t>
        </is>
      </c>
      <c r="B6630" s="3" t="n">
        <v>46129.25</v>
      </c>
      <c r="C6630" s="3" t="n">
        <v>46129.75</v>
      </c>
      <c r="D6630" s="4">
        <f>(C6630-B6630)*24</f>
        <v/>
      </c>
      <c r="E6630" s="5">
        <f>IF(AND(HOUR(B6630)&gt;=6,HOUR(B6630)&lt;18),"Day Shift","Night Shift")</f>
        <v/>
      </c>
      <c r="F6630" s="6">
        <f>INT(B6630)</f>
        <v/>
      </c>
      <c r="G6630" s="6">
        <f>INT(C6630)</f>
        <v/>
      </c>
    </row>
    <row r="6631">
      <c r="A6631" s="7" t="inlineStr">
        <is>
          <t>EXD56</t>
        </is>
      </c>
      <c r="B6631" s="8" t="n">
        <v>46129.75</v>
      </c>
      <c r="C6631" s="8" t="n">
        <v>46130.15940972222</v>
      </c>
      <c r="D6631" s="9">
        <f>(C6631-B6631)*24</f>
        <v/>
      </c>
      <c r="E6631" s="10">
        <f>IF(AND(HOUR(B6631)&gt;=6,HOUR(B6631)&lt;18),"Day Shift","Night Shift")</f>
        <v/>
      </c>
      <c r="F6631" s="11">
        <f>INT(B6631)</f>
        <v/>
      </c>
      <c r="G6631" s="11">
        <f>INT(C6631)</f>
        <v/>
      </c>
    </row>
    <row r="6632">
      <c r="A6632" s="7" t="inlineStr">
        <is>
          <t>EDD175;EDD1932;EDD2134;EDD2541;EDD812</t>
        </is>
      </c>
      <c r="B6632" s="8" t="n">
        <v>46127.89368055556</v>
      </c>
      <c r="C6632" s="8" t="n">
        <v>46128.02196759259</v>
      </c>
      <c r="D6632" s="9">
        <f>(C6632-B6632)*24</f>
        <v/>
      </c>
      <c r="E6632" s="10">
        <f>IF(AND(HOUR(B6632)&gt;=6,HOUR(B6632)&lt;18),"Day Shift","Night Shift")</f>
        <v/>
      </c>
      <c r="F6632" s="11">
        <f>INT(B6632)</f>
        <v/>
      </c>
      <c r="G6632" s="11">
        <f>INT(C6632)</f>
        <v/>
      </c>
    </row>
    <row r="6633">
      <c r="A6633" s="7" t="inlineStr">
        <is>
          <t>EXD61</t>
        </is>
      </c>
      <c r="B6633" s="8" t="n">
        <v>46127.91660879629</v>
      </c>
      <c r="C6633" s="8" t="n">
        <v>46128.25</v>
      </c>
      <c r="D6633" s="9">
        <f>(C6633-B6633)*24</f>
        <v/>
      </c>
      <c r="E6633" s="10">
        <f>IF(AND(HOUR(B6633)&gt;=6,HOUR(B6633)&lt;18),"Day Shift","Night Shift")</f>
        <v/>
      </c>
      <c r="F6633" s="11">
        <f>INT(B6633)</f>
        <v/>
      </c>
      <c r="G6633" s="11">
        <f>INT(C6633)</f>
        <v/>
      </c>
    </row>
    <row r="6634">
      <c r="A6634" s="2" t="inlineStr">
        <is>
          <t>EXD61</t>
        </is>
      </c>
      <c r="B6634" s="3" t="n">
        <v>46128.25</v>
      </c>
      <c r="C6634" s="3" t="n">
        <v>46128.75</v>
      </c>
      <c r="D6634" s="4">
        <f>(C6634-B6634)*24</f>
        <v/>
      </c>
      <c r="E6634" s="5">
        <f>IF(AND(HOUR(B6634)&gt;=6,HOUR(B6634)&lt;18),"Day Shift","Night Shift")</f>
        <v/>
      </c>
      <c r="F6634" s="6">
        <f>INT(B6634)</f>
        <v/>
      </c>
      <c r="G6634" s="6">
        <f>INT(C6634)</f>
        <v/>
      </c>
    </row>
    <row r="6635">
      <c r="A6635" s="7" t="inlineStr">
        <is>
          <t>EXD61</t>
        </is>
      </c>
      <c r="B6635" s="8" t="n">
        <v>46128.75</v>
      </c>
      <c r="C6635" s="8" t="n">
        <v>46128.90365740741</v>
      </c>
      <c r="D6635" s="9">
        <f>(C6635-B6635)*24</f>
        <v/>
      </c>
      <c r="E6635" s="10">
        <f>IF(AND(HOUR(B6635)&gt;=6,HOUR(B6635)&lt;18),"Day Shift","Night Shift")</f>
        <v/>
      </c>
      <c r="F6635" s="11">
        <f>INT(B6635)</f>
        <v/>
      </c>
      <c r="G6635" s="11">
        <f>INT(C6635)</f>
        <v/>
      </c>
    </row>
    <row r="6636">
      <c r="A6636" s="7" t="inlineStr">
        <is>
          <t>EXD98</t>
        </is>
      </c>
      <c r="B6636" s="8" t="n">
        <v>46127.95835648148</v>
      </c>
      <c r="C6636" s="8" t="n">
        <v>46128.25</v>
      </c>
      <c r="D6636" s="9">
        <f>(C6636-B6636)*24</f>
        <v/>
      </c>
      <c r="E6636" s="10">
        <f>IF(AND(HOUR(B6636)&gt;=6,HOUR(B6636)&lt;18),"Day Shift","Night Shift")</f>
        <v/>
      </c>
      <c r="F6636" s="11">
        <f>INT(B6636)</f>
        <v/>
      </c>
      <c r="G6636" s="11">
        <f>INT(C6636)</f>
        <v/>
      </c>
    </row>
    <row r="6637">
      <c r="A6637" s="2" t="inlineStr">
        <is>
          <t>EXD98</t>
        </is>
      </c>
      <c r="B6637" s="3" t="n">
        <v>46128.25</v>
      </c>
      <c r="C6637" s="3" t="n">
        <v>46128.75</v>
      </c>
      <c r="D6637" s="4">
        <f>(C6637-B6637)*24</f>
        <v/>
      </c>
      <c r="E6637" s="5">
        <f>IF(AND(HOUR(B6637)&gt;=6,HOUR(B6637)&lt;18),"Day Shift","Night Shift")</f>
        <v/>
      </c>
      <c r="F6637" s="6">
        <f>INT(B6637)</f>
        <v/>
      </c>
      <c r="G6637" s="6">
        <f>INT(C6637)</f>
        <v/>
      </c>
    </row>
    <row r="6638">
      <c r="A6638" s="7" t="inlineStr">
        <is>
          <t>EXD98</t>
        </is>
      </c>
      <c r="B6638" s="8" t="n">
        <v>46128.75</v>
      </c>
      <c r="C6638" s="8" t="n">
        <v>46128.85623842593</v>
      </c>
      <c r="D6638" s="9">
        <f>(C6638-B6638)*24</f>
        <v/>
      </c>
      <c r="E6638" s="10">
        <f>IF(AND(HOUR(B6638)&gt;=6,HOUR(B6638)&lt;18),"Day Shift","Night Shift")</f>
        <v/>
      </c>
      <c r="F6638" s="11">
        <f>INT(B6638)</f>
        <v/>
      </c>
      <c r="G6638" s="11">
        <f>INT(C6638)</f>
        <v/>
      </c>
    </row>
    <row r="6639">
      <c r="A6639" s="7" t="inlineStr">
        <is>
          <t>EXD407</t>
        </is>
      </c>
      <c r="B6639" s="8" t="n">
        <v>46127.96618055556</v>
      </c>
      <c r="C6639" s="8" t="n">
        <v>46128.25</v>
      </c>
      <c r="D6639" s="9">
        <f>(C6639-B6639)*24</f>
        <v/>
      </c>
      <c r="E6639" s="10">
        <f>IF(AND(HOUR(B6639)&gt;=6,HOUR(B6639)&lt;18),"Day Shift","Night Shift")</f>
        <v/>
      </c>
      <c r="F6639" s="11">
        <f>INT(B6639)</f>
        <v/>
      </c>
      <c r="G6639" s="11">
        <f>INT(C6639)</f>
        <v/>
      </c>
    </row>
    <row r="6640">
      <c r="A6640" s="2" t="inlineStr">
        <is>
          <t>EXD407</t>
        </is>
      </c>
      <c r="B6640" s="3" t="n">
        <v>46128.25</v>
      </c>
      <c r="C6640" s="3" t="n">
        <v>46128.75</v>
      </c>
      <c r="D6640" s="4">
        <f>(C6640-B6640)*24</f>
        <v/>
      </c>
      <c r="E6640" s="5">
        <f>IF(AND(HOUR(B6640)&gt;=6,HOUR(B6640)&lt;18),"Day Shift","Night Shift")</f>
        <v/>
      </c>
      <c r="F6640" s="6">
        <f>INT(B6640)</f>
        <v/>
      </c>
      <c r="G6640" s="6">
        <f>INT(C6640)</f>
        <v/>
      </c>
    </row>
    <row r="6641">
      <c r="A6641" s="7" t="inlineStr">
        <is>
          <t>EXD407</t>
        </is>
      </c>
      <c r="B6641" s="8" t="n">
        <v>46128.75</v>
      </c>
      <c r="C6641" s="8" t="n">
        <v>46129.25</v>
      </c>
      <c r="D6641" s="9">
        <f>(C6641-B6641)*24</f>
        <v/>
      </c>
      <c r="E6641" s="10">
        <f>IF(AND(HOUR(B6641)&gt;=6,HOUR(B6641)&lt;18),"Day Shift","Night Shift")</f>
        <v/>
      </c>
      <c r="F6641" s="11">
        <f>INT(B6641)</f>
        <v/>
      </c>
      <c r="G6641" s="11">
        <f>INT(C6641)</f>
        <v/>
      </c>
    </row>
    <row r="6642">
      <c r="A6642" s="2" t="inlineStr">
        <is>
          <t>EXD407</t>
        </is>
      </c>
      <c r="B6642" s="3" t="n">
        <v>46129.25</v>
      </c>
      <c r="C6642" s="3" t="n">
        <v>46129.73652777778</v>
      </c>
      <c r="D6642" s="4">
        <f>(C6642-B6642)*24</f>
        <v/>
      </c>
      <c r="E6642" s="5">
        <f>IF(AND(HOUR(B6642)&gt;=6,HOUR(B6642)&lt;18),"Day Shift","Night Shift")</f>
        <v/>
      </c>
      <c r="F6642" s="6">
        <f>INT(B6642)</f>
        <v/>
      </c>
      <c r="G6642" s="6">
        <f>INT(C6642)</f>
        <v/>
      </c>
    </row>
    <row r="6643">
      <c r="A6643" s="7" t="inlineStr">
        <is>
          <t>SHE36</t>
        </is>
      </c>
      <c r="B6643" s="8" t="n">
        <v>46127.99274305555</v>
      </c>
      <c r="C6643" s="8" t="n">
        <v>46128.1910300926</v>
      </c>
      <c r="D6643" s="9">
        <f>(C6643-B6643)*24</f>
        <v/>
      </c>
      <c r="E6643" s="10">
        <f>IF(AND(HOUR(B6643)&gt;=6,HOUR(B6643)&lt;18),"Day Shift","Night Shift")</f>
        <v/>
      </c>
      <c r="F6643" s="11">
        <f>INT(B6643)</f>
        <v/>
      </c>
      <c r="G6643" s="11">
        <f>INT(C6643)</f>
        <v/>
      </c>
    </row>
    <row r="6644">
      <c r="A6644" s="7" t="inlineStr">
        <is>
          <t>EDD175;EDD1932;EDD2134;EDD2541;EDD812</t>
        </is>
      </c>
      <c r="B6644" s="8" t="n">
        <v>46128.02196759259</v>
      </c>
      <c r="C6644" s="8" t="n">
        <v>46128.15064814815</v>
      </c>
      <c r="D6644" s="9">
        <f>(C6644-B6644)*24</f>
        <v/>
      </c>
      <c r="E6644" s="10">
        <f>IF(AND(HOUR(B6644)&gt;=6,HOUR(B6644)&lt;18),"Day Shift","Night Shift")</f>
        <v/>
      </c>
      <c r="F6644" s="11">
        <f>INT(B6644)</f>
        <v/>
      </c>
      <c r="G6644" s="11">
        <f>INT(C6644)</f>
        <v/>
      </c>
    </row>
    <row r="6645">
      <c r="A6645" s="7" t="inlineStr">
        <is>
          <t>EDD175;EDD1932;EDD2134;EDD2541;EDD812</t>
        </is>
      </c>
      <c r="B6645" s="8" t="n">
        <v>46128.15064814815</v>
      </c>
      <c r="C6645" s="8" t="n">
        <v>46128.25</v>
      </c>
      <c r="D6645" s="9">
        <f>(C6645-B6645)*24</f>
        <v/>
      </c>
      <c r="E6645" s="10">
        <f>IF(AND(HOUR(B6645)&gt;=6,HOUR(B6645)&lt;18),"Day Shift","Night Shift")</f>
        <v/>
      </c>
      <c r="F6645" s="11">
        <f>INT(B6645)</f>
        <v/>
      </c>
      <c r="G6645" s="11">
        <f>INT(C6645)</f>
        <v/>
      </c>
    </row>
    <row r="6646">
      <c r="A6646" s="2" t="inlineStr">
        <is>
          <t>EDD175;EDD1932;EDD2134;EDD2541;EDD812</t>
        </is>
      </c>
      <c r="B6646" s="3" t="n">
        <v>46128.25</v>
      </c>
      <c r="C6646" s="3" t="n">
        <v>46128.28708333334</v>
      </c>
      <c r="D6646" s="4">
        <f>(C6646-B6646)*24</f>
        <v/>
      </c>
      <c r="E6646" s="5">
        <f>IF(AND(HOUR(B6646)&gt;=6,HOUR(B6646)&lt;18),"Day Shift","Night Shift")</f>
        <v/>
      </c>
      <c r="F6646" s="6">
        <f>INT(B6646)</f>
        <v/>
      </c>
      <c r="G6646" s="6">
        <f>INT(C6646)</f>
        <v/>
      </c>
    </row>
    <row r="6647">
      <c r="A6647" s="7" t="inlineStr">
        <is>
          <t>SHE36</t>
        </is>
      </c>
      <c r="B6647" s="8" t="n">
        <v>46128.1910300926</v>
      </c>
      <c r="C6647" s="8" t="n">
        <v>46128.25</v>
      </c>
      <c r="D6647" s="9">
        <f>(C6647-B6647)*24</f>
        <v/>
      </c>
      <c r="E6647" s="10">
        <f>IF(AND(HOUR(B6647)&gt;=6,HOUR(B6647)&lt;18),"Day Shift","Night Shift")</f>
        <v/>
      </c>
      <c r="F6647" s="11">
        <f>INT(B6647)</f>
        <v/>
      </c>
      <c r="G6647" s="11">
        <f>INT(C6647)</f>
        <v/>
      </c>
    </row>
    <row r="6648">
      <c r="A6648" s="2" t="inlineStr">
        <is>
          <t>SHE36</t>
        </is>
      </c>
      <c r="B6648" s="3" t="n">
        <v>46128.25</v>
      </c>
      <c r="C6648" s="3" t="n">
        <v>46128.75</v>
      </c>
      <c r="D6648" s="4">
        <f>(C6648-B6648)*24</f>
        <v/>
      </c>
      <c r="E6648" s="5">
        <f>IF(AND(HOUR(B6648)&gt;=6,HOUR(B6648)&lt;18),"Day Shift","Night Shift")</f>
        <v/>
      </c>
      <c r="F6648" s="6">
        <f>INT(B6648)</f>
        <v/>
      </c>
      <c r="G6648" s="6">
        <f>INT(C6648)</f>
        <v/>
      </c>
    </row>
    <row r="6649">
      <c r="A6649" s="7" t="inlineStr">
        <is>
          <t>SHE36</t>
        </is>
      </c>
      <c r="B6649" s="8" t="n">
        <v>46128.75</v>
      </c>
      <c r="C6649" s="8" t="n">
        <v>46129.25</v>
      </c>
      <c r="D6649" s="9">
        <f>(C6649-B6649)*24</f>
        <v/>
      </c>
      <c r="E6649" s="10">
        <f>IF(AND(HOUR(B6649)&gt;=6,HOUR(B6649)&lt;18),"Day Shift","Night Shift")</f>
        <v/>
      </c>
      <c r="F6649" s="11">
        <f>INT(B6649)</f>
        <v/>
      </c>
      <c r="G6649" s="11">
        <f>INT(C6649)</f>
        <v/>
      </c>
    </row>
    <row r="6650">
      <c r="A6650" s="2" t="inlineStr">
        <is>
          <t>SHE36</t>
        </is>
      </c>
      <c r="B6650" s="3" t="n">
        <v>46129.25</v>
      </c>
      <c r="C6650" s="3" t="n">
        <v>46129.75</v>
      </c>
      <c r="D6650" s="4">
        <f>(C6650-B6650)*24</f>
        <v/>
      </c>
      <c r="E6650" s="5">
        <f>IF(AND(HOUR(B6650)&gt;=6,HOUR(B6650)&lt;18),"Day Shift","Night Shift")</f>
        <v/>
      </c>
      <c r="F6650" s="6">
        <f>INT(B6650)</f>
        <v/>
      </c>
      <c r="G6650" s="6">
        <f>INT(C6650)</f>
        <v/>
      </c>
    </row>
    <row r="6651">
      <c r="A6651" s="7" t="inlineStr">
        <is>
          <t>SHE36</t>
        </is>
      </c>
      <c r="B6651" s="8" t="n">
        <v>46129.75</v>
      </c>
      <c r="C6651" s="8" t="n">
        <v>46130.00873842592</v>
      </c>
      <c r="D6651" s="9">
        <f>(C6651-B6651)*24</f>
        <v/>
      </c>
      <c r="E6651" s="10">
        <f>IF(AND(HOUR(B6651)&gt;=6,HOUR(B6651)&lt;18),"Day Shift","Night Shift")</f>
        <v/>
      </c>
      <c r="F6651" s="11">
        <f>INT(B6651)</f>
        <v/>
      </c>
      <c r="G6651" s="11">
        <f>INT(C6651)</f>
        <v/>
      </c>
    </row>
    <row r="6652">
      <c r="A6652" s="7" t="inlineStr">
        <is>
          <t>EXD51</t>
        </is>
      </c>
      <c r="B6652" s="8" t="n">
        <v>46128.22733796296</v>
      </c>
      <c r="C6652" s="8" t="n">
        <v>46128.25</v>
      </c>
      <c r="D6652" s="9">
        <f>(C6652-B6652)*24</f>
        <v/>
      </c>
      <c r="E6652" s="10">
        <f>IF(AND(HOUR(B6652)&gt;=6,HOUR(B6652)&lt;18),"Day Shift","Night Shift")</f>
        <v/>
      </c>
      <c r="F6652" s="11">
        <f>INT(B6652)</f>
        <v/>
      </c>
      <c r="G6652" s="11">
        <f>INT(C6652)</f>
        <v/>
      </c>
    </row>
    <row r="6653">
      <c r="A6653" s="2" t="inlineStr">
        <is>
          <t>EXD51</t>
        </is>
      </c>
      <c r="B6653" s="3" t="n">
        <v>46128.25</v>
      </c>
      <c r="C6653" s="3" t="n">
        <v>46128.75</v>
      </c>
      <c r="D6653" s="4">
        <f>(C6653-B6653)*24</f>
        <v/>
      </c>
      <c r="E6653" s="5">
        <f>IF(AND(HOUR(B6653)&gt;=6,HOUR(B6653)&lt;18),"Day Shift","Night Shift")</f>
        <v/>
      </c>
      <c r="F6653" s="6">
        <f>INT(B6653)</f>
        <v/>
      </c>
      <c r="G6653" s="6">
        <f>INT(C6653)</f>
        <v/>
      </c>
    </row>
    <row r="6654">
      <c r="A6654" s="7" t="inlineStr">
        <is>
          <t>EXD51</t>
        </is>
      </c>
      <c r="B6654" s="8" t="n">
        <v>46128.75</v>
      </c>
      <c r="C6654" s="8" t="n">
        <v>46128.9954050926</v>
      </c>
      <c r="D6654" s="9">
        <f>(C6654-B6654)*24</f>
        <v/>
      </c>
      <c r="E6654" s="10">
        <f>IF(AND(HOUR(B6654)&gt;=6,HOUR(B6654)&lt;18),"Day Shift","Night Shift")</f>
        <v/>
      </c>
      <c r="F6654" s="11">
        <f>INT(B6654)</f>
        <v/>
      </c>
      <c r="G6654" s="11">
        <f>INT(C6654)</f>
        <v/>
      </c>
    </row>
    <row r="6655">
      <c r="A6655" s="2" t="inlineStr">
        <is>
          <t>EDD175;EDD1932;EDD2134;EDD812</t>
        </is>
      </c>
      <c r="B6655" s="3" t="n">
        <v>46128.28708333334</v>
      </c>
      <c r="C6655" s="3" t="n">
        <v>46128.46028935185</v>
      </c>
      <c r="D6655" s="4">
        <f>(C6655-B6655)*24</f>
        <v/>
      </c>
      <c r="E6655" s="5">
        <f>IF(AND(HOUR(B6655)&gt;=6,HOUR(B6655)&lt;18),"Day Shift","Night Shift")</f>
        <v/>
      </c>
      <c r="F6655" s="6">
        <f>INT(B6655)</f>
        <v/>
      </c>
      <c r="G6655" s="6">
        <f>INT(C6655)</f>
        <v/>
      </c>
    </row>
    <row r="6656">
      <c r="A6656" s="2" t="inlineStr">
        <is>
          <t>EXD100</t>
        </is>
      </c>
      <c r="B6656" s="3" t="n">
        <v>46128.30542824074</v>
      </c>
      <c r="C6656" s="3" t="n">
        <v>46128.75</v>
      </c>
      <c r="D6656" s="4">
        <f>(C6656-B6656)*24</f>
        <v/>
      </c>
      <c r="E6656" s="5">
        <f>IF(AND(HOUR(B6656)&gt;=6,HOUR(B6656)&lt;18),"Day Shift","Night Shift")</f>
        <v/>
      </c>
      <c r="F6656" s="6">
        <f>INT(B6656)</f>
        <v/>
      </c>
      <c r="G6656" s="6">
        <f>INT(C6656)</f>
        <v/>
      </c>
    </row>
    <row r="6657">
      <c r="A6657" s="7" t="inlineStr">
        <is>
          <t>EXD100</t>
        </is>
      </c>
      <c r="B6657" s="8" t="n">
        <v>46128.75</v>
      </c>
      <c r="C6657" s="8" t="n">
        <v>46128.89981481482</v>
      </c>
      <c r="D6657" s="9">
        <f>(C6657-B6657)*24</f>
        <v/>
      </c>
      <c r="E6657" s="10">
        <f>IF(AND(HOUR(B6657)&gt;=6,HOUR(B6657)&lt;18),"Day Shift","Night Shift")</f>
        <v/>
      </c>
      <c r="F6657" s="11">
        <f>INT(B6657)</f>
        <v/>
      </c>
      <c r="G6657" s="11">
        <f>INT(C6657)</f>
        <v/>
      </c>
    </row>
    <row r="6658">
      <c r="A6658" s="2" t="inlineStr">
        <is>
          <t>Stag Drill</t>
        </is>
      </c>
      <c r="B6658" s="3" t="n">
        <v>46128.38679398148</v>
      </c>
      <c r="C6658" s="3" t="n">
        <v>46128.62824074074</v>
      </c>
      <c r="D6658" s="4">
        <f>(C6658-B6658)*24</f>
        <v/>
      </c>
      <c r="E6658" s="5">
        <f>IF(AND(HOUR(B6658)&gt;=6,HOUR(B6658)&lt;18),"Day Shift","Night Shift")</f>
        <v/>
      </c>
      <c r="F6658" s="6">
        <f>INT(B6658)</f>
        <v/>
      </c>
      <c r="G6658" s="6">
        <f>INT(C6658)</f>
        <v/>
      </c>
    </row>
    <row r="6659">
      <c r="A6659" s="2" t="inlineStr">
        <is>
          <t>EDD175;EDD1932;EDD2134;EDD812</t>
        </is>
      </c>
      <c r="B6659" s="3" t="n">
        <v>46128.46028935185</v>
      </c>
      <c r="C6659" s="3" t="n">
        <v>46128.54606481481</v>
      </c>
      <c r="D6659" s="4">
        <f>(C6659-B6659)*24</f>
        <v/>
      </c>
      <c r="E6659" s="5">
        <f>IF(AND(HOUR(B6659)&gt;=6,HOUR(B6659)&lt;18),"Day Shift","Night Shift")</f>
        <v/>
      </c>
      <c r="F6659" s="6">
        <f>INT(B6659)</f>
        <v/>
      </c>
      <c r="G6659" s="6">
        <f>INT(C6659)</f>
        <v/>
      </c>
    </row>
    <row r="6660">
      <c r="A6660" s="2" t="inlineStr">
        <is>
          <t>Sprint 1</t>
        </is>
      </c>
      <c r="B6660" s="3" t="n">
        <v>46128.55236111111</v>
      </c>
      <c r="C6660" s="3" t="n">
        <v>46128.75</v>
      </c>
      <c r="D6660" s="4">
        <f>(C6660-B6660)*24</f>
        <v/>
      </c>
      <c r="E6660" s="5">
        <f>IF(AND(HOUR(B6660)&gt;=6,HOUR(B6660)&lt;18),"Day Shift","Night Shift")</f>
        <v/>
      </c>
      <c r="F6660" s="6">
        <f>INT(B6660)</f>
        <v/>
      </c>
      <c r="G6660" s="6">
        <f>INT(C6660)</f>
        <v/>
      </c>
    </row>
    <row r="6661">
      <c r="A6661" s="7" t="inlineStr">
        <is>
          <t>Sprint 1</t>
        </is>
      </c>
      <c r="B6661" s="8" t="n">
        <v>46128.75</v>
      </c>
      <c r="C6661" s="8" t="n">
        <v>46129.21940972222</v>
      </c>
      <c r="D6661" s="9">
        <f>(C6661-B6661)*24</f>
        <v/>
      </c>
      <c r="E6661" s="10">
        <f>IF(AND(HOUR(B6661)&gt;=6,HOUR(B6661)&lt;18),"Day Shift","Night Shift")</f>
        <v/>
      </c>
      <c r="F6661" s="11">
        <f>INT(B6661)</f>
        <v/>
      </c>
      <c r="G6661" s="11">
        <f>INT(C6661)</f>
        <v/>
      </c>
    </row>
    <row r="6662">
      <c r="A6662" s="2" t="inlineStr">
        <is>
          <t>EXD101</t>
        </is>
      </c>
      <c r="B6662" s="3" t="n">
        <v>46128.55327546296</v>
      </c>
      <c r="C6662" s="3" t="n">
        <v>46128.75</v>
      </c>
      <c r="D6662" s="4">
        <f>(C6662-B6662)*24</f>
        <v/>
      </c>
      <c r="E6662" s="5">
        <f>IF(AND(HOUR(B6662)&gt;=6,HOUR(B6662)&lt;18),"Day Shift","Night Shift")</f>
        <v/>
      </c>
      <c r="F6662" s="6">
        <f>INT(B6662)</f>
        <v/>
      </c>
      <c r="G6662" s="6">
        <f>INT(C6662)</f>
        <v/>
      </c>
    </row>
    <row r="6663">
      <c r="A6663" s="7" t="inlineStr">
        <is>
          <t>EXD101</t>
        </is>
      </c>
      <c r="B6663" s="8" t="n">
        <v>46128.75</v>
      </c>
      <c r="C6663" s="8" t="n">
        <v>46129.06976851852</v>
      </c>
      <c r="D6663" s="9">
        <f>(C6663-B6663)*24</f>
        <v/>
      </c>
      <c r="E6663" s="10">
        <f>IF(AND(HOUR(B6663)&gt;=6,HOUR(B6663)&lt;18),"Day Shift","Night Shift")</f>
        <v/>
      </c>
      <c r="F6663" s="11">
        <f>INT(B6663)</f>
        <v/>
      </c>
      <c r="G6663" s="11">
        <f>INT(C6663)</f>
        <v/>
      </c>
    </row>
    <row r="6664">
      <c r="A6664" s="2" t="inlineStr">
        <is>
          <t>EDD175;EDD1932;EDD2134;EDD812</t>
        </is>
      </c>
      <c r="B6664" s="3" t="n">
        <v>46128.55627314815</v>
      </c>
      <c r="C6664" s="3" t="n">
        <v>46128.71887731482</v>
      </c>
      <c r="D6664" s="4">
        <f>(C6664-B6664)*24</f>
        <v/>
      </c>
      <c r="E6664" s="5">
        <f>IF(AND(HOUR(B6664)&gt;=6,HOUR(B6664)&lt;18),"Day Shift","Night Shift")</f>
        <v/>
      </c>
      <c r="F6664" s="6">
        <f>INT(B6664)</f>
        <v/>
      </c>
      <c r="G6664" s="6">
        <f>INT(C6664)</f>
        <v/>
      </c>
    </row>
    <row r="6665">
      <c r="A6665" s="2" t="inlineStr">
        <is>
          <t>EXD73</t>
        </is>
      </c>
      <c r="B6665" s="3" t="n">
        <v>46128.5972800926</v>
      </c>
      <c r="C6665" s="3" t="n">
        <v>46128.75</v>
      </c>
      <c r="D6665" s="4">
        <f>(C6665-B6665)*24</f>
        <v/>
      </c>
      <c r="E6665" s="5">
        <f>IF(AND(HOUR(B6665)&gt;=6,HOUR(B6665)&lt;18),"Day Shift","Night Shift")</f>
        <v/>
      </c>
      <c r="F6665" s="6">
        <f>INT(B6665)</f>
        <v/>
      </c>
      <c r="G6665" s="6">
        <f>INT(C6665)</f>
        <v/>
      </c>
    </row>
    <row r="6666">
      <c r="A6666" s="7" t="inlineStr">
        <is>
          <t>EXD73</t>
        </is>
      </c>
      <c r="B6666" s="8" t="n">
        <v>46128.75</v>
      </c>
      <c r="C6666" s="8" t="n">
        <v>46129.25</v>
      </c>
      <c r="D6666" s="9">
        <f>(C6666-B6666)*24</f>
        <v/>
      </c>
      <c r="E6666" s="10">
        <f>IF(AND(HOUR(B6666)&gt;=6,HOUR(B6666)&lt;18),"Day Shift","Night Shift")</f>
        <v/>
      </c>
      <c r="F6666" s="11">
        <f>INT(B6666)</f>
        <v/>
      </c>
      <c r="G6666" s="11">
        <f>INT(C6666)</f>
        <v/>
      </c>
    </row>
    <row r="6667">
      <c r="A6667" s="2" t="inlineStr">
        <is>
          <t>EXD73</t>
        </is>
      </c>
      <c r="B6667" s="3" t="n">
        <v>46129.25</v>
      </c>
      <c r="C6667" s="3" t="n">
        <v>46129.75</v>
      </c>
      <c r="D6667" s="4">
        <f>(C6667-B6667)*24</f>
        <v/>
      </c>
      <c r="E6667" s="5">
        <f>IF(AND(HOUR(B6667)&gt;=6,HOUR(B6667)&lt;18),"Day Shift","Night Shift")</f>
        <v/>
      </c>
      <c r="F6667" s="6">
        <f>INT(B6667)</f>
        <v/>
      </c>
      <c r="G6667" s="6">
        <f>INT(C6667)</f>
        <v/>
      </c>
    </row>
    <row r="6668">
      <c r="A6668" s="7" t="inlineStr">
        <is>
          <t>EXD73</t>
        </is>
      </c>
      <c r="B6668" s="8" t="n">
        <v>46129.75</v>
      </c>
      <c r="C6668" s="8" t="n">
        <v>46130.15392361111</v>
      </c>
      <c r="D6668" s="9">
        <f>(C6668-B6668)*24</f>
        <v/>
      </c>
      <c r="E6668" s="10">
        <f>IF(AND(HOUR(B6668)&gt;=6,HOUR(B6668)&lt;18),"Day Shift","Night Shift")</f>
        <v/>
      </c>
      <c r="F6668" s="11">
        <f>INT(B6668)</f>
        <v/>
      </c>
      <c r="G6668" s="11">
        <f>INT(C6668)</f>
        <v/>
      </c>
    </row>
    <row r="6669">
      <c r="A6669" s="2" t="inlineStr">
        <is>
          <t>Stag Drill</t>
        </is>
      </c>
      <c r="B6669" s="3" t="n">
        <v>46128.62824074074</v>
      </c>
      <c r="C6669" s="3" t="n">
        <v>46128.75</v>
      </c>
      <c r="D6669" s="4">
        <f>(C6669-B6669)*24</f>
        <v/>
      </c>
      <c r="E6669" s="5">
        <f>IF(AND(HOUR(B6669)&gt;=6,HOUR(B6669)&lt;18),"Day Shift","Night Shift")</f>
        <v/>
      </c>
      <c r="F6669" s="6">
        <f>INT(B6669)</f>
        <v/>
      </c>
      <c r="G6669" s="6">
        <f>INT(C6669)</f>
        <v/>
      </c>
    </row>
    <row r="6670">
      <c r="A6670" s="7" t="inlineStr">
        <is>
          <t>Stag Drill</t>
        </is>
      </c>
      <c r="B6670" s="8" t="n">
        <v>46128.75</v>
      </c>
      <c r="C6670" s="8" t="n">
        <v>46129.25</v>
      </c>
      <c r="D6670" s="9">
        <f>(C6670-B6670)*24</f>
        <v/>
      </c>
      <c r="E6670" s="10">
        <f>IF(AND(HOUR(B6670)&gt;=6,HOUR(B6670)&lt;18),"Day Shift","Night Shift")</f>
        <v/>
      </c>
      <c r="F6670" s="11">
        <f>INT(B6670)</f>
        <v/>
      </c>
      <c r="G6670" s="11">
        <f>INT(C6670)</f>
        <v/>
      </c>
    </row>
    <row r="6671">
      <c r="A6671" s="2" t="inlineStr">
        <is>
          <t>Stag Drill</t>
        </is>
      </c>
      <c r="B6671" s="3" t="n">
        <v>46129.25</v>
      </c>
      <c r="C6671" s="3" t="n">
        <v>46129.35884259259</v>
      </c>
      <c r="D6671" s="4">
        <f>(C6671-B6671)*24</f>
        <v/>
      </c>
      <c r="E6671" s="5">
        <f>IF(AND(HOUR(B6671)&gt;=6,HOUR(B6671)&lt;18),"Day Shift","Night Shift")</f>
        <v/>
      </c>
      <c r="F6671" s="6">
        <f>INT(B6671)</f>
        <v/>
      </c>
      <c r="G6671" s="6">
        <f>INT(C6671)</f>
        <v/>
      </c>
    </row>
    <row r="6672">
      <c r="A6672" s="2" t="inlineStr">
        <is>
          <t>EXD408</t>
        </is>
      </c>
      <c r="B6672" s="3" t="n">
        <v>46128.63510416666</v>
      </c>
      <c r="C6672" s="3" t="n">
        <v>46128.75</v>
      </c>
      <c r="D6672" s="4">
        <f>(C6672-B6672)*24</f>
        <v/>
      </c>
      <c r="E6672" s="5">
        <f>IF(AND(HOUR(B6672)&gt;=6,HOUR(B6672)&lt;18),"Day Shift","Night Shift")</f>
        <v/>
      </c>
      <c r="F6672" s="6">
        <f>INT(B6672)</f>
        <v/>
      </c>
      <c r="G6672" s="6">
        <f>INT(C6672)</f>
        <v/>
      </c>
    </row>
    <row r="6673">
      <c r="A6673" s="7" t="inlineStr">
        <is>
          <t>EXD408</t>
        </is>
      </c>
      <c r="B6673" s="8" t="n">
        <v>46128.75</v>
      </c>
      <c r="C6673" s="8" t="n">
        <v>46129.25</v>
      </c>
      <c r="D6673" s="9">
        <f>(C6673-B6673)*24</f>
        <v/>
      </c>
      <c r="E6673" s="10">
        <f>IF(AND(HOUR(B6673)&gt;=6,HOUR(B6673)&lt;18),"Day Shift","Night Shift")</f>
        <v/>
      </c>
      <c r="F6673" s="11">
        <f>INT(B6673)</f>
        <v/>
      </c>
      <c r="G6673" s="11">
        <f>INT(C6673)</f>
        <v/>
      </c>
    </row>
    <row r="6674">
      <c r="A6674" s="2" t="inlineStr">
        <is>
          <t>EXD408</t>
        </is>
      </c>
      <c r="B6674" s="3" t="n">
        <v>46129.25</v>
      </c>
      <c r="C6674" s="3" t="n">
        <v>46129.75</v>
      </c>
      <c r="D6674" s="4">
        <f>(C6674-B6674)*24</f>
        <v/>
      </c>
      <c r="E6674" s="5">
        <f>IF(AND(HOUR(B6674)&gt;=6,HOUR(B6674)&lt;18),"Day Shift","Night Shift")</f>
        <v/>
      </c>
      <c r="F6674" s="6">
        <f>INT(B6674)</f>
        <v/>
      </c>
      <c r="G6674" s="6">
        <f>INT(C6674)</f>
        <v/>
      </c>
    </row>
    <row r="6675">
      <c r="A6675" s="7" t="inlineStr">
        <is>
          <t>EXD408</t>
        </is>
      </c>
      <c r="B6675" s="8" t="n">
        <v>46129.75</v>
      </c>
      <c r="C6675" s="8" t="n">
        <v>46129.89288194444</v>
      </c>
      <c r="D6675" s="9">
        <f>(C6675-B6675)*24</f>
        <v/>
      </c>
      <c r="E6675" s="10">
        <f>IF(AND(HOUR(B6675)&gt;=6,HOUR(B6675)&lt;18),"Day Shift","Night Shift")</f>
        <v/>
      </c>
      <c r="F6675" s="11">
        <f>INT(B6675)</f>
        <v/>
      </c>
      <c r="G6675" s="11">
        <f>INT(C6675)</f>
        <v/>
      </c>
    </row>
    <row r="6676">
      <c r="A6676" s="2" t="inlineStr">
        <is>
          <t>EDD175;EDD1932;EDD2134;EDD812;EDD2541</t>
        </is>
      </c>
      <c r="B6676" s="3" t="n">
        <v>46128.71887731482</v>
      </c>
      <c r="C6676" s="3" t="n">
        <v>46128.75</v>
      </c>
      <c r="D6676" s="4">
        <f>(C6676-B6676)*24</f>
        <v/>
      </c>
      <c r="E6676" s="5">
        <f>IF(AND(HOUR(B6676)&gt;=6,HOUR(B6676)&lt;18),"Day Shift","Night Shift")</f>
        <v/>
      </c>
      <c r="F6676" s="6">
        <f>INT(B6676)</f>
        <v/>
      </c>
      <c r="G6676" s="6">
        <f>INT(C6676)</f>
        <v/>
      </c>
    </row>
    <row r="6677">
      <c r="A6677" s="7" t="inlineStr">
        <is>
          <t>EDD175;EDD1932;EDD2134;EDD812;EDD2541</t>
        </is>
      </c>
      <c r="B6677" s="8" t="n">
        <v>46128.75</v>
      </c>
      <c r="C6677" s="8" t="n">
        <v>46128.85506944444</v>
      </c>
      <c r="D6677" s="9">
        <f>(C6677-B6677)*24</f>
        <v/>
      </c>
      <c r="E6677" s="10">
        <f>IF(AND(HOUR(B6677)&gt;=6,HOUR(B6677)&lt;18),"Day Shift","Night Shift")</f>
        <v/>
      </c>
      <c r="F6677" s="11">
        <f>INT(B6677)</f>
        <v/>
      </c>
      <c r="G6677" s="11">
        <f>INT(C6677)</f>
        <v/>
      </c>
    </row>
    <row r="6678">
      <c r="A6678" s="7" t="inlineStr">
        <is>
          <t>EDD175;EDD1932;EDD2134;EDD2541;EDD812</t>
        </is>
      </c>
      <c r="B6678" s="8" t="n">
        <v>46128.85506944444</v>
      </c>
      <c r="C6678" s="8" t="n">
        <v>46128.99251157408</v>
      </c>
      <c r="D6678" s="9">
        <f>(C6678-B6678)*24</f>
        <v/>
      </c>
      <c r="E6678" s="10">
        <f>IF(AND(HOUR(B6678)&gt;=6,HOUR(B6678)&lt;18),"Day Shift","Night Shift")</f>
        <v/>
      </c>
      <c r="F6678" s="11">
        <f>INT(B6678)</f>
        <v/>
      </c>
      <c r="G6678" s="11">
        <f>INT(C6678)</f>
        <v/>
      </c>
    </row>
    <row r="6679">
      <c r="A6679" s="7" t="inlineStr">
        <is>
          <t>EXD98</t>
        </is>
      </c>
      <c r="B6679" s="8" t="n">
        <v>46128.85623842593</v>
      </c>
      <c r="C6679" s="8" t="n">
        <v>46129.25</v>
      </c>
      <c r="D6679" s="9">
        <f>(C6679-B6679)*24</f>
        <v/>
      </c>
      <c r="E6679" s="10">
        <f>IF(AND(HOUR(B6679)&gt;=6,HOUR(B6679)&lt;18),"Day Shift","Night Shift")</f>
        <v/>
      </c>
      <c r="F6679" s="11">
        <f>INT(B6679)</f>
        <v/>
      </c>
      <c r="G6679" s="11">
        <f>INT(C6679)</f>
        <v/>
      </c>
    </row>
    <row r="6680">
      <c r="A6680" s="2" t="inlineStr">
        <is>
          <t>EXD98</t>
        </is>
      </c>
      <c r="B6680" s="3" t="n">
        <v>46129.25</v>
      </c>
      <c r="C6680" s="3" t="n">
        <v>46129.54268518519</v>
      </c>
      <c r="D6680" s="4">
        <f>(C6680-B6680)*24</f>
        <v/>
      </c>
      <c r="E6680" s="5">
        <f>IF(AND(HOUR(B6680)&gt;=6,HOUR(B6680)&lt;18),"Day Shift","Night Shift")</f>
        <v/>
      </c>
      <c r="F6680" s="6">
        <f>INT(B6680)</f>
        <v/>
      </c>
      <c r="G6680" s="6">
        <f>INT(C6680)</f>
        <v/>
      </c>
    </row>
    <row r="6681">
      <c r="A6681" s="7" t="inlineStr">
        <is>
          <t>EXD100</t>
        </is>
      </c>
      <c r="B6681" s="8" t="n">
        <v>46128.89981481482</v>
      </c>
      <c r="C6681" s="8" t="n">
        <v>46129.10578703704</v>
      </c>
      <c r="D6681" s="9">
        <f>(C6681-B6681)*24</f>
        <v/>
      </c>
      <c r="E6681" s="10">
        <f>IF(AND(HOUR(B6681)&gt;=6,HOUR(B6681)&lt;18),"Day Shift","Night Shift")</f>
        <v/>
      </c>
      <c r="F6681" s="11">
        <f>INT(B6681)</f>
        <v/>
      </c>
      <c r="G6681" s="11">
        <f>INT(C6681)</f>
        <v/>
      </c>
    </row>
    <row r="6682">
      <c r="A6682" s="7" t="inlineStr">
        <is>
          <t>EDD175;EDD1932;EDD2134;EDD2541;EDD812</t>
        </is>
      </c>
      <c r="B6682" s="8" t="n">
        <v>46128.99251157408</v>
      </c>
      <c r="C6682" s="8" t="n">
        <v>46129.15231481481</v>
      </c>
      <c r="D6682" s="9">
        <f>(C6682-B6682)*24</f>
        <v/>
      </c>
      <c r="E6682" s="10">
        <f>IF(AND(HOUR(B6682)&gt;=6,HOUR(B6682)&lt;18),"Day Shift","Night Shift")</f>
        <v/>
      </c>
      <c r="F6682" s="11">
        <f>INT(B6682)</f>
        <v/>
      </c>
      <c r="G6682" s="11">
        <f>INT(C6682)</f>
        <v/>
      </c>
    </row>
    <row r="6683">
      <c r="A6683" s="7" t="inlineStr">
        <is>
          <t>EXD51</t>
        </is>
      </c>
      <c r="B6683" s="8" t="n">
        <v>46128.9954050926</v>
      </c>
      <c r="C6683" s="8" t="n">
        <v>46129.21197916667</v>
      </c>
      <c r="D6683" s="9">
        <f>(C6683-B6683)*24</f>
        <v/>
      </c>
      <c r="E6683" s="10">
        <f>IF(AND(HOUR(B6683)&gt;=6,HOUR(B6683)&lt;18),"Day Shift","Night Shift")</f>
        <v/>
      </c>
      <c r="F6683" s="11">
        <f>INT(B6683)</f>
        <v/>
      </c>
      <c r="G6683" s="11">
        <f>INT(C6683)</f>
        <v/>
      </c>
    </row>
    <row r="6684">
      <c r="A6684" s="7" t="inlineStr">
        <is>
          <t>EXD61</t>
        </is>
      </c>
      <c r="B6684" s="8" t="n">
        <v>46129.00019675926</v>
      </c>
      <c r="C6684" s="8" t="n">
        <v>46129.25</v>
      </c>
      <c r="D6684" s="9">
        <f>(C6684-B6684)*24</f>
        <v/>
      </c>
      <c r="E6684" s="10">
        <f>IF(AND(HOUR(B6684)&gt;=6,HOUR(B6684)&lt;18),"Day Shift","Night Shift")</f>
        <v/>
      </c>
      <c r="F6684" s="11">
        <f>INT(B6684)</f>
        <v/>
      </c>
      <c r="G6684" s="11">
        <f>INT(C6684)</f>
        <v/>
      </c>
    </row>
    <row r="6685">
      <c r="A6685" s="2" t="inlineStr">
        <is>
          <t>EXD61</t>
        </is>
      </c>
      <c r="B6685" s="3" t="n">
        <v>46129.25</v>
      </c>
      <c r="C6685" s="3" t="n">
        <v>46129.75</v>
      </c>
      <c r="D6685" s="4">
        <f>(C6685-B6685)*24</f>
        <v/>
      </c>
      <c r="E6685" s="5">
        <f>IF(AND(HOUR(B6685)&gt;=6,HOUR(B6685)&lt;18),"Day Shift","Night Shift")</f>
        <v/>
      </c>
      <c r="F6685" s="6">
        <f>INT(B6685)</f>
        <v/>
      </c>
      <c r="G6685" s="6">
        <f>INT(C6685)</f>
        <v/>
      </c>
    </row>
    <row r="6686">
      <c r="A6686" s="7" t="inlineStr">
        <is>
          <t>EXD61</t>
        </is>
      </c>
      <c r="B6686" s="8" t="n">
        <v>46129.75</v>
      </c>
      <c r="C6686" s="8" t="n">
        <v>46129.97886574074</v>
      </c>
      <c r="D6686" s="9">
        <f>(C6686-B6686)*24</f>
        <v/>
      </c>
      <c r="E6686" s="10">
        <f>IF(AND(HOUR(B6686)&gt;=6,HOUR(B6686)&lt;18),"Day Shift","Night Shift")</f>
        <v/>
      </c>
      <c r="F6686" s="11">
        <f>INT(B6686)</f>
        <v/>
      </c>
      <c r="G6686" s="11">
        <f>INT(C6686)</f>
        <v/>
      </c>
    </row>
    <row r="6687">
      <c r="A6687" s="7" t="inlineStr">
        <is>
          <t>EXD100</t>
        </is>
      </c>
      <c r="B6687" s="8" t="n">
        <v>46129.10578703704</v>
      </c>
      <c r="C6687" s="8" t="n">
        <v>46129.25</v>
      </c>
      <c r="D6687" s="9">
        <f>(C6687-B6687)*24</f>
        <v/>
      </c>
      <c r="E6687" s="10">
        <f>IF(AND(HOUR(B6687)&gt;=6,HOUR(B6687)&lt;18),"Day Shift","Night Shift")</f>
        <v/>
      </c>
      <c r="F6687" s="11">
        <f>INT(B6687)</f>
        <v/>
      </c>
      <c r="G6687" s="11">
        <f>INT(C6687)</f>
        <v/>
      </c>
    </row>
    <row r="6688">
      <c r="A6688" s="2" t="inlineStr">
        <is>
          <t>EXD100</t>
        </is>
      </c>
      <c r="B6688" s="3" t="n">
        <v>46129.25</v>
      </c>
      <c r="C6688" s="3" t="n">
        <v>46129.75</v>
      </c>
      <c r="D6688" s="4">
        <f>(C6688-B6688)*24</f>
        <v/>
      </c>
      <c r="E6688" s="5">
        <f>IF(AND(HOUR(B6688)&gt;=6,HOUR(B6688)&lt;18),"Day Shift","Night Shift")</f>
        <v/>
      </c>
      <c r="F6688" s="6">
        <f>INT(B6688)</f>
        <v/>
      </c>
      <c r="G6688" s="6">
        <f>INT(C6688)</f>
        <v/>
      </c>
    </row>
    <row r="6689">
      <c r="A6689" s="7" t="inlineStr">
        <is>
          <t>EXD100</t>
        </is>
      </c>
      <c r="B6689" s="8" t="n">
        <v>46129.75</v>
      </c>
      <c r="C6689" s="8" t="n">
        <v>46130.05458333333</v>
      </c>
      <c r="D6689" s="9">
        <f>(C6689-B6689)*24</f>
        <v/>
      </c>
      <c r="E6689" s="10">
        <f>IF(AND(HOUR(B6689)&gt;=6,HOUR(B6689)&lt;18),"Day Shift","Night Shift")</f>
        <v/>
      </c>
      <c r="F6689" s="11">
        <f>INT(B6689)</f>
        <v/>
      </c>
      <c r="G6689" s="11">
        <f>INT(C6689)</f>
        <v/>
      </c>
    </row>
    <row r="6690">
      <c r="A6690" s="7" t="inlineStr">
        <is>
          <t>EDD175;EDD1932;EDD2134;EDD2541;EDD812</t>
        </is>
      </c>
      <c r="B6690" s="8" t="n">
        <v>46129.15231481481</v>
      </c>
      <c r="C6690" s="8" t="n">
        <v>46129.25</v>
      </c>
      <c r="D6690" s="9">
        <f>(C6690-B6690)*24</f>
        <v/>
      </c>
      <c r="E6690" s="10">
        <f>IF(AND(HOUR(B6690)&gt;=6,HOUR(B6690)&lt;18),"Day Shift","Night Shift")</f>
        <v/>
      </c>
      <c r="F6690" s="11">
        <f>INT(B6690)</f>
        <v/>
      </c>
      <c r="G6690" s="11">
        <f>INT(C6690)</f>
        <v/>
      </c>
    </row>
    <row r="6691">
      <c r="A6691" s="2" t="inlineStr">
        <is>
          <t>EDD175;EDD1932;EDD2134;EDD2541;EDD812</t>
        </is>
      </c>
      <c r="B6691" s="3" t="n">
        <v>46129.25</v>
      </c>
      <c r="C6691" s="3" t="n">
        <v>46129.32108796296</v>
      </c>
      <c r="D6691" s="4">
        <f>(C6691-B6691)*24</f>
        <v/>
      </c>
      <c r="E6691" s="5">
        <f>IF(AND(HOUR(B6691)&gt;=6,HOUR(B6691)&lt;18),"Day Shift","Night Shift")</f>
        <v/>
      </c>
      <c r="F6691" s="6">
        <f>INT(B6691)</f>
        <v/>
      </c>
      <c r="G6691" s="6">
        <f>INT(C6691)</f>
        <v/>
      </c>
    </row>
    <row r="6692">
      <c r="A6692" s="7" t="inlineStr">
        <is>
          <t>EXD101</t>
        </is>
      </c>
      <c r="B6692" s="8" t="n">
        <v>46129.15635416667</v>
      </c>
      <c r="C6692" s="8" t="n">
        <v>46129.25</v>
      </c>
      <c r="D6692" s="9">
        <f>(C6692-B6692)*24</f>
        <v/>
      </c>
      <c r="E6692" s="10">
        <f>IF(AND(HOUR(B6692)&gt;=6,HOUR(B6692)&lt;18),"Day Shift","Night Shift")</f>
        <v/>
      </c>
      <c r="F6692" s="11">
        <f>INT(B6692)</f>
        <v/>
      </c>
      <c r="G6692" s="11">
        <f>INT(C6692)</f>
        <v/>
      </c>
    </row>
    <row r="6693">
      <c r="A6693" s="2" t="inlineStr">
        <is>
          <t>EXD101</t>
        </is>
      </c>
      <c r="B6693" s="3" t="n">
        <v>46129.25</v>
      </c>
      <c r="C6693" s="3" t="n">
        <v>46129.75</v>
      </c>
      <c r="D6693" s="4">
        <f>(C6693-B6693)*24</f>
        <v/>
      </c>
      <c r="E6693" s="5">
        <f>IF(AND(HOUR(B6693)&gt;=6,HOUR(B6693)&lt;18),"Day Shift","Night Shift")</f>
        <v/>
      </c>
      <c r="F6693" s="6">
        <f>INT(B6693)</f>
        <v/>
      </c>
      <c r="G6693" s="6">
        <f>INT(C6693)</f>
        <v/>
      </c>
    </row>
    <row r="6694">
      <c r="A6694" s="7" t="inlineStr">
        <is>
          <t>EXD101</t>
        </is>
      </c>
      <c r="B6694" s="8" t="n">
        <v>46129.75</v>
      </c>
      <c r="C6694" s="8" t="n">
        <v>46129.77221064815</v>
      </c>
      <c r="D6694" s="9">
        <f>(C6694-B6694)*24</f>
        <v/>
      </c>
      <c r="E6694" s="10">
        <f>IF(AND(HOUR(B6694)&gt;=6,HOUR(B6694)&lt;18),"Day Shift","Night Shift")</f>
        <v/>
      </c>
      <c r="F6694" s="11">
        <f>INT(B6694)</f>
        <v/>
      </c>
      <c r="G6694" s="11">
        <f>INT(C6694)</f>
        <v/>
      </c>
    </row>
    <row r="6695">
      <c r="A6695" s="7" t="inlineStr">
        <is>
          <t>EXD51</t>
        </is>
      </c>
      <c r="B6695" s="8" t="n">
        <v>46129.21197916667</v>
      </c>
      <c r="C6695" s="8" t="n">
        <v>46129.25</v>
      </c>
      <c r="D6695" s="9">
        <f>(C6695-B6695)*24</f>
        <v/>
      </c>
      <c r="E6695" s="10">
        <f>IF(AND(HOUR(B6695)&gt;=6,HOUR(B6695)&lt;18),"Day Shift","Night Shift")</f>
        <v/>
      </c>
      <c r="F6695" s="11">
        <f>INT(B6695)</f>
        <v/>
      </c>
      <c r="G6695" s="11">
        <f>INT(C6695)</f>
        <v/>
      </c>
    </row>
    <row r="6696">
      <c r="A6696" s="2" t="inlineStr">
        <is>
          <t>EXD51</t>
        </is>
      </c>
      <c r="B6696" s="3" t="n">
        <v>46129.25</v>
      </c>
      <c r="C6696" s="3" t="n">
        <v>46129.59520833333</v>
      </c>
      <c r="D6696" s="4">
        <f>(C6696-B6696)*24</f>
        <v/>
      </c>
      <c r="E6696" s="5">
        <f>IF(AND(HOUR(B6696)&gt;=6,HOUR(B6696)&lt;18),"Day Shift","Night Shift")</f>
        <v/>
      </c>
      <c r="F6696" s="6">
        <f>INT(B6696)</f>
        <v/>
      </c>
      <c r="G6696" s="6">
        <f>INT(C6696)</f>
        <v/>
      </c>
    </row>
    <row r="6697">
      <c r="A6697" s="7" t="inlineStr">
        <is>
          <t>Sprint 1</t>
        </is>
      </c>
      <c r="B6697" s="8" t="n">
        <v>46129.21940972222</v>
      </c>
      <c r="C6697" s="8" t="n">
        <v>46129.25</v>
      </c>
      <c r="D6697" s="9">
        <f>(C6697-B6697)*24</f>
        <v/>
      </c>
      <c r="E6697" s="10">
        <f>IF(AND(HOUR(B6697)&gt;=6,HOUR(B6697)&lt;18),"Day Shift","Night Shift")</f>
        <v/>
      </c>
      <c r="F6697" s="11">
        <f>INT(B6697)</f>
        <v/>
      </c>
      <c r="G6697" s="11">
        <f>INT(C6697)</f>
        <v/>
      </c>
    </row>
    <row r="6698">
      <c r="A6698" s="2" t="inlineStr">
        <is>
          <t>Sprint 1</t>
        </is>
      </c>
      <c r="B6698" s="3" t="n">
        <v>46129.25</v>
      </c>
      <c r="C6698" s="3" t="n">
        <v>46129.50103009259</v>
      </c>
      <c r="D6698" s="4">
        <f>(C6698-B6698)*24</f>
        <v/>
      </c>
      <c r="E6698" s="5">
        <f>IF(AND(HOUR(B6698)&gt;=6,HOUR(B6698)&lt;18),"Day Shift","Night Shift")</f>
        <v/>
      </c>
      <c r="F6698" s="6">
        <f>INT(B6698)</f>
        <v/>
      </c>
      <c r="G6698" s="6">
        <f>INT(C6698)</f>
        <v/>
      </c>
    </row>
    <row r="6699">
      <c r="A6699" s="2" t="inlineStr">
        <is>
          <t>DRE12</t>
        </is>
      </c>
      <c r="B6699" s="3" t="n">
        <v>46129.25258101852</v>
      </c>
      <c r="C6699" s="3" t="n">
        <v>46129.75</v>
      </c>
      <c r="D6699" s="4">
        <f>(C6699-B6699)*24</f>
        <v/>
      </c>
      <c r="E6699" s="5">
        <f>IF(AND(HOUR(B6699)&gt;=6,HOUR(B6699)&lt;18),"Day Shift","Night Shift")</f>
        <v/>
      </c>
      <c r="F6699" s="6">
        <f>INT(B6699)</f>
        <v/>
      </c>
      <c r="G6699" s="6">
        <f>INT(C6699)</f>
        <v/>
      </c>
    </row>
    <row r="6700">
      <c r="A6700" s="7" t="inlineStr">
        <is>
          <t>DRE12</t>
        </is>
      </c>
      <c r="B6700" s="8" t="n">
        <v>46129.75</v>
      </c>
      <c r="C6700" s="8" t="n">
        <v>46130.25</v>
      </c>
      <c r="D6700" s="9">
        <f>(C6700-B6700)*24</f>
        <v/>
      </c>
      <c r="E6700" s="10">
        <f>IF(AND(HOUR(B6700)&gt;=6,HOUR(B6700)&lt;18),"Day Shift","Night Shift")</f>
        <v/>
      </c>
      <c r="F6700" s="11">
        <f>INT(B6700)</f>
        <v/>
      </c>
      <c r="G6700" s="11">
        <f>INT(C6700)</f>
        <v/>
      </c>
    </row>
    <row r="6701">
      <c r="A6701" s="2" t="inlineStr">
        <is>
          <t>DRE12</t>
        </is>
      </c>
      <c r="B6701" s="3" t="n">
        <v>46130.25</v>
      </c>
      <c r="C6701" s="3" t="n">
        <v>46130.75</v>
      </c>
      <c r="D6701" s="4">
        <f>(C6701-B6701)*24</f>
        <v/>
      </c>
      <c r="E6701" s="5">
        <f>IF(AND(HOUR(B6701)&gt;=6,HOUR(B6701)&lt;18),"Day Shift","Night Shift")</f>
        <v/>
      </c>
      <c r="F6701" s="6">
        <f>INT(B6701)</f>
        <v/>
      </c>
      <c r="G6701" s="6">
        <f>INT(C6701)</f>
        <v/>
      </c>
    </row>
    <row r="6702">
      <c r="A6702" s="7" t="inlineStr">
        <is>
          <t>DRE12</t>
        </is>
      </c>
      <c r="B6702" s="8" t="n">
        <v>46130.75</v>
      </c>
      <c r="C6702" s="8" t="n">
        <v>46131.05111111111</v>
      </c>
      <c r="D6702" s="9">
        <f>(C6702-B6702)*24</f>
        <v/>
      </c>
      <c r="E6702" s="10">
        <f>IF(AND(HOUR(B6702)&gt;=6,HOUR(B6702)&lt;18),"Day Shift","Night Shift")</f>
        <v/>
      </c>
      <c r="F6702" s="11">
        <f>INT(B6702)</f>
        <v/>
      </c>
      <c r="G6702" s="11">
        <f>INT(C6702)</f>
        <v/>
      </c>
    </row>
    <row r="6703">
      <c r="A6703" s="2" t="inlineStr">
        <is>
          <t>EDD175;EDD1932;EDD2134;EDD2541</t>
        </is>
      </c>
      <c r="B6703" s="3" t="n">
        <v>46129.32108796296</v>
      </c>
      <c r="C6703" s="3" t="n">
        <v>46129.46912037037</v>
      </c>
      <c r="D6703" s="4">
        <f>(C6703-B6703)*24</f>
        <v/>
      </c>
      <c r="E6703" s="5">
        <f>IF(AND(HOUR(B6703)&gt;=6,HOUR(B6703)&lt;18),"Day Shift","Night Shift")</f>
        <v/>
      </c>
      <c r="F6703" s="6">
        <f>INT(B6703)</f>
        <v/>
      </c>
      <c r="G6703" s="6">
        <f>INT(C6703)</f>
        <v/>
      </c>
    </row>
    <row r="6704">
      <c r="A6704" s="2" t="inlineStr">
        <is>
          <t>Stag Drill</t>
        </is>
      </c>
      <c r="B6704" s="3" t="n">
        <v>46129.35884259259</v>
      </c>
      <c r="C6704" s="3" t="n">
        <v>46129.75</v>
      </c>
      <c r="D6704" s="4">
        <f>(C6704-B6704)*24</f>
        <v/>
      </c>
      <c r="E6704" s="5">
        <f>IF(AND(HOUR(B6704)&gt;=6,HOUR(B6704)&lt;18),"Day Shift","Night Shift")</f>
        <v/>
      </c>
      <c r="F6704" s="6">
        <f>INT(B6704)</f>
        <v/>
      </c>
      <c r="G6704" s="6">
        <f>INT(C6704)</f>
        <v/>
      </c>
    </row>
    <row r="6705">
      <c r="A6705" s="7" t="inlineStr">
        <is>
          <t>Stag Drill</t>
        </is>
      </c>
      <c r="B6705" s="8" t="n">
        <v>46129.75</v>
      </c>
      <c r="C6705" s="8" t="n">
        <v>46129.97795138889</v>
      </c>
      <c r="D6705" s="9">
        <f>(C6705-B6705)*24</f>
        <v/>
      </c>
      <c r="E6705" s="10">
        <f>IF(AND(HOUR(B6705)&gt;=6,HOUR(B6705)&lt;18),"Day Shift","Night Shift")</f>
        <v/>
      </c>
      <c r="F6705" s="11">
        <f>INT(B6705)</f>
        <v/>
      </c>
      <c r="G6705" s="11">
        <f>INT(C6705)</f>
        <v/>
      </c>
    </row>
    <row r="6706">
      <c r="A6706" s="2" t="inlineStr">
        <is>
          <t>EDD175;EDD1932;EDD2134;EDD2541;EDD812</t>
        </is>
      </c>
      <c r="B6706" s="3" t="n">
        <v>46129.46912037037</v>
      </c>
      <c r="C6706" s="3" t="n">
        <v>46129.52564814815</v>
      </c>
      <c r="D6706" s="4">
        <f>(C6706-B6706)*24</f>
        <v/>
      </c>
      <c r="E6706" s="5">
        <f>IF(AND(HOUR(B6706)&gt;=6,HOUR(B6706)&lt;18),"Day Shift","Night Shift")</f>
        <v/>
      </c>
      <c r="F6706" s="6">
        <f>INT(B6706)</f>
        <v/>
      </c>
      <c r="G6706" s="6">
        <f>INT(C6706)</f>
        <v/>
      </c>
    </row>
    <row r="6707">
      <c r="A6707" s="2" t="inlineStr">
        <is>
          <t>EDD175;EDD1932;EDD2134;EDD2541;EDD812</t>
        </is>
      </c>
      <c r="B6707" s="3" t="n">
        <v>46129.52818287037</v>
      </c>
      <c r="C6707" s="3" t="n">
        <v>46129.67991898148</v>
      </c>
      <c r="D6707" s="4">
        <f>(C6707-B6707)*24</f>
        <v/>
      </c>
      <c r="E6707" s="5">
        <f>IF(AND(HOUR(B6707)&gt;=6,HOUR(B6707)&lt;18),"Day Shift","Night Shift")</f>
        <v/>
      </c>
      <c r="F6707" s="6">
        <f>INT(B6707)</f>
        <v/>
      </c>
      <c r="G6707" s="6">
        <f>INT(C6707)</f>
        <v/>
      </c>
    </row>
    <row r="6708">
      <c r="A6708" s="2" t="inlineStr">
        <is>
          <t>EXD98</t>
        </is>
      </c>
      <c r="B6708" s="3" t="n">
        <v>46129.54268518519</v>
      </c>
      <c r="C6708" s="3" t="n">
        <v>46129.75</v>
      </c>
      <c r="D6708" s="4">
        <f>(C6708-B6708)*24</f>
        <v/>
      </c>
      <c r="E6708" s="5">
        <f>IF(AND(HOUR(B6708)&gt;=6,HOUR(B6708)&lt;18),"Day Shift","Night Shift")</f>
        <v/>
      </c>
      <c r="F6708" s="6">
        <f>INT(B6708)</f>
        <v/>
      </c>
      <c r="G6708" s="6">
        <f>INT(C6708)</f>
        <v/>
      </c>
    </row>
    <row r="6709">
      <c r="A6709" s="7" t="inlineStr">
        <is>
          <t>EXD98</t>
        </is>
      </c>
      <c r="B6709" s="8" t="n">
        <v>46129.75</v>
      </c>
      <c r="C6709" s="8" t="n">
        <v>46130.20473379629</v>
      </c>
      <c r="D6709" s="9">
        <f>(C6709-B6709)*24</f>
        <v/>
      </c>
      <c r="E6709" s="10">
        <f>IF(AND(HOUR(B6709)&gt;=6,HOUR(B6709)&lt;18),"Day Shift","Night Shift")</f>
        <v/>
      </c>
      <c r="F6709" s="11">
        <f>INT(B6709)</f>
        <v/>
      </c>
      <c r="G6709" s="11">
        <f>INT(C6709)</f>
        <v/>
      </c>
    </row>
    <row r="6710">
      <c r="A6710" s="2" t="inlineStr">
        <is>
          <t>Sprint 1</t>
        </is>
      </c>
      <c r="B6710" s="3" t="n">
        <v>46129.57171296296</v>
      </c>
      <c r="C6710" s="3" t="n">
        <v>46129.75</v>
      </c>
      <c r="D6710" s="4">
        <f>(C6710-B6710)*24</f>
        <v/>
      </c>
      <c r="E6710" s="5">
        <f>IF(AND(HOUR(B6710)&gt;=6,HOUR(B6710)&lt;18),"Day Shift","Night Shift")</f>
        <v/>
      </c>
      <c r="F6710" s="6">
        <f>INT(B6710)</f>
        <v/>
      </c>
      <c r="G6710" s="6">
        <f>INT(C6710)</f>
        <v/>
      </c>
    </row>
    <row r="6711">
      <c r="A6711" s="7" t="inlineStr">
        <is>
          <t>Sprint 1</t>
        </is>
      </c>
      <c r="B6711" s="8" t="n">
        <v>46129.75</v>
      </c>
      <c r="C6711" s="8" t="n">
        <v>46130.08777777778</v>
      </c>
      <c r="D6711" s="9">
        <f>(C6711-B6711)*24</f>
        <v/>
      </c>
      <c r="E6711" s="10">
        <f>IF(AND(HOUR(B6711)&gt;=6,HOUR(B6711)&lt;18),"Day Shift","Night Shift")</f>
        <v/>
      </c>
      <c r="F6711" s="11">
        <f>INT(B6711)</f>
        <v/>
      </c>
      <c r="G6711" s="11">
        <f>INT(C6711)</f>
        <v/>
      </c>
    </row>
    <row r="6712">
      <c r="A6712" s="2" t="inlineStr">
        <is>
          <t>EXD51</t>
        </is>
      </c>
      <c r="B6712" s="3" t="n">
        <v>46129.59520833333</v>
      </c>
      <c r="C6712" s="3" t="n">
        <v>46129.75</v>
      </c>
      <c r="D6712" s="4">
        <f>(C6712-B6712)*24</f>
        <v/>
      </c>
      <c r="E6712" s="5">
        <f>IF(AND(HOUR(B6712)&gt;=6,HOUR(B6712)&lt;18),"Day Shift","Night Shift")</f>
        <v/>
      </c>
      <c r="F6712" s="6">
        <f>INT(B6712)</f>
        <v/>
      </c>
      <c r="G6712" s="6">
        <f>INT(C6712)</f>
        <v/>
      </c>
    </row>
    <row r="6713">
      <c r="A6713" s="7" t="inlineStr">
        <is>
          <t>EXD51</t>
        </is>
      </c>
      <c r="B6713" s="8" t="n">
        <v>46129.75</v>
      </c>
      <c r="C6713" s="8" t="n">
        <v>46129.97630787037</v>
      </c>
      <c r="D6713" s="9">
        <f>(C6713-B6713)*24</f>
        <v/>
      </c>
      <c r="E6713" s="10">
        <f>IF(AND(HOUR(B6713)&gt;=6,HOUR(B6713)&lt;18),"Day Shift","Night Shift")</f>
        <v/>
      </c>
      <c r="F6713" s="11">
        <f>INT(B6713)</f>
        <v/>
      </c>
      <c r="G6713" s="11">
        <f>INT(C6713)</f>
        <v/>
      </c>
    </row>
    <row r="6714">
      <c r="A6714" s="2" t="inlineStr">
        <is>
          <t>EDD175;EDD1932;EDD2134;EDD2541;EDD812</t>
        </is>
      </c>
      <c r="B6714" s="3" t="n">
        <v>46129.67991898148</v>
      </c>
      <c r="C6714" s="3" t="n">
        <v>46129.75</v>
      </c>
      <c r="D6714" s="4">
        <f>(C6714-B6714)*24</f>
        <v/>
      </c>
      <c r="E6714" s="5">
        <f>IF(AND(HOUR(B6714)&gt;=6,HOUR(B6714)&lt;18),"Day Shift","Night Shift")</f>
        <v/>
      </c>
      <c r="F6714" s="6">
        <f>INT(B6714)</f>
        <v/>
      </c>
      <c r="G6714" s="6">
        <f>INT(C6714)</f>
        <v/>
      </c>
    </row>
    <row r="6715">
      <c r="A6715" s="7" t="inlineStr">
        <is>
          <t>EDD175;EDD1932;EDD2134;EDD2541;EDD812</t>
        </is>
      </c>
      <c r="B6715" s="8" t="n">
        <v>46129.75</v>
      </c>
      <c r="C6715" s="8" t="n">
        <v>46129.84075231481</v>
      </c>
      <c r="D6715" s="9">
        <f>(C6715-B6715)*24</f>
        <v/>
      </c>
      <c r="E6715" s="10">
        <f>IF(AND(HOUR(B6715)&gt;=6,HOUR(B6715)&lt;18),"Day Shift","Night Shift")</f>
        <v/>
      </c>
      <c r="F6715" s="11">
        <f>INT(B6715)</f>
        <v/>
      </c>
      <c r="G6715" s="11">
        <f>INT(C6715)</f>
        <v/>
      </c>
    </row>
    <row r="6716">
      <c r="A6716" s="2" t="inlineStr">
        <is>
          <t>EXD407</t>
        </is>
      </c>
      <c r="B6716" s="3" t="n">
        <v>46129.73652777778</v>
      </c>
      <c r="C6716" s="3" t="n">
        <v>46129.75</v>
      </c>
      <c r="D6716" s="4">
        <f>(C6716-B6716)*24</f>
        <v/>
      </c>
      <c r="E6716" s="5">
        <f>IF(AND(HOUR(B6716)&gt;=6,HOUR(B6716)&lt;18),"Day Shift","Night Shift")</f>
        <v/>
      </c>
      <c r="F6716" s="6">
        <f>INT(B6716)</f>
        <v/>
      </c>
      <c r="G6716" s="6">
        <f>INT(C6716)</f>
        <v/>
      </c>
    </row>
    <row r="6717">
      <c r="A6717" s="7" t="inlineStr">
        <is>
          <t>EXD407</t>
        </is>
      </c>
      <c r="B6717" s="8" t="n">
        <v>46129.75</v>
      </c>
      <c r="C6717" s="8" t="n">
        <v>46130.25</v>
      </c>
      <c r="D6717" s="9">
        <f>(C6717-B6717)*24</f>
        <v/>
      </c>
      <c r="E6717" s="10">
        <f>IF(AND(HOUR(B6717)&gt;=6,HOUR(B6717)&lt;18),"Day Shift","Night Shift")</f>
        <v/>
      </c>
      <c r="F6717" s="11">
        <f>INT(B6717)</f>
        <v/>
      </c>
      <c r="G6717" s="11">
        <f>INT(C6717)</f>
        <v/>
      </c>
    </row>
    <row r="6718">
      <c r="A6718" s="2" t="inlineStr">
        <is>
          <t>EXD407</t>
        </is>
      </c>
      <c r="B6718" s="3" t="n">
        <v>46130.25</v>
      </c>
      <c r="C6718" s="3" t="n">
        <v>46130.75</v>
      </c>
      <c r="D6718" s="4">
        <f>(C6718-B6718)*24</f>
        <v/>
      </c>
      <c r="E6718" s="5">
        <f>IF(AND(HOUR(B6718)&gt;=6,HOUR(B6718)&lt;18),"Day Shift","Night Shift")</f>
        <v/>
      </c>
      <c r="F6718" s="6">
        <f>INT(B6718)</f>
        <v/>
      </c>
      <c r="G6718" s="6">
        <f>INT(C6718)</f>
        <v/>
      </c>
    </row>
    <row r="6719">
      <c r="A6719" s="7" t="inlineStr">
        <is>
          <t>EXD407</t>
        </is>
      </c>
      <c r="B6719" s="8" t="n">
        <v>46130.75</v>
      </c>
      <c r="C6719" s="8" t="n">
        <v>46131.25</v>
      </c>
      <c r="D6719" s="9">
        <f>(C6719-B6719)*24</f>
        <v/>
      </c>
      <c r="E6719" s="10">
        <f>IF(AND(HOUR(B6719)&gt;=6,HOUR(B6719)&lt;18),"Day Shift","Night Shift")</f>
        <v/>
      </c>
      <c r="F6719" s="11">
        <f>INT(B6719)</f>
        <v/>
      </c>
      <c r="G6719" s="11">
        <f>INT(C6719)</f>
        <v/>
      </c>
    </row>
    <row r="6720">
      <c r="A6720" s="2" t="inlineStr">
        <is>
          <t>EXD407</t>
        </is>
      </c>
      <c r="B6720" s="3" t="n">
        <v>46131.25</v>
      </c>
      <c r="C6720" s="3" t="n">
        <v>46131.46068287037</v>
      </c>
      <c r="D6720" s="4">
        <f>(C6720-B6720)*24</f>
        <v/>
      </c>
      <c r="E6720" s="5">
        <f>IF(AND(HOUR(B6720)&gt;=6,HOUR(B6720)&lt;18),"Day Shift","Night Shift")</f>
        <v/>
      </c>
      <c r="F6720" s="6">
        <f>INT(B6720)</f>
        <v/>
      </c>
      <c r="G6720" s="6">
        <f>INT(C6720)</f>
        <v/>
      </c>
    </row>
    <row r="6721">
      <c r="A6721" s="7" t="inlineStr">
        <is>
          <t>EXD101</t>
        </is>
      </c>
      <c r="B6721" s="8" t="n">
        <v>46129.77221064815</v>
      </c>
      <c r="C6721" s="8" t="n">
        <v>46130.25</v>
      </c>
      <c r="D6721" s="9">
        <f>(C6721-B6721)*24</f>
        <v/>
      </c>
      <c r="E6721" s="10">
        <f>IF(AND(HOUR(B6721)&gt;=6,HOUR(B6721)&lt;18),"Day Shift","Night Shift")</f>
        <v/>
      </c>
      <c r="F6721" s="11">
        <f>INT(B6721)</f>
        <v/>
      </c>
      <c r="G6721" s="11">
        <f>INT(C6721)</f>
        <v/>
      </c>
    </row>
    <row r="6722">
      <c r="A6722" s="2" t="inlineStr">
        <is>
          <t>EXD101</t>
        </is>
      </c>
      <c r="B6722" s="3" t="n">
        <v>46130.25</v>
      </c>
      <c r="C6722" s="3" t="n">
        <v>46130.75</v>
      </c>
      <c r="D6722" s="4">
        <f>(C6722-B6722)*24</f>
        <v/>
      </c>
      <c r="E6722" s="5">
        <f>IF(AND(HOUR(B6722)&gt;=6,HOUR(B6722)&lt;18),"Day Shift","Night Shift")</f>
        <v/>
      </c>
      <c r="F6722" s="6">
        <f>INT(B6722)</f>
        <v/>
      </c>
      <c r="G6722" s="6">
        <f>INT(C6722)</f>
        <v/>
      </c>
    </row>
    <row r="6723">
      <c r="A6723" s="7" t="inlineStr">
        <is>
          <t>EXD101</t>
        </is>
      </c>
      <c r="B6723" s="8" t="n">
        <v>46130.75</v>
      </c>
      <c r="C6723" s="8" t="n">
        <v>46131.25</v>
      </c>
      <c r="D6723" s="9">
        <f>(C6723-B6723)*24</f>
        <v/>
      </c>
      <c r="E6723" s="10">
        <f>IF(AND(HOUR(B6723)&gt;=6,HOUR(B6723)&lt;18),"Day Shift","Night Shift")</f>
        <v/>
      </c>
      <c r="F6723" s="11">
        <f>INT(B6723)</f>
        <v/>
      </c>
      <c r="G6723" s="11">
        <f>INT(C6723)</f>
        <v/>
      </c>
    </row>
    <row r="6724">
      <c r="A6724" s="2" t="inlineStr">
        <is>
          <t>EXD101</t>
        </is>
      </c>
      <c r="B6724" s="3" t="n">
        <v>46131.25</v>
      </c>
      <c r="C6724" s="3" t="n">
        <v>46131.75</v>
      </c>
      <c r="D6724" s="4">
        <f>(C6724-B6724)*24</f>
        <v/>
      </c>
      <c r="E6724" s="5">
        <f>IF(AND(HOUR(B6724)&gt;=6,HOUR(B6724)&lt;18),"Day Shift","Night Shift")</f>
        <v/>
      </c>
      <c r="F6724" s="6">
        <f>INT(B6724)</f>
        <v/>
      </c>
      <c r="G6724" s="6">
        <f>INT(C6724)</f>
        <v/>
      </c>
    </row>
    <row r="6725">
      <c r="A6725" s="7" t="inlineStr">
        <is>
          <t>EXD101</t>
        </is>
      </c>
      <c r="B6725" s="8" t="n">
        <v>46131.75</v>
      </c>
      <c r="C6725" s="8" t="n">
        <v>46132.06626157407</v>
      </c>
      <c r="D6725" s="9">
        <f>(C6725-B6725)*24</f>
        <v/>
      </c>
      <c r="E6725" s="10">
        <f>IF(AND(HOUR(B6725)&gt;=6,HOUR(B6725)&lt;18),"Day Shift","Night Shift")</f>
        <v/>
      </c>
      <c r="F6725" s="11">
        <f>INT(B6725)</f>
        <v/>
      </c>
      <c r="G6725" s="11">
        <f>INT(C6725)</f>
        <v/>
      </c>
    </row>
    <row r="6726">
      <c r="A6726" s="7" t="inlineStr">
        <is>
          <t>EDD175;EDD1932;EDD2134;EDD2541;EDD812</t>
        </is>
      </c>
      <c r="B6726" s="8" t="n">
        <v>46129.84075231481</v>
      </c>
      <c r="C6726" s="8" t="n">
        <v>46129.98618055556</v>
      </c>
      <c r="D6726" s="9">
        <f>(C6726-B6726)*24</f>
        <v/>
      </c>
      <c r="E6726" s="10">
        <f>IF(AND(HOUR(B6726)&gt;=6,HOUR(B6726)&lt;18),"Day Shift","Night Shift")</f>
        <v/>
      </c>
      <c r="F6726" s="11">
        <f>INT(B6726)</f>
        <v/>
      </c>
      <c r="G6726" s="11">
        <f>INT(C6726)</f>
        <v/>
      </c>
    </row>
    <row r="6727">
      <c r="A6727" s="7" t="inlineStr">
        <is>
          <t>EXD408</t>
        </is>
      </c>
      <c r="B6727" s="8" t="n">
        <v>46129.89288194444</v>
      </c>
      <c r="C6727" s="8" t="n">
        <v>46130.25</v>
      </c>
      <c r="D6727" s="9">
        <f>(C6727-B6727)*24</f>
        <v/>
      </c>
      <c r="E6727" s="10">
        <f>IF(AND(HOUR(B6727)&gt;=6,HOUR(B6727)&lt;18),"Day Shift","Night Shift")</f>
        <v/>
      </c>
      <c r="F6727" s="11">
        <f>INT(B6727)</f>
        <v/>
      </c>
      <c r="G6727" s="11">
        <f>INT(C6727)</f>
        <v/>
      </c>
    </row>
    <row r="6728">
      <c r="A6728" s="2" t="inlineStr">
        <is>
          <t>EXD408</t>
        </is>
      </c>
      <c r="B6728" s="3" t="n">
        <v>46130.25</v>
      </c>
      <c r="C6728" s="3" t="n">
        <v>46130.69733796296</v>
      </c>
      <c r="D6728" s="4">
        <f>(C6728-B6728)*24</f>
        <v/>
      </c>
      <c r="E6728" s="5">
        <f>IF(AND(HOUR(B6728)&gt;=6,HOUR(B6728)&lt;18),"Day Shift","Night Shift")</f>
        <v/>
      </c>
      <c r="F6728" s="6">
        <f>INT(B6728)</f>
        <v/>
      </c>
      <c r="G6728" s="6">
        <f>INT(C6728)</f>
        <v/>
      </c>
    </row>
    <row r="6729">
      <c r="A6729" s="7" t="inlineStr">
        <is>
          <t>EXD409</t>
        </is>
      </c>
      <c r="B6729" s="8" t="n">
        <v>46129.93261574074</v>
      </c>
      <c r="C6729" s="8" t="n">
        <v>46130.25</v>
      </c>
      <c r="D6729" s="9">
        <f>(C6729-B6729)*24</f>
        <v/>
      </c>
      <c r="E6729" s="10">
        <f>IF(AND(HOUR(B6729)&gt;=6,HOUR(B6729)&lt;18),"Day Shift","Night Shift")</f>
        <v/>
      </c>
      <c r="F6729" s="11">
        <f>INT(B6729)</f>
        <v/>
      </c>
      <c r="G6729" s="11">
        <f>INT(C6729)</f>
        <v/>
      </c>
    </row>
    <row r="6730">
      <c r="A6730" s="2" t="inlineStr">
        <is>
          <t>EXD409</t>
        </is>
      </c>
      <c r="B6730" s="3" t="n">
        <v>46130.25</v>
      </c>
      <c r="C6730" s="3" t="n">
        <v>46130.75</v>
      </c>
      <c r="D6730" s="4">
        <f>(C6730-B6730)*24</f>
        <v/>
      </c>
      <c r="E6730" s="5">
        <f>IF(AND(HOUR(B6730)&gt;=6,HOUR(B6730)&lt;18),"Day Shift","Night Shift")</f>
        <v/>
      </c>
      <c r="F6730" s="6">
        <f>INT(B6730)</f>
        <v/>
      </c>
      <c r="G6730" s="6">
        <f>INT(C6730)</f>
        <v/>
      </c>
    </row>
    <row r="6731">
      <c r="A6731" s="7" t="inlineStr">
        <is>
          <t>EXD409</t>
        </is>
      </c>
      <c r="B6731" s="8" t="n">
        <v>46130.75</v>
      </c>
      <c r="C6731" s="8" t="n">
        <v>46131.25</v>
      </c>
      <c r="D6731" s="9">
        <f>(C6731-B6731)*24</f>
        <v/>
      </c>
      <c r="E6731" s="10">
        <f>IF(AND(HOUR(B6731)&gt;=6,HOUR(B6731)&lt;18),"Day Shift","Night Shift")</f>
        <v/>
      </c>
      <c r="F6731" s="11">
        <f>INT(B6731)</f>
        <v/>
      </c>
      <c r="G6731" s="11">
        <f>INT(C6731)</f>
        <v/>
      </c>
    </row>
    <row r="6732">
      <c r="A6732" s="2" t="inlineStr">
        <is>
          <t>EXD409</t>
        </is>
      </c>
      <c r="B6732" s="3" t="n">
        <v>46131.25</v>
      </c>
      <c r="C6732" s="3" t="n">
        <v>46131.75</v>
      </c>
      <c r="D6732" s="4">
        <f>(C6732-B6732)*24</f>
        <v/>
      </c>
      <c r="E6732" s="5">
        <f>IF(AND(HOUR(B6732)&gt;=6,HOUR(B6732)&lt;18),"Day Shift","Night Shift")</f>
        <v/>
      </c>
      <c r="F6732" s="6">
        <f>INT(B6732)</f>
        <v/>
      </c>
      <c r="G6732" s="6">
        <f>INT(C6732)</f>
        <v/>
      </c>
    </row>
    <row r="6733">
      <c r="A6733" s="7" t="inlineStr">
        <is>
          <t>EXD409</t>
        </is>
      </c>
      <c r="B6733" s="8" t="n">
        <v>46131.75</v>
      </c>
      <c r="C6733" s="8" t="n">
        <v>46132.25</v>
      </c>
      <c r="D6733" s="9">
        <f>(C6733-B6733)*24</f>
        <v/>
      </c>
      <c r="E6733" s="10">
        <f>IF(AND(HOUR(B6733)&gt;=6,HOUR(B6733)&lt;18),"Day Shift","Night Shift")</f>
        <v/>
      </c>
      <c r="F6733" s="11">
        <f>INT(B6733)</f>
        <v/>
      </c>
      <c r="G6733" s="11">
        <f>INT(C6733)</f>
        <v/>
      </c>
    </row>
    <row r="6734">
      <c r="A6734" s="2" t="inlineStr">
        <is>
          <t>EXD409</t>
        </is>
      </c>
      <c r="B6734" s="3" t="n">
        <v>46132.25</v>
      </c>
      <c r="C6734" s="3" t="n">
        <v>46132.51474537037</v>
      </c>
      <c r="D6734" s="4">
        <f>(C6734-B6734)*24</f>
        <v/>
      </c>
      <c r="E6734" s="5">
        <f>IF(AND(HOUR(B6734)&gt;=6,HOUR(B6734)&lt;18),"Day Shift","Night Shift")</f>
        <v/>
      </c>
      <c r="F6734" s="6">
        <f>INT(B6734)</f>
        <v/>
      </c>
      <c r="G6734" s="6">
        <f>INT(C6734)</f>
        <v/>
      </c>
    </row>
    <row r="6735">
      <c r="A6735" s="7" t="inlineStr">
        <is>
          <t>EXD51</t>
        </is>
      </c>
      <c r="B6735" s="8" t="n">
        <v>46129.97642361111</v>
      </c>
      <c r="C6735" s="8" t="n">
        <v>46130.25</v>
      </c>
      <c r="D6735" s="9">
        <f>(C6735-B6735)*24</f>
        <v/>
      </c>
      <c r="E6735" s="10">
        <f>IF(AND(HOUR(B6735)&gt;=6,HOUR(B6735)&lt;18),"Day Shift","Night Shift")</f>
        <v/>
      </c>
      <c r="F6735" s="11">
        <f>INT(B6735)</f>
        <v/>
      </c>
      <c r="G6735" s="11">
        <f>INT(C6735)</f>
        <v/>
      </c>
    </row>
    <row r="6736">
      <c r="A6736" s="2" t="inlineStr">
        <is>
          <t>EXD51</t>
        </is>
      </c>
      <c r="B6736" s="3" t="n">
        <v>46130.25</v>
      </c>
      <c r="C6736" s="3" t="n">
        <v>46130.54446759259</v>
      </c>
      <c r="D6736" s="4">
        <f>(C6736-B6736)*24</f>
        <v/>
      </c>
      <c r="E6736" s="5">
        <f>IF(AND(HOUR(B6736)&gt;=6,HOUR(B6736)&lt;18),"Day Shift","Night Shift")</f>
        <v/>
      </c>
      <c r="F6736" s="6">
        <f>INT(B6736)</f>
        <v/>
      </c>
      <c r="G6736" s="6">
        <f>INT(C6736)</f>
        <v/>
      </c>
    </row>
    <row r="6737">
      <c r="A6737" s="7" t="inlineStr">
        <is>
          <t>Stag Drill</t>
        </is>
      </c>
      <c r="B6737" s="8" t="n">
        <v>46129.97795138889</v>
      </c>
      <c r="C6737" s="8" t="n">
        <v>46130.25</v>
      </c>
      <c r="D6737" s="9">
        <f>(C6737-B6737)*24</f>
        <v/>
      </c>
      <c r="E6737" s="10">
        <f>IF(AND(HOUR(B6737)&gt;=6,HOUR(B6737)&lt;18),"Day Shift","Night Shift")</f>
        <v/>
      </c>
      <c r="F6737" s="11">
        <f>INT(B6737)</f>
        <v/>
      </c>
      <c r="G6737" s="11">
        <f>INT(C6737)</f>
        <v/>
      </c>
    </row>
    <row r="6738">
      <c r="A6738" s="2" t="inlineStr">
        <is>
          <t>Stag Drill</t>
        </is>
      </c>
      <c r="B6738" s="3" t="n">
        <v>46130.25</v>
      </c>
      <c r="C6738" s="3" t="n">
        <v>46130.44548611111</v>
      </c>
      <c r="D6738" s="4">
        <f>(C6738-B6738)*24</f>
        <v/>
      </c>
      <c r="E6738" s="5">
        <f>IF(AND(HOUR(B6738)&gt;=6,HOUR(B6738)&lt;18),"Day Shift","Night Shift")</f>
        <v/>
      </c>
      <c r="F6738" s="6">
        <f>INT(B6738)</f>
        <v/>
      </c>
      <c r="G6738" s="6">
        <f>INT(C6738)</f>
        <v/>
      </c>
    </row>
    <row r="6739">
      <c r="A6739" s="7" t="inlineStr">
        <is>
          <t>EXD61</t>
        </is>
      </c>
      <c r="B6739" s="8" t="n">
        <v>46129.97886574074</v>
      </c>
      <c r="C6739" s="8" t="n">
        <v>46130.25</v>
      </c>
      <c r="D6739" s="9">
        <f>(C6739-B6739)*24</f>
        <v/>
      </c>
      <c r="E6739" s="10">
        <f>IF(AND(HOUR(B6739)&gt;=6,HOUR(B6739)&lt;18),"Day Shift","Night Shift")</f>
        <v/>
      </c>
      <c r="F6739" s="11">
        <f>INT(B6739)</f>
        <v/>
      </c>
      <c r="G6739" s="11">
        <f>INT(C6739)</f>
        <v/>
      </c>
    </row>
    <row r="6740">
      <c r="A6740" s="2" t="inlineStr">
        <is>
          <t>EXD61</t>
        </is>
      </c>
      <c r="B6740" s="3" t="n">
        <v>46130.25</v>
      </c>
      <c r="C6740" s="3" t="n">
        <v>46130.75</v>
      </c>
      <c r="D6740" s="4">
        <f>(C6740-B6740)*24</f>
        <v/>
      </c>
      <c r="E6740" s="5">
        <f>IF(AND(HOUR(B6740)&gt;=6,HOUR(B6740)&lt;18),"Day Shift","Night Shift")</f>
        <v/>
      </c>
      <c r="F6740" s="6">
        <f>INT(B6740)</f>
        <v/>
      </c>
      <c r="G6740" s="6">
        <f>INT(C6740)</f>
        <v/>
      </c>
    </row>
    <row r="6741">
      <c r="A6741" s="7" t="inlineStr">
        <is>
          <t>EXD61</t>
        </is>
      </c>
      <c r="B6741" s="8" t="n">
        <v>46130.75</v>
      </c>
      <c r="C6741" s="8" t="n">
        <v>46130.87334490741</v>
      </c>
      <c r="D6741" s="9">
        <f>(C6741-B6741)*24</f>
        <v/>
      </c>
      <c r="E6741" s="10">
        <f>IF(AND(HOUR(B6741)&gt;=6,HOUR(B6741)&lt;18),"Day Shift","Night Shift")</f>
        <v/>
      </c>
      <c r="F6741" s="11">
        <f>INT(B6741)</f>
        <v/>
      </c>
      <c r="G6741" s="11">
        <f>INT(C6741)</f>
        <v/>
      </c>
    </row>
    <row r="6742">
      <c r="A6742" s="7" t="inlineStr">
        <is>
          <t>EDD175;EDD1932;EDD2134;EDD2541;EDD812</t>
        </is>
      </c>
      <c r="B6742" s="8" t="n">
        <v>46129.98618055556</v>
      </c>
      <c r="C6742" s="8" t="n">
        <v>46130.10085648148</v>
      </c>
      <c r="D6742" s="9">
        <f>(C6742-B6742)*24</f>
        <v/>
      </c>
      <c r="E6742" s="10">
        <f>IF(AND(HOUR(B6742)&gt;=6,HOUR(B6742)&lt;18),"Day Shift","Night Shift")</f>
        <v/>
      </c>
      <c r="F6742" s="11">
        <f>INT(B6742)</f>
        <v/>
      </c>
      <c r="G6742" s="11">
        <f>INT(C6742)</f>
        <v/>
      </c>
    </row>
    <row r="6743">
      <c r="A6743" s="7" t="inlineStr">
        <is>
          <t>SHE36</t>
        </is>
      </c>
      <c r="B6743" s="8" t="n">
        <v>46130.04858796296</v>
      </c>
      <c r="C6743" s="8" t="n">
        <v>46130.25</v>
      </c>
      <c r="D6743" s="9">
        <f>(C6743-B6743)*24</f>
        <v/>
      </c>
      <c r="E6743" s="10">
        <f>IF(AND(HOUR(B6743)&gt;=6,HOUR(B6743)&lt;18),"Day Shift","Night Shift")</f>
        <v/>
      </c>
      <c r="F6743" s="11">
        <f>INT(B6743)</f>
        <v/>
      </c>
      <c r="G6743" s="11">
        <f>INT(C6743)</f>
        <v/>
      </c>
    </row>
    <row r="6744">
      <c r="A6744" s="2" t="inlineStr">
        <is>
          <t>SHE36</t>
        </is>
      </c>
      <c r="B6744" s="3" t="n">
        <v>46130.25</v>
      </c>
      <c r="C6744" s="3" t="n">
        <v>46130.75</v>
      </c>
      <c r="D6744" s="4">
        <f>(C6744-B6744)*24</f>
        <v/>
      </c>
      <c r="E6744" s="5">
        <f>IF(AND(HOUR(B6744)&gt;=6,HOUR(B6744)&lt;18),"Day Shift","Night Shift")</f>
        <v/>
      </c>
      <c r="F6744" s="6">
        <f>INT(B6744)</f>
        <v/>
      </c>
      <c r="G6744" s="6">
        <f>INT(C6744)</f>
        <v/>
      </c>
    </row>
    <row r="6745">
      <c r="A6745" s="7" t="inlineStr">
        <is>
          <t>SHE36</t>
        </is>
      </c>
      <c r="B6745" s="8" t="n">
        <v>46130.75</v>
      </c>
      <c r="C6745" s="8" t="n">
        <v>46131.25</v>
      </c>
      <c r="D6745" s="9">
        <f>(C6745-B6745)*24</f>
        <v/>
      </c>
      <c r="E6745" s="10">
        <f>IF(AND(HOUR(B6745)&gt;=6,HOUR(B6745)&lt;18),"Day Shift","Night Shift")</f>
        <v/>
      </c>
      <c r="F6745" s="11">
        <f>INT(B6745)</f>
        <v/>
      </c>
      <c r="G6745" s="11">
        <f>INT(C6745)</f>
        <v/>
      </c>
    </row>
    <row r="6746">
      <c r="A6746" s="2" t="inlineStr">
        <is>
          <t>SHE36</t>
        </is>
      </c>
      <c r="B6746" s="3" t="n">
        <v>46131.25</v>
      </c>
      <c r="C6746" s="3" t="n">
        <v>46131.31899305555</v>
      </c>
      <c r="D6746" s="4">
        <f>(C6746-B6746)*24</f>
        <v/>
      </c>
      <c r="E6746" s="5">
        <f>IF(AND(HOUR(B6746)&gt;=6,HOUR(B6746)&lt;18),"Day Shift","Night Shift")</f>
        <v/>
      </c>
      <c r="F6746" s="6">
        <f>INT(B6746)</f>
        <v/>
      </c>
      <c r="G6746" s="6">
        <f>INT(C6746)</f>
        <v/>
      </c>
    </row>
    <row r="6747">
      <c r="A6747" s="7" t="inlineStr">
        <is>
          <t>EXD100</t>
        </is>
      </c>
      <c r="B6747" s="8" t="n">
        <v>46130.05458333333</v>
      </c>
      <c r="C6747" s="8" t="n">
        <v>46130.25</v>
      </c>
      <c r="D6747" s="9">
        <f>(C6747-B6747)*24</f>
        <v/>
      </c>
      <c r="E6747" s="10">
        <f>IF(AND(HOUR(B6747)&gt;=6,HOUR(B6747)&lt;18),"Day Shift","Night Shift")</f>
        <v/>
      </c>
      <c r="F6747" s="11">
        <f>INT(B6747)</f>
        <v/>
      </c>
      <c r="G6747" s="11">
        <f>INT(C6747)</f>
        <v/>
      </c>
    </row>
    <row r="6748">
      <c r="A6748" s="2" t="inlineStr">
        <is>
          <t>EXD100</t>
        </is>
      </c>
      <c r="B6748" s="3" t="n">
        <v>46130.25</v>
      </c>
      <c r="C6748" s="3" t="n">
        <v>46130.75</v>
      </c>
      <c r="D6748" s="4">
        <f>(C6748-B6748)*24</f>
        <v/>
      </c>
      <c r="E6748" s="5">
        <f>IF(AND(HOUR(B6748)&gt;=6,HOUR(B6748)&lt;18),"Day Shift","Night Shift")</f>
        <v/>
      </c>
      <c r="F6748" s="6">
        <f>INT(B6748)</f>
        <v/>
      </c>
      <c r="G6748" s="6">
        <f>INT(C6748)</f>
        <v/>
      </c>
    </row>
    <row r="6749">
      <c r="A6749" s="7" t="inlineStr">
        <is>
          <t>EXD100</t>
        </is>
      </c>
      <c r="B6749" s="8" t="n">
        <v>46130.75</v>
      </c>
      <c r="C6749" s="8" t="n">
        <v>46130.99811342593</v>
      </c>
      <c r="D6749" s="9">
        <f>(C6749-B6749)*24</f>
        <v/>
      </c>
      <c r="E6749" s="10">
        <f>IF(AND(HOUR(B6749)&gt;=6,HOUR(B6749)&lt;18),"Day Shift","Night Shift")</f>
        <v/>
      </c>
      <c r="F6749" s="11">
        <f>INT(B6749)</f>
        <v/>
      </c>
      <c r="G6749" s="11">
        <f>INT(C6749)</f>
        <v/>
      </c>
    </row>
    <row r="6750">
      <c r="A6750" s="7" t="inlineStr">
        <is>
          <t>Sprint 1</t>
        </is>
      </c>
      <c r="B6750" s="8" t="n">
        <v>46130.08777777778</v>
      </c>
      <c r="C6750" s="8" t="n">
        <v>46130.25</v>
      </c>
      <c r="D6750" s="9">
        <f>(C6750-B6750)*24</f>
        <v/>
      </c>
      <c r="E6750" s="10">
        <f>IF(AND(HOUR(B6750)&gt;=6,HOUR(B6750)&lt;18),"Day Shift","Night Shift")</f>
        <v/>
      </c>
      <c r="F6750" s="11">
        <f>INT(B6750)</f>
        <v/>
      </c>
      <c r="G6750" s="11">
        <f>INT(C6750)</f>
        <v/>
      </c>
    </row>
    <row r="6751">
      <c r="A6751" s="2" t="inlineStr">
        <is>
          <t>Sprint 1</t>
        </is>
      </c>
      <c r="B6751" s="3" t="n">
        <v>46130.25</v>
      </c>
      <c r="C6751" s="3" t="n">
        <v>46130.71457175926</v>
      </c>
      <c r="D6751" s="4">
        <f>(C6751-B6751)*24</f>
        <v/>
      </c>
      <c r="E6751" s="5">
        <f>IF(AND(HOUR(B6751)&gt;=6,HOUR(B6751)&lt;18),"Day Shift","Night Shift")</f>
        <v/>
      </c>
      <c r="F6751" s="6">
        <f>INT(B6751)</f>
        <v/>
      </c>
      <c r="G6751" s="6">
        <f>INT(C6751)</f>
        <v/>
      </c>
    </row>
    <row r="6752">
      <c r="A6752" s="7" t="inlineStr">
        <is>
          <t>EDD175;EDD1932;EDD2134;EDD2541;EDD812</t>
        </is>
      </c>
      <c r="B6752" s="8" t="n">
        <v>46130.10085648148</v>
      </c>
      <c r="C6752" s="8" t="n">
        <v>46130.21127314815</v>
      </c>
      <c r="D6752" s="9">
        <f>(C6752-B6752)*24</f>
        <v/>
      </c>
      <c r="E6752" s="10">
        <f>IF(AND(HOUR(B6752)&gt;=6,HOUR(B6752)&lt;18),"Day Shift","Night Shift")</f>
        <v/>
      </c>
      <c r="F6752" s="11">
        <f>INT(B6752)</f>
        <v/>
      </c>
      <c r="G6752" s="11">
        <f>INT(C6752)</f>
        <v/>
      </c>
    </row>
    <row r="6753">
      <c r="A6753" s="7" t="inlineStr">
        <is>
          <t>EXD73</t>
        </is>
      </c>
      <c r="B6753" s="8" t="n">
        <v>46130.15392361111</v>
      </c>
      <c r="C6753" s="8" t="n">
        <v>46130.25</v>
      </c>
      <c r="D6753" s="9">
        <f>(C6753-B6753)*24</f>
        <v/>
      </c>
      <c r="E6753" s="10">
        <f>IF(AND(HOUR(B6753)&gt;=6,HOUR(B6753)&lt;18),"Day Shift","Night Shift")</f>
        <v/>
      </c>
      <c r="F6753" s="11">
        <f>INT(B6753)</f>
        <v/>
      </c>
      <c r="G6753" s="11">
        <f>INT(C6753)</f>
        <v/>
      </c>
    </row>
    <row r="6754">
      <c r="A6754" s="2" t="inlineStr">
        <is>
          <t>EXD73</t>
        </is>
      </c>
      <c r="B6754" s="3" t="n">
        <v>46130.25</v>
      </c>
      <c r="C6754" s="3" t="n">
        <v>46130.75</v>
      </c>
      <c r="D6754" s="4">
        <f>(C6754-B6754)*24</f>
        <v/>
      </c>
      <c r="E6754" s="5">
        <f>IF(AND(HOUR(B6754)&gt;=6,HOUR(B6754)&lt;18),"Day Shift","Night Shift")</f>
        <v/>
      </c>
      <c r="F6754" s="6">
        <f>INT(B6754)</f>
        <v/>
      </c>
      <c r="G6754" s="6">
        <f>INT(C6754)</f>
        <v/>
      </c>
    </row>
    <row r="6755">
      <c r="A6755" s="7" t="inlineStr">
        <is>
          <t>EXD73</t>
        </is>
      </c>
      <c r="B6755" s="8" t="n">
        <v>46130.75</v>
      </c>
      <c r="C6755" s="8" t="n">
        <v>46131.25</v>
      </c>
      <c r="D6755" s="9">
        <f>(C6755-B6755)*24</f>
        <v/>
      </c>
      <c r="E6755" s="10">
        <f>IF(AND(HOUR(B6755)&gt;=6,HOUR(B6755)&lt;18),"Day Shift","Night Shift")</f>
        <v/>
      </c>
      <c r="F6755" s="11">
        <f>INT(B6755)</f>
        <v/>
      </c>
      <c r="G6755" s="11">
        <f>INT(C6755)</f>
        <v/>
      </c>
    </row>
    <row r="6756">
      <c r="A6756" s="2" t="inlineStr">
        <is>
          <t>EXD73</t>
        </is>
      </c>
      <c r="B6756" s="3" t="n">
        <v>46131.25</v>
      </c>
      <c r="C6756" s="3" t="n">
        <v>46131.29283564815</v>
      </c>
      <c r="D6756" s="4">
        <f>(C6756-B6756)*24</f>
        <v/>
      </c>
      <c r="E6756" s="5">
        <f>IF(AND(HOUR(B6756)&gt;=6,HOUR(B6756)&lt;18),"Day Shift","Night Shift")</f>
        <v/>
      </c>
      <c r="F6756" s="6">
        <f>INT(B6756)</f>
        <v/>
      </c>
      <c r="G6756" s="6">
        <f>INT(C6756)</f>
        <v/>
      </c>
    </row>
    <row r="6757">
      <c r="A6757" s="7" t="inlineStr">
        <is>
          <t>EXD56</t>
        </is>
      </c>
      <c r="B6757" s="8" t="n">
        <v>46130.15940972222</v>
      </c>
      <c r="C6757" s="8" t="n">
        <v>46130.25</v>
      </c>
      <c r="D6757" s="9">
        <f>(C6757-B6757)*24</f>
        <v/>
      </c>
      <c r="E6757" s="10">
        <f>IF(AND(HOUR(B6757)&gt;=6,HOUR(B6757)&lt;18),"Day Shift","Night Shift")</f>
        <v/>
      </c>
      <c r="F6757" s="11">
        <f>INT(B6757)</f>
        <v/>
      </c>
      <c r="G6757" s="11">
        <f>INT(C6757)</f>
        <v/>
      </c>
    </row>
    <row r="6758">
      <c r="A6758" s="2" t="inlineStr">
        <is>
          <t>EXD56</t>
        </is>
      </c>
      <c r="B6758" s="3" t="n">
        <v>46130.25</v>
      </c>
      <c r="C6758" s="3" t="n">
        <v>46130.75</v>
      </c>
      <c r="D6758" s="4">
        <f>(C6758-B6758)*24</f>
        <v/>
      </c>
      <c r="E6758" s="5">
        <f>IF(AND(HOUR(B6758)&gt;=6,HOUR(B6758)&lt;18),"Day Shift","Night Shift")</f>
        <v/>
      </c>
      <c r="F6758" s="6">
        <f>INT(B6758)</f>
        <v/>
      </c>
      <c r="G6758" s="6">
        <f>INT(C6758)</f>
        <v/>
      </c>
    </row>
    <row r="6759">
      <c r="A6759" s="7" t="inlineStr">
        <is>
          <t>EXD56</t>
        </is>
      </c>
      <c r="B6759" s="8" t="n">
        <v>46130.75</v>
      </c>
      <c r="C6759" s="8" t="n">
        <v>46131.25</v>
      </c>
      <c r="D6759" s="9">
        <f>(C6759-B6759)*24</f>
        <v/>
      </c>
      <c r="E6759" s="10">
        <f>IF(AND(HOUR(B6759)&gt;=6,HOUR(B6759)&lt;18),"Day Shift","Night Shift")</f>
        <v/>
      </c>
      <c r="F6759" s="11">
        <f>INT(B6759)</f>
        <v/>
      </c>
      <c r="G6759" s="11">
        <f>INT(C6759)</f>
        <v/>
      </c>
    </row>
    <row r="6760">
      <c r="A6760" s="2" t="inlineStr">
        <is>
          <t>EXD56</t>
        </is>
      </c>
      <c r="B6760" s="3" t="n">
        <v>46131.25</v>
      </c>
      <c r="C6760" s="3" t="n">
        <v>46131.75</v>
      </c>
      <c r="D6760" s="4">
        <f>(C6760-B6760)*24</f>
        <v/>
      </c>
      <c r="E6760" s="5">
        <f>IF(AND(HOUR(B6760)&gt;=6,HOUR(B6760)&lt;18),"Day Shift","Night Shift")</f>
        <v/>
      </c>
      <c r="F6760" s="6">
        <f>INT(B6760)</f>
        <v/>
      </c>
      <c r="G6760" s="6">
        <f>INT(C6760)</f>
        <v/>
      </c>
    </row>
    <row r="6761">
      <c r="A6761" s="7" t="inlineStr">
        <is>
          <t>EXD56</t>
        </is>
      </c>
      <c r="B6761" s="8" t="n">
        <v>46131.75</v>
      </c>
      <c r="C6761" s="8" t="n">
        <v>46132.25</v>
      </c>
      <c r="D6761" s="9">
        <f>(C6761-B6761)*24</f>
        <v/>
      </c>
      <c r="E6761" s="10">
        <f>IF(AND(HOUR(B6761)&gt;=6,HOUR(B6761)&lt;18),"Day Shift","Night Shift")</f>
        <v/>
      </c>
      <c r="F6761" s="11">
        <f>INT(B6761)</f>
        <v/>
      </c>
      <c r="G6761" s="11">
        <f>INT(C6761)</f>
        <v/>
      </c>
    </row>
    <row r="6762">
      <c r="A6762" s="2" t="inlineStr">
        <is>
          <t>EXD56</t>
        </is>
      </c>
      <c r="B6762" s="3" t="n">
        <v>46132.25</v>
      </c>
      <c r="C6762" s="3" t="n">
        <v>46132.63261574074</v>
      </c>
      <c r="D6762" s="4">
        <f>(C6762-B6762)*24</f>
        <v/>
      </c>
      <c r="E6762" s="5">
        <f>IF(AND(HOUR(B6762)&gt;=6,HOUR(B6762)&lt;18),"Day Shift","Night Shift")</f>
        <v/>
      </c>
      <c r="F6762" s="6">
        <f>INT(B6762)</f>
        <v/>
      </c>
      <c r="G6762" s="6">
        <f>INT(C6762)</f>
        <v/>
      </c>
    </row>
    <row r="6763">
      <c r="A6763" s="7" t="inlineStr">
        <is>
          <t>EXD98</t>
        </is>
      </c>
      <c r="B6763" s="8" t="n">
        <v>46130.20473379629</v>
      </c>
      <c r="C6763" s="8" t="n">
        <v>46130.25</v>
      </c>
      <c r="D6763" s="9">
        <f>(C6763-B6763)*24</f>
        <v/>
      </c>
      <c r="E6763" s="10">
        <f>IF(AND(HOUR(B6763)&gt;=6,HOUR(B6763)&lt;18),"Day Shift","Night Shift")</f>
        <v/>
      </c>
      <c r="F6763" s="11">
        <f>INT(B6763)</f>
        <v/>
      </c>
      <c r="G6763" s="11">
        <f>INT(C6763)</f>
        <v/>
      </c>
    </row>
    <row r="6764">
      <c r="A6764" s="2" t="inlineStr">
        <is>
          <t>EXD98</t>
        </is>
      </c>
      <c r="B6764" s="3" t="n">
        <v>46130.25</v>
      </c>
      <c r="C6764" s="3" t="n">
        <v>46130.75</v>
      </c>
      <c r="D6764" s="4">
        <f>(C6764-B6764)*24</f>
        <v/>
      </c>
      <c r="E6764" s="5">
        <f>IF(AND(HOUR(B6764)&gt;=6,HOUR(B6764)&lt;18),"Day Shift","Night Shift")</f>
        <v/>
      </c>
      <c r="F6764" s="6">
        <f>INT(B6764)</f>
        <v/>
      </c>
      <c r="G6764" s="6">
        <f>INT(C6764)</f>
        <v/>
      </c>
    </row>
    <row r="6765">
      <c r="A6765" s="7" t="inlineStr">
        <is>
          <t>EXD98</t>
        </is>
      </c>
      <c r="B6765" s="8" t="n">
        <v>46130.75</v>
      </c>
      <c r="C6765" s="8" t="n">
        <v>46130.84995370371</v>
      </c>
      <c r="D6765" s="9">
        <f>(C6765-B6765)*24</f>
        <v/>
      </c>
      <c r="E6765" s="10">
        <f>IF(AND(HOUR(B6765)&gt;=6,HOUR(B6765)&lt;18),"Day Shift","Night Shift")</f>
        <v/>
      </c>
      <c r="F6765" s="11">
        <f>INT(B6765)</f>
        <v/>
      </c>
      <c r="G6765" s="11">
        <f>INT(C6765)</f>
        <v/>
      </c>
    </row>
    <row r="6766">
      <c r="A6766" s="7" t="inlineStr">
        <is>
          <t>EDD175;EDD1932;EDD2134;EDD2541;EDD812</t>
        </is>
      </c>
      <c r="B6766" s="8" t="n">
        <v>46130.21127314815</v>
      </c>
      <c r="C6766" s="8" t="n">
        <v>46130.25</v>
      </c>
      <c r="D6766" s="9">
        <f>(C6766-B6766)*24</f>
        <v/>
      </c>
      <c r="E6766" s="10">
        <f>IF(AND(HOUR(B6766)&gt;=6,HOUR(B6766)&lt;18),"Day Shift","Night Shift")</f>
        <v/>
      </c>
      <c r="F6766" s="11">
        <f>INT(B6766)</f>
        <v/>
      </c>
      <c r="G6766" s="11">
        <f>INT(C6766)</f>
        <v/>
      </c>
    </row>
    <row r="6767">
      <c r="A6767" s="2" t="inlineStr">
        <is>
          <t>EDD175;EDD1932;EDD2134;EDD2541;EDD812</t>
        </is>
      </c>
      <c r="B6767" s="3" t="n">
        <v>46130.25</v>
      </c>
      <c r="C6767" s="3" t="n">
        <v>46130.33114583333</v>
      </c>
      <c r="D6767" s="4">
        <f>(C6767-B6767)*24</f>
        <v/>
      </c>
      <c r="E6767" s="5">
        <f>IF(AND(HOUR(B6767)&gt;=6,HOUR(B6767)&lt;18),"Day Shift","Night Shift")</f>
        <v/>
      </c>
      <c r="F6767" s="6">
        <f>INT(B6767)</f>
        <v/>
      </c>
      <c r="G6767" s="6">
        <f>INT(C6767)</f>
        <v/>
      </c>
    </row>
    <row r="6768">
      <c r="A6768" s="2" t="inlineStr">
        <is>
          <t>EDD175;EDD1932;EDD2541;EDD812</t>
        </is>
      </c>
      <c r="B6768" s="3" t="n">
        <v>46130.33114583333</v>
      </c>
      <c r="C6768" s="3" t="n">
        <v>46130.41582175926</v>
      </c>
      <c r="D6768" s="4">
        <f>(C6768-B6768)*24</f>
        <v/>
      </c>
      <c r="E6768" s="5">
        <f>IF(AND(HOUR(B6768)&gt;=6,HOUR(B6768)&lt;18),"Day Shift","Night Shift")</f>
        <v/>
      </c>
      <c r="F6768" s="6">
        <f>INT(B6768)</f>
        <v/>
      </c>
      <c r="G6768" s="6">
        <f>INT(C6768)</f>
        <v/>
      </c>
    </row>
    <row r="6769">
      <c r="A6769" s="2" t="inlineStr">
        <is>
          <t>EDD175;EDD1932;EDD2541;EDD812</t>
        </is>
      </c>
      <c r="B6769" s="3" t="n">
        <v>46130.42148148148</v>
      </c>
      <c r="C6769" s="3" t="n">
        <v>46130.58126157407</v>
      </c>
      <c r="D6769" s="4">
        <f>(C6769-B6769)*24</f>
        <v/>
      </c>
      <c r="E6769" s="5">
        <f>IF(AND(HOUR(B6769)&gt;=6,HOUR(B6769)&lt;18),"Day Shift","Night Shift")</f>
        <v/>
      </c>
      <c r="F6769" s="6">
        <f>INT(B6769)</f>
        <v/>
      </c>
      <c r="G6769" s="6">
        <f>INT(C6769)</f>
        <v/>
      </c>
    </row>
    <row r="6770">
      <c r="A6770" s="2" t="inlineStr">
        <is>
          <t>Blast Crew DS</t>
        </is>
      </c>
      <c r="B6770" s="3" t="n">
        <v>46130.44548611111</v>
      </c>
      <c r="C6770" s="3" t="n">
        <v>46130.72194444444</v>
      </c>
      <c r="D6770" s="4">
        <f>(C6770-B6770)*24</f>
        <v/>
      </c>
      <c r="E6770" s="5">
        <f>IF(AND(HOUR(B6770)&gt;=6,HOUR(B6770)&lt;18),"Day Shift","Night Shift")</f>
        <v/>
      </c>
      <c r="F6770" s="6">
        <f>INT(B6770)</f>
        <v/>
      </c>
      <c r="G6770" s="6">
        <f>INT(C6770)</f>
        <v/>
      </c>
    </row>
    <row r="6771">
      <c r="A6771" s="2" t="inlineStr">
        <is>
          <t>Stag Drill</t>
        </is>
      </c>
      <c r="B6771" s="3" t="n">
        <v>46130.44548611111</v>
      </c>
      <c r="C6771" s="3" t="n">
        <v>46130.75</v>
      </c>
      <c r="D6771" s="4">
        <f>(C6771-B6771)*24</f>
        <v/>
      </c>
      <c r="E6771" s="5">
        <f>IF(AND(HOUR(B6771)&gt;=6,HOUR(B6771)&lt;18),"Day Shift","Night Shift")</f>
        <v/>
      </c>
      <c r="F6771" s="6">
        <f>INT(B6771)</f>
        <v/>
      </c>
      <c r="G6771" s="6">
        <f>INT(C6771)</f>
        <v/>
      </c>
    </row>
    <row r="6772">
      <c r="A6772" s="7" t="inlineStr">
        <is>
          <t>Stag Drill</t>
        </is>
      </c>
      <c r="B6772" s="8" t="n">
        <v>46130.75</v>
      </c>
      <c r="C6772" s="8" t="n">
        <v>46130.84504629629</v>
      </c>
      <c r="D6772" s="9">
        <f>(C6772-B6772)*24</f>
        <v/>
      </c>
      <c r="E6772" s="10">
        <f>IF(AND(HOUR(B6772)&gt;=6,HOUR(B6772)&lt;18),"Day Shift","Night Shift")</f>
        <v/>
      </c>
      <c r="F6772" s="11">
        <f>INT(B6772)</f>
        <v/>
      </c>
      <c r="G6772" s="11">
        <f>INT(C6772)</f>
        <v/>
      </c>
    </row>
    <row r="6773">
      <c r="A6773" s="2" t="inlineStr">
        <is>
          <t>EDD175;EDD1932;EDD2541;EDD812</t>
        </is>
      </c>
      <c r="B6773" s="3" t="n">
        <v>46130.58126157407</v>
      </c>
      <c r="C6773" s="3" t="n">
        <v>46130.71975694445</v>
      </c>
      <c r="D6773" s="4">
        <f>(C6773-B6773)*24</f>
        <v/>
      </c>
      <c r="E6773" s="5">
        <f>IF(AND(HOUR(B6773)&gt;=6,HOUR(B6773)&lt;18),"Day Shift","Night Shift")</f>
        <v/>
      </c>
      <c r="F6773" s="6">
        <f>INT(B6773)</f>
        <v/>
      </c>
      <c r="G6773" s="6">
        <f>INT(C6773)</f>
        <v/>
      </c>
    </row>
    <row r="6774">
      <c r="A6774" s="2" t="inlineStr">
        <is>
          <t>EXD55</t>
        </is>
      </c>
      <c r="B6774" s="3" t="n">
        <v>46130.66621527778</v>
      </c>
      <c r="C6774" s="3" t="n">
        <v>46130.75</v>
      </c>
      <c r="D6774" s="4">
        <f>(C6774-B6774)*24</f>
        <v/>
      </c>
      <c r="E6774" s="5">
        <f>IF(AND(HOUR(B6774)&gt;=6,HOUR(B6774)&lt;18),"Day Shift","Night Shift")</f>
        <v/>
      </c>
      <c r="F6774" s="6">
        <f>INT(B6774)</f>
        <v/>
      </c>
      <c r="G6774" s="6">
        <f>INT(C6774)</f>
        <v/>
      </c>
    </row>
    <row r="6775">
      <c r="A6775" s="7" t="inlineStr">
        <is>
          <t>EXD55</t>
        </is>
      </c>
      <c r="B6775" s="8" t="n">
        <v>46130.75</v>
      </c>
      <c r="C6775" s="8" t="n">
        <v>46131.25</v>
      </c>
      <c r="D6775" s="9">
        <f>(C6775-B6775)*24</f>
        <v/>
      </c>
      <c r="E6775" s="10">
        <f>IF(AND(HOUR(B6775)&gt;=6,HOUR(B6775)&lt;18),"Day Shift","Night Shift")</f>
        <v/>
      </c>
      <c r="F6775" s="11">
        <f>INT(B6775)</f>
        <v/>
      </c>
      <c r="G6775" s="11">
        <f>INT(C6775)</f>
        <v/>
      </c>
    </row>
    <row r="6776">
      <c r="A6776" s="2" t="inlineStr">
        <is>
          <t>EXD55</t>
        </is>
      </c>
      <c r="B6776" s="3" t="n">
        <v>46131.25</v>
      </c>
      <c r="C6776" s="3" t="n">
        <v>46131.75</v>
      </c>
      <c r="D6776" s="4">
        <f>(C6776-B6776)*24</f>
        <v/>
      </c>
      <c r="E6776" s="5">
        <f>IF(AND(HOUR(B6776)&gt;=6,HOUR(B6776)&lt;18),"Day Shift","Night Shift")</f>
        <v/>
      </c>
      <c r="F6776" s="6">
        <f>INT(B6776)</f>
        <v/>
      </c>
      <c r="G6776" s="6">
        <f>INT(C6776)</f>
        <v/>
      </c>
    </row>
    <row r="6777">
      <c r="A6777" s="7" t="inlineStr">
        <is>
          <t>EXD55</t>
        </is>
      </c>
      <c r="B6777" s="8" t="n">
        <v>46131.75</v>
      </c>
      <c r="C6777" s="8" t="n">
        <v>46132.25</v>
      </c>
      <c r="D6777" s="9">
        <f>(C6777-B6777)*24</f>
        <v/>
      </c>
      <c r="E6777" s="10">
        <f>IF(AND(HOUR(B6777)&gt;=6,HOUR(B6777)&lt;18),"Day Shift","Night Shift")</f>
        <v/>
      </c>
      <c r="F6777" s="11">
        <f>INT(B6777)</f>
        <v/>
      </c>
      <c r="G6777" s="11">
        <f>INT(C6777)</f>
        <v/>
      </c>
    </row>
    <row r="6778">
      <c r="A6778" s="2" t="inlineStr">
        <is>
          <t>EXD55</t>
        </is>
      </c>
      <c r="B6778" s="3" t="n">
        <v>46132.25</v>
      </c>
      <c r="C6778" s="3" t="n">
        <v>46132.75</v>
      </c>
      <c r="D6778" s="4">
        <f>(C6778-B6778)*24</f>
        <v/>
      </c>
      <c r="E6778" s="5">
        <f>IF(AND(HOUR(B6778)&gt;=6,HOUR(B6778)&lt;18),"Day Shift","Night Shift")</f>
        <v/>
      </c>
      <c r="F6778" s="6">
        <f>INT(B6778)</f>
        <v/>
      </c>
      <c r="G6778" s="6">
        <f>INT(C6778)</f>
        <v/>
      </c>
    </row>
    <row r="6779">
      <c r="A6779" s="7" t="inlineStr">
        <is>
          <t>EXD55</t>
        </is>
      </c>
      <c r="B6779" s="8" t="n">
        <v>46132.75</v>
      </c>
      <c r="C6779" s="8" t="n">
        <v>46133.25</v>
      </c>
      <c r="D6779" s="9">
        <f>(C6779-B6779)*24</f>
        <v/>
      </c>
      <c r="E6779" s="10">
        <f>IF(AND(HOUR(B6779)&gt;=6,HOUR(B6779)&lt;18),"Day Shift","Night Shift")</f>
        <v/>
      </c>
      <c r="F6779" s="11">
        <f>INT(B6779)</f>
        <v/>
      </c>
      <c r="G6779" s="11">
        <f>INT(C6779)</f>
        <v/>
      </c>
    </row>
    <row r="6780">
      <c r="A6780" s="2" t="inlineStr">
        <is>
          <t>EXD55</t>
        </is>
      </c>
      <c r="B6780" s="3" t="n">
        <v>46133.25</v>
      </c>
      <c r="C6780" s="3" t="n">
        <v>46133.75</v>
      </c>
      <c r="D6780" s="4">
        <f>(C6780-B6780)*24</f>
        <v/>
      </c>
      <c r="E6780" s="5">
        <f>IF(AND(HOUR(B6780)&gt;=6,HOUR(B6780)&lt;18),"Day Shift","Night Shift")</f>
        <v/>
      </c>
      <c r="F6780" s="6">
        <f>INT(B6780)</f>
        <v/>
      </c>
      <c r="G6780" s="6">
        <f>INT(C6780)</f>
        <v/>
      </c>
    </row>
    <row r="6781">
      <c r="A6781" s="7" t="inlineStr">
        <is>
          <t>EXD55</t>
        </is>
      </c>
      <c r="B6781" s="8" t="n">
        <v>46133.75</v>
      </c>
      <c r="C6781" s="8" t="n">
        <v>46134.25</v>
      </c>
      <c r="D6781" s="9">
        <f>(C6781-B6781)*24</f>
        <v/>
      </c>
      <c r="E6781" s="10">
        <f>IF(AND(HOUR(B6781)&gt;=6,HOUR(B6781)&lt;18),"Day Shift","Night Shift")</f>
        <v/>
      </c>
      <c r="F6781" s="11">
        <f>INT(B6781)</f>
        <v/>
      </c>
      <c r="G6781" s="11">
        <f>INT(C6781)</f>
        <v/>
      </c>
    </row>
    <row r="6782">
      <c r="A6782" s="2" t="inlineStr">
        <is>
          <t>EXD55</t>
        </is>
      </c>
      <c r="B6782" s="3" t="n">
        <v>46134.25</v>
      </c>
      <c r="C6782" s="3" t="n">
        <v>46134.75</v>
      </c>
      <c r="D6782" s="4">
        <f>(C6782-B6782)*24</f>
        <v/>
      </c>
      <c r="E6782" s="5">
        <f>IF(AND(HOUR(B6782)&gt;=6,HOUR(B6782)&lt;18),"Day Shift","Night Shift")</f>
        <v/>
      </c>
      <c r="F6782" s="6">
        <f>INT(B6782)</f>
        <v/>
      </c>
      <c r="G6782" s="6">
        <f>INT(C6782)</f>
        <v/>
      </c>
    </row>
    <row r="6783">
      <c r="A6783" s="7" t="inlineStr">
        <is>
          <t>EXD55</t>
        </is>
      </c>
      <c r="B6783" s="8" t="n">
        <v>46134.75</v>
      </c>
      <c r="C6783" s="8" t="n">
        <v>46135.25</v>
      </c>
      <c r="D6783" s="9">
        <f>(C6783-B6783)*24</f>
        <v/>
      </c>
      <c r="E6783" s="10">
        <f>IF(AND(HOUR(B6783)&gt;=6,HOUR(B6783)&lt;18),"Day Shift","Night Shift")</f>
        <v/>
      </c>
      <c r="F6783" s="11">
        <f>INT(B6783)</f>
        <v/>
      </c>
      <c r="G6783" s="11">
        <f>INT(C6783)</f>
        <v/>
      </c>
    </row>
    <row r="6784">
      <c r="A6784" s="2" t="inlineStr">
        <is>
          <t>EXD55</t>
        </is>
      </c>
      <c r="B6784" s="3" t="n">
        <v>46135.25</v>
      </c>
      <c r="C6784" s="3" t="n">
        <v>46135.75</v>
      </c>
      <c r="D6784" s="4">
        <f>(C6784-B6784)*24</f>
        <v/>
      </c>
      <c r="E6784" s="5">
        <f>IF(AND(HOUR(B6784)&gt;=6,HOUR(B6784)&lt;18),"Day Shift","Night Shift")</f>
        <v/>
      </c>
      <c r="F6784" s="6">
        <f>INT(B6784)</f>
        <v/>
      </c>
      <c r="G6784" s="6">
        <f>INT(C6784)</f>
        <v/>
      </c>
    </row>
    <row r="6785">
      <c r="A6785" s="7" t="inlineStr">
        <is>
          <t>EXD55</t>
        </is>
      </c>
      <c r="B6785" s="8" t="n">
        <v>46135.75</v>
      </c>
      <c r="C6785" s="8" t="n">
        <v>46136.25</v>
      </c>
      <c r="D6785" s="9">
        <f>(C6785-B6785)*24</f>
        <v/>
      </c>
      <c r="E6785" s="10">
        <f>IF(AND(HOUR(B6785)&gt;=6,HOUR(B6785)&lt;18),"Day Shift","Night Shift")</f>
        <v/>
      </c>
      <c r="F6785" s="11">
        <f>INT(B6785)</f>
        <v/>
      </c>
      <c r="G6785" s="11">
        <f>INT(C6785)</f>
        <v/>
      </c>
    </row>
    <row r="6786">
      <c r="A6786" s="2" t="inlineStr">
        <is>
          <t>EXD55</t>
        </is>
      </c>
      <c r="B6786" s="3" t="n">
        <v>46136.25</v>
      </c>
      <c r="C6786" s="3" t="n">
        <v>46136.75</v>
      </c>
      <c r="D6786" s="4">
        <f>(C6786-B6786)*24</f>
        <v/>
      </c>
      <c r="E6786" s="5">
        <f>IF(AND(HOUR(B6786)&gt;=6,HOUR(B6786)&lt;18),"Day Shift","Night Shift")</f>
        <v/>
      </c>
      <c r="F6786" s="6">
        <f>INT(B6786)</f>
        <v/>
      </c>
      <c r="G6786" s="6">
        <f>INT(C6786)</f>
        <v/>
      </c>
    </row>
    <row r="6787">
      <c r="A6787" s="7" t="inlineStr">
        <is>
          <t>EXD55</t>
        </is>
      </c>
      <c r="B6787" s="8" t="n">
        <v>46136.75</v>
      </c>
      <c r="C6787" s="8" t="n">
        <v>46137.25</v>
      </c>
      <c r="D6787" s="9">
        <f>(C6787-B6787)*24</f>
        <v/>
      </c>
      <c r="E6787" s="10">
        <f>IF(AND(HOUR(B6787)&gt;=6,HOUR(B6787)&lt;18),"Day Shift","Night Shift")</f>
        <v/>
      </c>
      <c r="F6787" s="11">
        <f>INT(B6787)</f>
        <v/>
      </c>
      <c r="G6787" s="11">
        <f>INT(C6787)</f>
        <v/>
      </c>
    </row>
    <row r="6788">
      <c r="A6788" s="2" t="inlineStr">
        <is>
          <t>EXD55</t>
        </is>
      </c>
      <c r="B6788" s="3" t="n">
        <v>46137.25</v>
      </c>
      <c r="C6788" s="3" t="n">
        <v>46137.75</v>
      </c>
      <c r="D6788" s="4">
        <f>(C6788-B6788)*24</f>
        <v/>
      </c>
      <c r="E6788" s="5">
        <f>IF(AND(HOUR(B6788)&gt;=6,HOUR(B6788)&lt;18),"Day Shift","Night Shift")</f>
        <v/>
      </c>
      <c r="F6788" s="6">
        <f>INT(B6788)</f>
        <v/>
      </c>
      <c r="G6788" s="6">
        <f>INT(C6788)</f>
        <v/>
      </c>
    </row>
    <row r="6789">
      <c r="A6789" s="7" t="inlineStr">
        <is>
          <t>EXD55</t>
        </is>
      </c>
      <c r="B6789" s="8" t="n">
        <v>46137.75</v>
      </c>
      <c r="C6789" s="8" t="n">
        <v>46138.25</v>
      </c>
      <c r="D6789" s="9">
        <f>(C6789-B6789)*24</f>
        <v/>
      </c>
      <c r="E6789" s="10">
        <f>IF(AND(HOUR(B6789)&gt;=6,HOUR(B6789)&lt;18),"Day Shift","Night Shift")</f>
        <v/>
      </c>
      <c r="F6789" s="11">
        <f>INT(B6789)</f>
        <v/>
      </c>
      <c r="G6789" s="11">
        <f>INT(C6789)</f>
        <v/>
      </c>
    </row>
    <row r="6790">
      <c r="A6790" s="2" t="inlineStr">
        <is>
          <t>EXD55</t>
        </is>
      </c>
      <c r="B6790" s="3" t="n">
        <v>46138.25</v>
      </c>
      <c r="C6790" s="3" t="n">
        <v>46138.75</v>
      </c>
      <c r="D6790" s="4">
        <f>(C6790-B6790)*24</f>
        <v/>
      </c>
      <c r="E6790" s="5">
        <f>IF(AND(HOUR(B6790)&gt;=6,HOUR(B6790)&lt;18),"Day Shift","Night Shift")</f>
        <v/>
      </c>
      <c r="F6790" s="6">
        <f>INT(B6790)</f>
        <v/>
      </c>
      <c r="G6790" s="6">
        <f>INT(C6790)</f>
        <v/>
      </c>
    </row>
    <row r="6791">
      <c r="A6791" s="7" t="inlineStr">
        <is>
          <t>EXD55</t>
        </is>
      </c>
      <c r="B6791" s="8" t="n">
        <v>46138.75</v>
      </c>
      <c r="C6791" s="8" t="n">
        <v>46139.25</v>
      </c>
      <c r="D6791" s="9">
        <f>(C6791-B6791)*24</f>
        <v/>
      </c>
      <c r="E6791" s="10">
        <f>IF(AND(HOUR(B6791)&gt;=6,HOUR(B6791)&lt;18),"Day Shift","Night Shift")</f>
        <v/>
      </c>
      <c r="F6791" s="11">
        <f>INT(B6791)</f>
        <v/>
      </c>
      <c r="G6791" s="11">
        <f>INT(C6791)</f>
        <v/>
      </c>
    </row>
    <row r="6792">
      <c r="A6792" s="2" t="inlineStr">
        <is>
          <t>EXD55</t>
        </is>
      </c>
      <c r="B6792" s="3" t="n">
        <v>46139.25</v>
      </c>
      <c r="C6792" s="3" t="n">
        <v>46139.75</v>
      </c>
      <c r="D6792" s="4">
        <f>(C6792-B6792)*24</f>
        <v/>
      </c>
      <c r="E6792" s="5">
        <f>IF(AND(HOUR(B6792)&gt;=6,HOUR(B6792)&lt;18),"Day Shift","Night Shift")</f>
        <v/>
      </c>
      <c r="F6792" s="6">
        <f>INT(B6792)</f>
        <v/>
      </c>
      <c r="G6792" s="6">
        <f>INT(C6792)</f>
        <v/>
      </c>
    </row>
    <row r="6793">
      <c r="A6793" s="7" t="inlineStr">
        <is>
          <t>EXD55</t>
        </is>
      </c>
      <c r="B6793" s="8" t="n">
        <v>46139.75</v>
      </c>
      <c r="C6793" s="8" t="n">
        <v>46140.25</v>
      </c>
      <c r="D6793" s="9">
        <f>(C6793-B6793)*24</f>
        <v/>
      </c>
      <c r="E6793" s="10">
        <f>IF(AND(HOUR(B6793)&gt;=6,HOUR(B6793)&lt;18),"Day Shift","Night Shift")</f>
        <v/>
      </c>
      <c r="F6793" s="11">
        <f>INT(B6793)</f>
        <v/>
      </c>
      <c r="G6793" s="11">
        <f>INT(C6793)</f>
        <v/>
      </c>
    </row>
    <row r="6794">
      <c r="A6794" s="2" t="inlineStr">
        <is>
          <t>EXD55</t>
        </is>
      </c>
      <c r="B6794" s="3" t="n">
        <v>46140.25</v>
      </c>
      <c r="C6794" s="3" t="n">
        <v>46140.75</v>
      </c>
      <c r="D6794" s="4">
        <f>(C6794-B6794)*24</f>
        <v/>
      </c>
      <c r="E6794" s="5">
        <f>IF(AND(HOUR(B6794)&gt;=6,HOUR(B6794)&lt;18),"Day Shift","Night Shift")</f>
        <v/>
      </c>
      <c r="F6794" s="6">
        <f>INT(B6794)</f>
        <v/>
      </c>
      <c r="G6794" s="6">
        <f>INT(C6794)</f>
        <v/>
      </c>
    </row>
    <row r="6795">
      <c r="A6795" s="7" t="inlineStr">
        <is>
          <t>EXD55</t>
        </is>
      </c>
      <c r="B6795" s="8" t="n">
        <v>46140.75</v>
      </c>
      <c r="C6795" s="8" t="n">
        <v>46141.25</v>
      </c>
      <c r="D6795" s="9">
        <f>(C6795-B6795)*24</f>
        <v/>
      </c>
      <c r="E6795" s="10">
        <f>IF(AND(HOUR(B6795)&gt;=6,HOUR(B6795)&lt;18),"Day Shift","Night Shift")</f>
        <v/>
      </c>
      <c r="F6795" s="11">
        <f>INT(B6795)</f>
        <v/>
      </c>
      <c r="G6795" s="11">
        <f>INT(C6795)</f>
        <v/>
      </c>
    </row>
    <row r="6796">
      <c r="A6796" s="2" t="inlineStr">
        <is>
          <t>EXD55</t>
        </is>
      </c>
      <c r="B6796" s="3" t="n">
        <v>46141.25</v>
      </c>
      <c r="C6796" s="3" t="n">
        <v>46141.75</v>
      </c>
      <c r="D6796" s="4">
        <f>(C6796-B6796)*24</f>
        <v/>
      </c>
      <c r="E6796" s="5">
        <f>IF(AND(HOUR(B6796)&gt;=6,HOUR(B6796)&lt;18),"Day Shift","Night Shift")</f>
        <v/>
      </c>
      <c r="F6796" s="6">
        <f>INT(B6796)</f>
        <v/>
      </c>
      <c r="G6796" s="6">
        <f>INT(C6796)</f>
        <v/>
      </c>
    </row>
    <row r="6797">
      <c r="A6797" s="7" t="inlineStr">
        <is>
          <t>EXD55</t>
        </is>
      </c>
      <c r="B6797" s="8" t="n">
        <v>46141.75</v>
      </c>
      <c r="C6797" s="8" t="n">
        <v>46142.25</v>
      </c>
      <c r="D6797" s="9">
        <f>(C6797-B6797)*24</f>
        <v/>
      </c>
      <c r="E6797" s="10">
        <f>IF(AND(HOUR(B6797)&gt;=6,HOUR(B6797)&lt;18),"Day Shift","Night Shift")</f>
        <v/>
      </c>
      <c r="F6797" s="11">
        <f>INT(B6797)</f>
        <v/>
      </c>
      <c r="G6797" s="11">
        <f>INT(C6797)</f>
        <v/>
      </c>
    </row>
    <row r="6798">
      <c r="A6798" s="2" t="inlineStr">
        <is>
          <t>EXD55</t>
        </is>
      </c>
      <c r="B6798" s="3" t="n">
        <v>46142.25</v>
      </c>
      <c r="C6798" s="3" t="n">
        <v>46142.75</v>
      </c>
      <c r="D6798" s="4">
        <f>(C6798-B6798)*24</f>
        <v/>
      </c>
      <c r="E6798" s="5">
        <f>IF(AND(HOUR(B6798)&gt;=6,HOUR(B6798)&lt;18),"Day Shift","Night Shift")</f>
        <v/>
      </c>
      <c r="F6798" s="6">
        <f>INT(B6798)</f>
        <v/>
      </c>
      <c r="G6798" s="6">
        <f>INT(C6798)</f>
        <v/>
      </c>
    </row>
    <row r="6799">
      <c r="A6799" s="7" t="inlineStr">
        <is>
          <t>EXD55</t>
        </is>
      </c>
      <c r="B6799" s="8" t="n">
        <v>46142.75</v>
      </c>
      <c r="C6799" s="8" t="n">
        <v>46143.25</v>
      </c>
      <c r="D6799" s="9">
        <f>(C6799-B6799)*24</f>
        <v/>
      </c>
      <c r="E6799" s="10">
        <f>IF(AND(HOUR(B6799)&gt;=6,HOUR(B6799)&lt;18),"Day Shift","Night Shift")</f>
        <v/>
      </c>
      <c r="F6799" s="11">
        <f>INT(B6799)</f>
        <v/>
      </c>
      <c r="G6799" s="11">
        <f>INT(C6799)</f>
        <v/>
      </c>
    </row>
    <row r="6800">
      <c r="A6800" s="2" t="inlineStr">
        <is>
          <t>EXD55</t>
        </is>
      </c>
      <c r="B6800" s="3" t="n">
        <v>46143.25</v>
      </c>
      <c r="C6800" s="3" t="n">
        <v>46143.75</v>
      </c>
      <c r="D6800" s="4">
        <f>(C6800-B6800)*24</f>
        <v/>
      </c>
      <c r="E6800" s="5">
        <f>IF(AND(HOUR(B6800)&gt;=6,HOUR(B6800)&lt;18),"Day Shift","Night Shift")</f>
        <v/>
      </c>
      <c r="F6800" s="6">
        <f>INT(B6800)</f>
        <v/>
      </c>
      <c r="G6800" s="6">
        <f>INT(C6800)</f>
        <v/>
      </c>
    </row>
    <row r="6801">
      <c r="A6801" s="7" t="inlineStr">
        <is>
          <t>EXD55</t>
        </is>
      </c>
      <c r="B6801" s="8" t="n">
        <v>46143.75</v>
      </c>
      <c r="C6801" s="8" t="n">
        <v>46144.25</v>
      </c>
      <c r="D6801" s="9">
        <f>(C6801-B6801)*24</f>
        <v/>
      </c>
      <c r="E6801" s="10">
        <f>IF(AND(HOUR(B6801)&gt;=6,HOUR(B6801)&lt;18),"Day Shift","Night Shift")</f>
        <v/>
      </c>
      <c r="F6801" s="11">
        <f>INT(B6801)</f>
        <v/>
      </c>
      <c r="G6801" s="11">
        <f>INT(C6801)</f>
        <v/>
      </c>
    </row>
    <row r="6802">
      <c r="A6802" s="2" t="inlineStr">
        <is>
          <t>EXD55</t>
        </is>
      </c>
      <c r="B6802" s="3" t="n">
        <v>46144.25</v>
      </c>
      <c r="C6802" s="3" t="n">
        <v>46144.75</v>
      </c>
      <c r="D6802" s="4">
        <f>(C6802-B6802)*24</f>
        <v/>
      </c>
      <c r="E6802" s="5">
        <f>IF(AND(HOUR(B6802)&gt;=6,HOUR(B6802)&lt;18),"Day Shift","Night Shift")</f>
        <v/>
      </c>
      <c r="F6802" s="6">
        <f>INT(B6802)</f>
        <v/>
      </c>
      <c r="G6802" s="6">
        <f>INT(C6802)</f>
        <v/>
      </c>
    </row>
    <row r="6803">
      <c r="A6803" s="7" t="inlineStr">
        <is>
          <t>EXD55</t>
        </is>
      </c>
      <c r="B6803" s="8" t="n">
        <v>46144.75</v>
      </c>
      <c r="C6803" s="8" t="n">
        <v>46145.25</v>
      </c>
      <c r="D6803" s="9">
        <f>(C6803-B6803)*24</f>
        <v/>
      </c>
      <c r="E6803" s="10">
        <f>IF(AND(HOUR(B6803)&gt;=6,HOUR(B6803)&lt;18),"Day Shift","Night Shift")</f>
        <v/>
      </c>
      <c r="F6803" s="11">
        <f>INT(B6803)</f>
        <v/>
      </c>
      <c r="G6803" s="11">
        <f>INT(C6803)</f>
        <v/>
      </c>
    </row>
    <row r="6804">
      <c r="A6804" s="2" t="inlineStr">
        <is>
          <t>EXD55</t>
        </is>
      </c>
      <c r="B6804" s="3" t="n">
        <v>46145.25</v>
      </c>
      <c r="C6804" s="3" t="n">
        <v>46145.75</v>
      </c>
      <c r="D6804" s="4">
        <f>(C6804-B6804)*24</f>
        <v/>
      </c>
      <c r="E6804" s="5">
        <f>IF(AND(HOUR(B6804)&gt;=6,HOUR(B6804)&lt;18),"Day Shift","Night Shift")</f>
        <v/>
      </c>
      <c r="F6804" s="6">
        <f>INT(B6804)</f>
        <v/>
      </c>
      <c r="G6804" s="6">
        <f>INT(C6804)</f>
        <v/>
      </c>
    </row>
    <row r="6805">
      <c r="A6805" s="7" t="inlineStr">
        <is>
          <t>EXD55</t>
        </is>
      </c>
      <c r="B6805" s="8" t="n">
        <v>46145.75</v>
      </c>
      <c r="C6805" s="8" t="n">
        <v>46146.25</v>
      </c>
      <c r="D6805" s="9">
        <f>(C6805-B6805)*24</f>
        <v/>
      </c>
      <c r="E6805" s="10">
        <f>IF(AND(HOUR(B6805)&gt;=6,HOUR(B6805)&lt;18),"Day Shift","Night Shift")</f>
        <v/>
      </c>
      <c r="F6805" s="11">
        <f>INT(B6805)</f>
        <v/>
      </c>
      <c r="G6805" s="11">
        <f>INT(C6805)</f>
        <v/>
      </c>
    </row>
    <row r="6806">
      <c r="A6806" s="2" t="inlineStr">
        <is>
          <t>EXD55</t>
        </is>
      </c>
      <c r="B6806" s="3" t="n">
        <v>46146.25</v>
      </c>
      <c r="C6806" s="3" t="n">
        <v>46146.75</v>
      </c>
      <c r="D6806" s="4">
        <f>(C6806-B6806)*24</f>
        <v/>
      </c>
      <c r="E6806" s="5">
        <f>IF(AND(HOUR(B6806)&gt;=6,HOUR(B6806)&lt;18),"Day Shift","Night Shift")</f>
        <v/>
      </c>
      <c r="F6806" s="6">
        <f>INT(B6806)</f>
        <v/>
      </c>
      <c r="G6806" s="6">
        <f>INT(C6806)</f>
        <v/>
      </c>
    </row>
    <row r="6807">
      <c r="A6807" s="7" t="inlineStr">
        <is>
          <t>EXD55</t>
        </is>
      </c>
      <c r="B6807" s="8" t="n">
        <v>46146.75</v>
      </c>
      <c r="C6807" s="8" t="n">
        <v>46147.25</v>
      </c>
      <c r="D6807" s="9">
        <f>(C6807-B6807)*24</f>
        <v/>
      </c>
      <c r="E6807" s="10">
        <f>IF(AND(HOUR(B6807)&gt;=6,HOUR(B6807)&lt;18),"Day Shift","Night Shift")</f>
        <v/>
      </c>
      <c r="F6807" s="11">
        <f>INT(B6807)</f>
        <v/>
      </c>
      <c r="G6807" s="11">
        <f>INT(C6807)</f>
        <v/>
      </c>
    </row>
    <row r="6808">
      <c r="A6808" s="2" t="inlineStr">
        <is>
          <t>EXD55</t>
        </is>
      </c>
      <c r="B6808" s="3" t="n">
        <v>46147.25</v>
      </c>
      <c r="C6808" s="3" t="n">
        <v>46147.75</v>
      </c>
      <c r="D6808" s="4">
        <f>(C6808-B6808)*24</f>
        <v/>
      </c>
      <c r="E6808" s="5">
        <f>IF(AND(HOUR(B6808)&gt;=6,HOUR(B6808)&lt;18),"Day Shift","Night Shift")</f>
        <v/>
      </c>
      <c r="F6808" s="6">
        <f>INT(B6808)</f>
        <v/>
      </c>
      <c r="G6808" s="6">
        <f>INT(C6808)</f>
        <v/>
      </c>
    </row>
    <row r="6809">
      <c r="A6809" s="7" t="inlineStr">
        <is>
          <t>EXD55</t>
        </is>
      </c>
      <c r="B6809" s="8" t="n">
        <v>46147.75</v>
      </c>
      <c r="C6809" s="8" t="n">
        <v>46147.76509259259</v>
      </c>
      <c r="D6809" s="9">
        <f>(C6809-B6809)*24</f>
        <v/>
      </c>
      <c r="E6809" s="10">
        <f>IF(AND(HOUR(B6809)&gt;=6,HOUR(B6809)&lt;18),"Day Shift","Night Shift")</f>
        <v/>
      </c>
      <c r="F6809" s="11">
        <f>INT(B6809)</f>
        <v/>
      </c>
      <c r="G6809" s="11">
        <f>INT(C6809)</f>
        <v/>
      </c>
    </row>
    <row r="6810">
      <c r="A6810" s="2" t="inlineStr">
        <is>
          <t>EXD408</t>
        </is>
      </c>
      <c r="B6810" s="3" t="n">
        <v>46130.69733796296</v>
      </c>
      <c r="C6810" s="3" t="n">
        <v>46130.75</v>
      </c>
      <c r="D6810" s="4">
        <f>(C6810-B6810)*24</f>
        <v/>
      </c>
      <c r="E6810" s="5">
        <f>IF(AND(HOUR(B6810)&gt;=6,HOUR(B6810)&lt;18),"Day Shift","Night Shift")</f>
        <v/>
      </c>
      <c r="F6810" s="6">
        <f>INT(B6810)</f>
        <v/>
      </c>
      <c r="G6810" s="6">
        <f>INT(C6810)</f>
        <v/>
      </c>
    </row>
    <row r="6811">
      <c r="A6811" s="7" t="inlineStr">
        <is>
          <t>EXD408</t>
        </is>
      </c>
      <c r="B6811" s="8" t="n">
        <v>46130.75</v>
      </c>
      <c r="C6811" s="8" t="n">
        <v>46131.25</v>
      </c>
      <c r="D6811" s="9">
        <f>(C6811-B6811)*24</f>
        <v/>
      </c>
      <c r="E6811" s="10">
        <f>IF(AND(HOUR(B6811)&gt;=6,HOUR(B6811)&lt;18),"Day Shift","Night Shift")</f>
        <v/>
      </c>
      <c r="F6811" s="11">
        <f>INT(B6811)</f>
        <v/>
      </c>
      <c r="G6811" s="11">
        <f>INT(C6811)</f>
        <v/>
      </c>
    </row>
    <row r="6812">
      <c r="A6812" s="2" t="inlineStr">
        <is>
          <t>EXD408</t>
        </is>
      </c>
      <c r="B6812" s="3" t="n">
        <v>46131.25</v>
      </c>
      <c r="C6812" s="3" t="n">
        <v>46131.75</v>
      </c>
      <c r="D6812" s="4">
        <f>(C6812-B6812)*24</f>
        <v/>
      </c>
      <c r="E6812" s="5">
        <f>IF(AND(HOUR(B6812)&gt;=6,HOUR(B6812)&lt;18),"Day Shift","Night Shift")</f>
        <v/>
      </c>
      <c r="F6812" s="6">
        <f>INT(B6812)</f>
        <v/>
      </c>
      <c r="G6812" s="6">
        <f>INT(C6812)</f>
        <v/>
      </c>
    </row>
    <row r="6813">
      <c r="A6813" s="7" t="inlineStr">
        <is>
          <t>EXD408</t>
        </is>
      </c>
      <c r="B6813" s="8" t="n">
        <v>46131.75</v>
      </c>
      <c r="C6813" s="8" t="n">
        <v>46131.8856712963</v>
      </c>
      <c r="D6813" s="9">
        <f>(C6813-B6813)*24</f>
        <v/>
      </c>
      <c r="E6813" s="10">
        <f>IF(AND(HOUR(B6813)&gt;=6,HOUR(B6813)&lt;18),"Day Shift","Night Shift")</f>
        <v/>
      </c>
      <c r="F6813" s="11">
        <f>INT(B6813)</f>
        <v/>
      </c>
      <c r="G6813" s="11">
        <f>INT(C6813)</f>
        <v/>
      </c>
    </row>
    <row r="6814">
      <c r="A6814" s="2" t="inlineStr">
        <is>
          <t>Sprint 1</t>
        </is>
      </c>
      <c r="B6814" s="3" t="n">
        <v>46130.71457175926</v>
      </c>
      <c r="C6814" s="3" t="n">
        <v>46130.75</v>
      </c>
      <c r="D6814" s="4">
        <f>(C6814-B6814)*24</f>
        <v/>
      </c>
      <c r="E6814" s="5">
        <f>IF(AND(HOUR(B6814)&gt;=6,HOUR(B6814)&lt;18),"Day Shift","Night Shift")</f>
        <v/>
      </c>
      <c r="F6814" s="6">
        <f>INT(B6814)</f>
        <v/>
      </c>
      <c r="G6814" s="6">
        <f>INT(C6814)</f>
        <v/>
      </c>
    </row>
    <row r="6815">
      <c r="A6815" s="7" t="inlineStr">
        <is>
          <t>Sprint 1</t>
        </is>
      </c>
      <c r="B6815" s="8" t="n">
        <v>46130.75</v>
      </c>
      <c r="C6815" s="8" t="n">
        <v>46131.25</v>
      </c>
      <c r="D6815" s="9">
        <f>(C6815-B6815)*24</f>
        <v/>
      </c>
      <c r="E6815" s="10">
        <f>IF(AND(HOUR(B6815)&gt;=6,HOUR(B6815)&lt;18),"Day Shift","Night Shift")</f>
        <v/>
      </c>
      <c r="F6815" s="11">
        <f>INT(B6815)</f>
        <v/>
      </c>
      <c r="G6815" s="11">
        <f>INT(C6815)</f>
        <v/>
      </c>
    </row>
    <row r="6816">
      <c r="A6816" s="2" t="inlineStr">
        <is>
          <t>Sprint 1</t>
        </is>
      </c>
      <c r="B6816" s="3" t="n">
        <v>46131.25</v>
      </c>
      <c r="C6816" s="3" t="n">
        <v>46131.36818287037</v>
      </c>
      <c r="D6816" s="4">
        <f>(C6816-B6816)*24</f>
        <v/>
      </c>
      <c r="E6816" s="5">
        <f>IF(AND(HOUR(B6816)&gt;=6,HOUR(B6816)&lt;18),"Day Shift","Night Shift")</f>
        <v/>
      </c>
      <c r="F6816" s="6">
        <f>INT(B6816)</f>
        <v/>
      </c>
      <c r="G6816" s="6">
        <f>INT(C6816)</f>
        <v/>
      </c>
    </row>
    <row r="6817">
      <c r="A6817" s="2" t="inlineStr">
        <is>
          <t>EDD175;EDD1932;EDD2541;EDD812;EDD2134</t>
        </is>
      </c>
      <c r="B6817" s="3" t="n">
        <v>46130.71975694445</v>
      </c>
      <c r="C6817" s="3" t="n">
        <v>46130.75</v>
      </c>
      <c r="D6817" s="4">
        <f>(C6817-B6817)*24</f>
        <v/>
      </c>
      <c r="E6817" s="5">
        <f>IF(AND(HOUR(B6817)&gt;=6,HOUR(B6817)&lt;18),"Day Shift","Night Shift")</f>
        <v/>
      </c>
      <c r="F6817" s="6">
        <f>INT(B6817)</f>
        <v/>
      </c>
      <c r="G6817" s="6">
        <f>INT(C6817)</f>
        <v/>
      </c>
    </row>
    <row r="6818">
      <c r="A6818" s="7" t="inlineStr">
        <is>
          <t>EDD175;EDD1932;EDD2541;EDD812;EDD2134</t>
        </is>
      </c>
      <c r="B6818" s="8" t="n">
        <v>46130.75</v>
      </c>
      <c r="C6818" s="8" t="n">
        <v>46130.83663194445</v>
      </c>
      <c r="D6818" s="9">
        <f>(C6818-B6818)*24</f>
        <v/>
      </c>
      <c r="E6818" s="10">
        <f>IF(AND(HOUR(B6818)&gt;=6,HOUR(B6818)&lt;18),"Day Shift","Night Shift")</f>
        <v/>
      </c>
      <c r="F6818" s="11">
        <f>INT(B6818)</f>
        <v/>
      </c>
      <c r="G6818" s="11">
        <f>INT(C6818)</f>
        <v/>
      </c>
    </row>
    <row r="6819">
      <c r="A6819" s="2" t="inlineStr">
        <is>
          <t>Blast Crew DS</t>
        </is>
      </c>
      <c r="B6819" s="3" t="n">
        <v>46130.72194444444</v>
      </c>
      <c r="C6819" s="3" t="n">
        <v>46130.75</v>
      </c>
      <c r="D6819" s="4">
        <f>(C6819-B6819)*24</f>
        <v/>
      </c>
      <c r="E6819" s="5">
        <f>IF(AND(HOUR(B6819)&gt;=6,HOUR(B6819)&lt;18),"Day Shift","Night Shift")</f>
        <v/>
      </c>
      <c r="F6819" s="6">
        <f>INT(B6819)</f>
        <v/>
      </c>
      <c r="G6819" s="6">
        <f>INT(C6819)</f>
        <v/>
      </c>
    </row>
    <row r="6820">
      <c r="A6820" s="7" t="inlineStr">
        <is>
          <t>Blast Crew DS</t>
        </is>
      </c>
      <c r="B6820" s="8" t="n">
        <v>46130.75</v>
      </c>
      <c r="C6820" s="8" t="n">
        <v>46131.25</v>
      </c>
      <c r="D6820" s="9">
        <f>(C6820-B6820)*24</f>
        <v/>
      </c>
      <c r="E6820" s="10">
        <f>IF(AND(HOUR(B6820)&gt;=6,HOUR(B6820)&lt;18),"Day Shift","Night Shift")</f>
        <v/>
      </c>
      <c r="F6820" s="11">
        <f>INT(B6820)</f>
        <v/>
      </c>
      <c r="G6820" s="11">
        <f>INT(C6820)</f>
        <v/>
      </c>
    </row>
    <row r="6821">
      <c r="A6821" s="2" t="inlineStr">
        <is>
          <t>Blast Crew DS</t>
        </is>
      </c>
      <c r="B6821" s="3" t="n">
        <v>46131.25</v>
      </c>
      <c r="C6821" s="3" t="n">
        <v>46131.75</v>
      </c>
      <c r="D6821" s="4">
        <f>(C6821-B6821)*24</f>
        <v/>
      </c>
      <c r="E6821" s="5">
        <f>IF(AND(HOUR(B6821)&gt;=6,HOUR(B6821)&lt;18),"Day Shift","Night Shift")</f>
        <v/>
      </c>
      <c r="F6821" s="6">
        <f>INT(B6821)</f>
        <v/>
      </c>
      <c r="G6821" s="6">
        <f>INT(C6821)</f>
        <v/>
      </c>
    </row>
    <row r="6822">
      <c r="A6822" s="7" t="inlineStr">
        <is>
          <t>Blast Crew DS</t>
        </is>
      </c>
      <c r="B6822" s="8" t="n">
        <v>46131.75</v>
      </c>
      <c r="C6822" s="8" t="n">
        <v>46132.25</v>
      </c>
      <c r="D6822" s="9">
        <f>(C6822-B6822)*24</f>
        <v/>
      </c>
      <c r="E6822" s="10">
        <f>IF(AND(HOUR(B6822)&gt;=6,HOUR(B6822)&lt;18),"Day Shift","Night Shift")</f>
        <v/>
      </c>
      <c r="F6822" s="11">
        <f>INT(B6822)</f>
        <v/>
      </c>
      <c r="G6822" s="11">
        <f>INT(C6822)</f>
        <v/>
      </c>
    </row>
    <row r="6823">
      <c r="A6823" s="2" t="inlineStr">
        <is>
          <t>Blast Crew DS</t>
        </is>
      </c>
      <c r="B6823" s="3" t="n">
        <v>46132.25</v>
      </c>
      <c r="C6823" s="3" t="n">
        <v>46132.36476851852</v>
      </c>
      <c r="D6823" s="4">
        <f>(C6823-B6823)*24</f>
        <v/>
      </c>
      <c r="E6823" s="5">
        <f>IF(AND(HOUR(B6823)&gt;=6,HOUR(B6823)&lt;18),"Day Shift","Night Shift")</f>
        <v/>
      </c>
      <c r="F6823" s="6">
        <f>INT(B6823)</f>
        <v/>
      </c>
      <c r="G6823" s="6">
        <f>INT(C6823)</f>
        <v/>
      </c>
    </row>
    <row r="6824">
      <c r="A6824" s="7" t="inlineStr">
        <is>
          <t>EDD175;EDD1932;EDD2134;EDD2541;EDD812</t>
        </is>
      </c>
      <c r="B6824" s="8" t="n">
        <v>46130.83663194445</v>
      </c>
      <c r="C6824" s="8" t="n">
        <v>46130.9475</v>
      </c>
      <c r="D6824" s="9">
        <f>(C6824-B6824)*24</f>
        <v/>
      </c>
      <c r="E6824" s="10">
        <f>IF(AND(HOUR(B6824)&gt;=6,HOUR(B6824)&lt;18),"Day Shift","Night Shift")</f>
        <v/>
      </c>
      <c r="F6824" s="11">
        <f>INT(B6824)</f>
        <v/>
      </c>
      <c r="G6824" s="11">
        <f>INT(C6824)</f>
        <v/>
      </c>
    </row>
    <row r="6825">
      <c r="A6825" s="7" t="inlineStr">
        <is>
          <t>Stag Drill</t>
        </is>
      </c>
      <c r="B6825" s="8" t="n">
        <v>46130.84504629629</v>
      </c>
      <c r="C6825" s="8" t="n">
        <v>46131.25</v>
      </c>
      <c r="D6825" s="9">
        <f>(C6825-B6825)*24</f>
        <v/>
      </c>
      <c r="E6825" s="10">
        <f>IF(AND(HOUR(B6825)&gt;=6,HOUR(B6825)&lt;18),"Day Shift","Night Shift")</f>
        <v/>
      </c>
      <c r="F6825" s="11">
        <f>INT(B6825)</f>
        <v/>
      </c>
      <c r="G6825" s="11">
        <f>INT(C6825)</f>
        <v/>
      </c>
    </row>
    <row r="6826">
      <c r="A6826" s="2" t="inlineStr">
        <is>
          <t>Stag Drill</t>
        </is>
      </c>
      <c r="B6826" s="3" t="n">
        <v>46131.25</v>
      </c>
      <c r="C6826" s="3" t="n">
        <v>46131.29394675926</v>
      </c>
      <c r="D6826" s="4">
        <f>(C6826-B6826)*24</f>
        <v/>
      </c>
      <c r="E6826" s="5">
        <f>IF(AND(HOUR(B6826)&gt;=6,HOUR(B6826)&lt;18),"Day Shift","Night Shift")</f>
        <v/>
      </c>
      <c r="F6826" s="6">
        <f>INT(B6826)</f>
        <v/>
      </c>
      <c r="G6826" s="6">
        <f>INT(C6826)</f>
        <v/>
      </c>
    </row>
    <row r="6827">
      <c r="A6827" s="7" t="inlineStr">
        <is>
          <t>EXD98</t>
        </is>
      </c>
      <c r="B6827" s="8" t="n">
        <v>46130.84995370371</v>
      </c>
      <c r="C6827" s="8" t="n">
        <v>46131.25</v>
      </c>
      <c r="D6827" s="9">
        <f>(C6827-B6827)*24</f>
        <v/>
      </c>
      <c r="E6827" s="10">
        <f>IF(AND(HOUR(B6827)&gt;=6,HOUR(B6827)&lt;18),"Day Shift","Night Shift")</f>
        <v/>
      </c>
      <c r="F6827" s="11">
        <f>INT(B6827)</f>
        <v/>
      </c>
      <c r="G6827" s="11">
        <f>INT(C6827)</f>
        <v/>
      </c>
    </row>
    <row r="6828">
      <c r="A6828" s="2" t="inlineStr">
        <is>
          <t>EXD98</t>
        </is>
      </c>
      <c r="B6828" s="3" t="n">
        <v>46131.25</v>
      </c>
      <c r="C6828" s="3" t="n">
        <v>46131.46893518518</v>
      </c>
      <c r="D6828" s="4">
        <f>(C6828-B6828)*24</f>
        <v/>
      </c>
      <c r="E6828" s="5">
        <f>IF(AND(HOUR(B6828)&gt;=6,HOUR(B6828)&lt;18),"Day Shift","Night Shift")</f>
        <v/>
      </c>
      <c r="F6828" s="6">
        <f>INT(B6828)</f>
        <v/>
      </c>
      <c r="G6828" s="6">
        <f>INT(C6828)</f>
        <v/>
      </c>
    </row>
    <row r="6829">
      <c r="A6829" s="7" t="inlineStr">
        <is>
          <t>EXD60</t>
        </is>
      </c>
      <c r="B6829" s="8" t="n">
        <v>46130.94537037037</v>
      </c>
      <c r="C6829" s="8" t="n">
        <v>46131.25</v>
      </c>
      <c r="D6829" s="9">
        <f>(C6829-B6829)*24</f>
        <v/>
      </c>
      <c r="E6829" s="10">
        <f>IF(AND(HOUR(B6829)&gt;=6,HOUR(B6829)&lt;18),"Day Shift","Night Shift")</f>
        <v/>
      </c>
      <c r="F6829" s="11">
        <f>INT(B6829)</f>
        <v/>
      </c>
      <c r="G6829" s="11">
        <f>INT(C6829)</f>
        <v/>
      </c>
    </row>
    <row r="6830">
      <c r="A6830" s="2" t="inlineStr">
        <is>
          <t>EXD60</t>
        </is>
      </c>
      <c r="B6830" s="3" t="n">
        <v>46131.25</v>
      </c>
      <c r="C6830" s="3" t="n">
        <v>46131.75</v>
      </c>
      <c r="D6830" s="4">
        <f>(C6830-B6830)*24</f>
        <v/>
      </c>
      <c r="E6830" s="5">
        <f>IF(AND(HOUR(B6830)&gt;=6,HOUR(B6830)&lt;18),"Day Shift","Night Shift")</f>
        <v/>
      </c>
      <c r="F6830" s="6">
        <f>INT(B6830)</f>
        <v/>
      </c>
      <c r="G6830" s="6">
        <f>INT(C6830)</f>
        <v/>
      </c>
    </row>
    <row r="6831">
      <c r="A6831" s="7" t="inlineStr">
        <is>
          <t>EXD60</t>
        </is>
      </c>
      <c r="B6831" s="8" t="n">
        <v>46131.75</v>
      </c>
      <c r="C6831" s="8" t="n">
        <v>46131.85190972222</v>
      </c>
      <c r="D6831" s="9">
        <f>(C6831-B6831)*24</f>
        <v/>
      </c>
      <c r="E6831" s="10">
        <f>IF(AND(HOUR(B6831)&gt;=6,HOUR(B6831)&lt;18),"Day Shift","Night Shift")</f>
        <v/>
      </c>
      <c r="F6831" s="11">
        <f>INT(B6831)</f>
        <v/>
      </c>
      <c r="G6831" s="11">
        <f>INT(C6831)</f>
        <v/>
      </c>
    </row>
    <row r="6832">
      <c r="A6832" s="7" t="inlineStr">
        <is>
          <t>EDD175;EDD1932;EDD2134;EDD2541;EDD812</t>
        </is>
      </c>
      <c r="B6832" s="8" t="n">
        <v>46130.9475</v>
      </c>
      <c r="C6832" s="8" t="n">
        <v>46131.05835648148</v>
      </c>
      <c r="D6832" s="9">
        <f>(C6832-B6832)*24</f>
        <v/>
      </c>
      <c r="E6832" s="10">
        <f>IF(AND(HOUR(B6832)&gt;=6,HOUR(B6832)&lt;18),"Day Shift","Night Shift")</f>
        <v/>
      </c>
      <c r="F6832" s="11">
        <f>INT(B6832)</f>
        <v/>
      </c>
      <c r="G6832" s="11">
        <f>INT(C6832)</f>
        <v/>
      </c>
    </row>
    <row r="6833">
      <c r="A6833" s="7" t="inlineStr">
        <is>
          <t>EXD61</t>
        </is>
      </c>
      <c r="B6833" s="8" t="n">
        <v>46130.95121527778</v>
      </c>
      <c r="C6833" s="8" t="n">
        <v>46131.25</v>
      </c>
      <c r="D6833" s="9">
        <f>(C6833-B6833)*24</f>
        <v/>
      </c>
      <c r="E6833" s="10">
        <f>IF(AND(HOUR(B6833)&gt;=6,HOUR(B6833)&lt;18),"Day Shift","Night Shift")</f>
        <v/>
      </c>
      <c r="F6833" s="11">
        <f>INT(B6833)</f>
        <v/>
      </c>
      <c r="G6833" s="11">
        <f>INT(C6833)</f>
        <v/>
      </c>
    </row>
    <row r="6834">
      <c r="A6834" s="2" t="inlineStr">
        <is>
          <t>EXD61</t>
        </is>
      </c>
      <c r="B6834" s="3" t="n">
        <v>46131.25</v>
      </c>
      <c r="C6834" s="3" t="n">
        <v>46131.75</v>
      </c>
      <c r="D6834" s="4">
        <f>(C6834-B6834)*24</f>
        <v/>
      </c>
      <c r="E6834" s="5">
        <f>IF(AND(HOUR(B6834)&gt;=6,HOUR(B6834)&lt;18),"Day Shift","Night Shift")</f>
        <v/>
      </c>
      <c r="F6834" s="6">
        <f>INT(B6834)</f>
        <v/>
      </c>
      <c r="G6834" s="6">
        <f>INT(C6834)</f>
        <v/>
      </c>
    </row>
    <row r="6835">
      <c r="A6835" s="7" t="inlineStr">
        <is>
          <t>EXD61</t>
        </is>
      </c>
      <c r="B6835" s="8" t="n">
        <v>46131.75</v>
      </c>
      <c r="C6835" s="8" t="n">
        <v>46132.25</v>
      </c>
      <c r="D6835" s="9">
        <f>(C6835-B6835)*24</f>
        <v/>
      </c>
      <c r="E6835" s="10">
        <f>IF(AND(HOUR(B6835)&gt;=6,HOUR(B6835)&lt;18),"Day Shift","Night Shift")</f>
        <v/>
      </c>
      <c r="F6835" s="11">
        <f>INT(B6835)</f>
        <v/>
      </c>
      <c r="G6835" s="11">
        <f>INT(C6835)</f>
        <v/>
      </c>
    </row>
    <row r="6836">
      <c r="A6836" s="2" t="inlineStr">
        <is>
          <t>EXD61</t>
        </is>
      </c>
      <c r="B6836" s="3" t="n">
        <v>46132.25</v>
      </c>
      <c r="C6836" s="3" t="n">
        <v>46132.25699074074</v>
      </c>
      <c r="D6836" s="4">
        <f>(C6836-B6836)*24</f>
        <v/>
      </c>
      <c r="E6836" s="5">
        <f>IF(AND(HOUR(B6836)&gt;=6,HOUR(B6836)&lt;18),"Day Shift","Night Shift")</f>
        <v/>
      </c>
      <c r="F6836" s="6">
        <f>INT(B6836)</f>
        <v/>
      </c>
      <c r="G6836" s="6">
        <f>INT(C6836)</f>
        <v/>
      </c>
    </row>
    <row r="6837">
      <c r="A6837" s="7" t="inlineStr">
        <is>
          <t>EXD100</t>
        </is>
      </c>
      <c r="B6837" s="8" t="n">
        <v>46130.99811342593</v>
      </c>
      <c r="C6837" s="8" t="n">
        <v>46131.25</v>
      </c>
      <c r="D6837" s="9">
        <f>(C6837-B6837)*24</f>
        <v/>
      </c>
      <c r="E6837" s="10">
        <f>IF(AND(HOUR(B6837)&gt;=6,HOUR(B6837)&lt;18),"Day Shift","Night Shift")</f>
        <v/>
      </c>
      <c r="F6837" s="11">
        <f>INT(B6837)</f>
        <v/>
      </c>
      <c r="G6837" s="11">
        <f>INT(C6837)</f>
        <v/>
      </c>
    </row>
    <row r="6838">
      <c r="A6838" s="2" t="inlineStr">
        <is>
          <t>EXD100</t>
        </is>
      </c>
      <c r="B6838" s="3" t="n">
        <v>46131.25</v>
      </c>
      <c r="C6838" s="3" t="n">
        <v>46131.75</v>
      </c>
      <c r="D6838" s="4">
        <f>(C6838-B6838)*24</f>
        <v/>
      </c>
      <c r="E6838" s="5">
        <f>IF(AND(HOUR(B6838)&gt;=6,HOUR(B6838)&lt;18),"Day Shift","Night Shift")</f>
        <v/>
      </c>
      <c r="F6838" s="6">
        <f>INT(B6838)</f>
        <v/>
      </c>
      <c r="G6838" s="6">
        <f>INT(C6838)</f>
        <v/>
      </c>
    </row>
    <row r="6839">
      <c r="A6839" s="7" t="inlineStr">
        <is>
          <t>EXD100</t>
        </is>
      </c>
      <c r="B6839" s="8" t="n">
        <v>46131.75</v>
      </c>
      <c r="C6839" s="8" t="n">
        <v>46132.06334490741</v>
      </c>
      <c r="D6839" s="9">
        <f>(C6839-B6839)*24</f>
        <v/>
      </c>
      <c r="E6839" s="10">
        <f>IF(AND(HOUR(B6839)&gt;=6,HOUR(B6839)&lt;18),"Day Shift","Night Shift")</f>
        <v/>
      </c>
      <c r="F6839" s="11">
        <f>INT(B6839)</f>
        <v/>
      </c>
      <c r="G6839" s="11">
        <f>INT(C6839)</f>
        <v/>
      </c>
    </row>
    <row r="6840">
      <c r="A6840" s="7" t="inlineStr">
        <is>
          <t>DRE12</t>
        </is>
      </c>
      <c r="B6840" s="8" t="n">
        <v>46131.05153935185</v>
      </c>
      <c r="C6840" s="8" t="n">
        <v>46131.25</v>
      </c>
      <c r="D6840" s="9">
        <f>(C6840-B6840)*24</f>
        <v/>
      </c>
      <c r="E6840" s="10">
        <f>IF(AND(HOUR(B6840)&gt;=6,HOUR(B6840)&lt;18),"Day Shift","Night Shift")</f>
        <v/>
      </c>
      <c r="F6840" s="11">
        <f>INT(B6840)</f>
        <v/>
      </c>
      <c r="G6840" s="11">
        <f>INT(C6840)</f>
        <v/>
      </c>
    </row>
    <row r="6841">
      <c r="A6841" s="2" t="inlineStr">
        <is>
          <t>DRE12</t>
        </is>
      </c>
      <c r="B6841" s="3" t="n">
        <v>46131.25</v>
      </c>
      <c r="C6841" s="3" t="n">
        <v>46131.75</v>
      </c>
      <c r="D6841" s="4">
        <f>(C6841-B6841)*24</f>
        <v/>
      </c>
      <c r="E6841" s="5">
        <f>IF(AND(HOUR(B6841)&gt;=6,HOUR(B6841)&lt;18),"Day Shift","Night Shift")</f>
        <v/>
      </c>
      <c r="F6841" s="6">
        <f>INT(B6841)</f>
        <v/>
      </c>
      <c r="G6841" s="6">
        <f>INT(C6841)</f>
        <v/>
      </c>
    </row>
    <row r="6842">
      <c r="A6842" s="7" t="inlineStr">
        <is>
          <t>DRE12</t>
        </is>
      </c>
      <c r="B6842" s="8" t="n">
        <v>46131.75</v>
      </c>
      <c r="C6842" s="8" t="n">
        <v>46132.25</v>
      </c>
      <c r="D6842" s="9">
        <f>(C6842-B6842)*24</f>
        <v/>
      </c>
      <c r="E6842" s="10">
        <f>IF(AND(HOUR(B6842)&gt;=6,HOUR(B6842)&lt;18),"Day Shift","Night Shift")</f>
        <v/>
      </c>
      <c r="F6842" s="11">
        <f>INT(B6842)</f>
        <v/>
      </c>
      <c r="G6842" s="11">
        <f>INT(C6842)</f>
        <v/>
      </c>
    </row>
    <row r="6843">
      <c r="A6843" s="2" t="inlineStr">
        <is>
          <t>DRE12</t>
        </is>
      </c>
      <c r="B6843" s="3" t="n">
        <v>46132.25</v>
      </c>
      <c r="C6843" s="3" t="n">
        <v>46132.75</v>
      </c>
      <c r="D6843" s="4">
        <f>(C6843-B6843)*24</f>
        <v/>
      </c>
      <c r="E6843" s="5">
        <f>IF(AND(HOUR(B6843)&gt;=6,HOUR(B6843)&lt;18),"Day Shift","Night Shift")</f>
        <v/>
      </c>
      <c r="F6843" s="6">
        <f>INT(B6843)</f>
        <v/>
      </c>
      <c r="G6843" s="6">
        <f>INT(C6843)</f>
        <v/>
      </c>
    </row>
    <row r="6844">
      <c r="A6844" s="7" t="inlineStr">
        <is>
          <t>DRE12</t>
        </is>
      </c>
      <c r="B6844" s="8" t="n">
        <v>46132.75</v>
      </c>
      <c r="C6844" s="8" t="n">
        <v>46133.25</v>
      </c>
      <c r="D6844" s="9">
        <f>(C6844-B6844)*24</f>
        <v/>
      </c>
      <c r="E6844" s="10">
        <f>IF(AND(HOUR(B6844)&gt;=6,HOUR(B6844)&lt;18),"Day Shift","Night Shift")</f>
        <v/>
      </c>
      <c r="F6844" s="11">
        <f>INT(B6844)</f>
        <v/>
      </c>
      <c r="G6844" s="11">
        <f>INT(C6844)</f>
        <v/>
      </c>
    </row>
    <row r="6845">
      <c r="A6845" s="2" t="inlineStr">
        <is>
          <t>DRE12</t>
        </is>
      </c>
      <c r="B6845" s="3" t="n">
        <v>46133.25</v>
      </c>
      <c r="C6845" s="3" t="n">
        <v>46133.38793981481</v>
      </c>
      <c r="D6845" s="4">
        <f>(C6845-B6845)*24</f>
        <v/>
      </c>
      <c r="E6845" s="5">
        <f>IF(AND(HOUR(B6845)&gt;=6,HOUR(B6845)&lt;18),"Day Shift","Night Shift")</f>
        <v/>
      </c>
      <c r="F6845" s="6">
        <f>INT(B6845)</f>
        <v/>
      </c>
      <c r="G6845" s="6">
        <f>INT(C6845)</f>
        <v/>
      </c>
    </row>
    <row r="6846">
      <c r="A6846" s="7" t="inlineStr">
        <is>
          <t>EDD175;EDD1932;EDD2134;EDD2541;EDD812</t>
        </is>
      </c>
      <c r="B6846" s="8" t="n">
        <v>46131.05835648148</v>
      </c>
      <c r="C6846" s="8" t="n">
        <v>46131.16248842593</v>
      </c>
      <c r="D6846" s="9">
        <f>(C6846-B6846)*24</f>
        <v/>
      </c>
      <c r="E6846" s="10">
        <f>IF(AND(HOUR(B6846)&gt;=6,HOUR(B6846)&lt;18),"Day Shift","Night Shift")</f>
        <v/>
      </c>
      <c r="F6846" s="11">
        <f>INT(B6846)</f>
        <v/>
      </c>
      <c r="G6846" s="11">
        <f>INT(C6846)</f>
        <v/>
      </c>
    </row>
    <row r="6847">
      <c r="A6847" s="7" t="inlineStr">
        <is>
          <t>EDD175;EDD1932;EDD2134;EDD2541;EDD812</t>
        </is>
      </c>
      <c r="B6847" s="8" t="n">
        <v>46131.16248842593</v>
      </c>
      <c r="C6847" s="8" t="n">
        <v>46131.25</v>
      </c>
      <c r="D6847" s="9">
        <f>(C6847-B6847)*24</f>
        <v/>
      </c>
      <c r="E6847" s="10">
        <f>IF(AND(HOUR(B6847)&gt;=6,HOUR(B6847)&lt;18),"Day Shift","Night Shift")</f>
        <v/>
      </c>
      <c r="F6847" s="11">
        <f>INT(B6847)</f>
        <v/>
      </c>
      <c r="G6847" s="11">
        <f>INT(C6847)</f>
        <v/>
      </c>
    </row>
    <row r="6848">
      <c r="A6848" s="2" t="inlineStr">
        <is>
          <t>EDD175;EDD1932;EDD2134;EDD2541;EDD812</t>
        </is>
      </c>
      <c r="B6848" s="3" t="n">
        <v>46131.25</v>
      </c>
      <c r="C6848" s="3" t="n">
        <v>46131.26877314815</v>
      </c>
      <c r="D6848" s="4">
        <f>(C6848-B6848)*24</f>
        <v/>
      </c>
      <c r="E6848" s="5">
        <f>IF(AND(HOUR(B6848)&gt;=6,HOUR(B6848)&lt;18),"Day Shift","Night Shift")</f>
        <v/>
      </c>
      <c r="F6848" s="6">
        <f>INT(B6848)</f>
        <v/>
      </c>
      <c r="G6848" s="6">
        <f>INT(C6848)</f>
        <v/>
      </c>
    </row>
    <row r="6849">
      <c r="A6849" s="2" t="inlineStr">
        <is>
          <t>EDD2134;EDD2541;EDD812</t>
        </is>
      </c>
      <c r="B6849" s="3" t="n">
        <v>46131.26877314815</v>
      </c>
      <c r="C6849" s="3" t="n">
        <v>46131.32864583333</v>
      </c>
      <c r="D6849" s="4">
        <f>(C6849-B6849)*24</f>
        <v/>
      </c>
      <c r="E6849" s="5">
        <f>IF(AND(HOUR(B6849)&gt;=6,HOUR(B6849)&lt;18),"Day Shift","Night Shift")</f>
        <v/>
      </c>
      <c r="F6849" s="6">
        <f>INT(B6849)</f>
        <v/>
      </c>
      <c r="G6849" s="6">
        <f>INT(C6849)</f>
        <v/>
      </c>
    </row>
    <row r="6850">
      <c r="A6850" s="2" t="inlineStr">
        <is>
          <t>EXD73</t>
        </is>
      </c>
      <c r="B6850" s="3" t="n">
        <v>46131.29283564815</v>
      </c>
      <c r="C6850" s="3" t="n">
        <v>46131.75</v>
      </c>
      <c r="D6850" s="4">
        <f>(C6850-B6850)*24</f>
        <v/>
      </c>
      <c r="E6850" s="5">
        <f>IF(AND(HOUR(B6850)&gt;=6,HOUR(B6850)&lt;18),"Day Shift","Night Shift")</f>
        <v/>
      </c>
      <c r="F6850" s="6">
        <f>INT(B6850)</f>
        <v/>
      </c>
      <c r="G6850" s="6">
        <f>INT(C6850)</f>
        <v/>
      </c>
    </row>
    <row r="6851">
      <c r="A6851" s="7" t="inlineStr">
        <is>
          <t>EXD73</t>
        </is>
      </c>
      <c r="B6851" s="8" t="n">
        <v>46131.75</v>
      </c>
      <c r="C6851" s="8" t="n">
        <v>46132.25</v>
      </c>
      <c r="D6851" s="9">
        <f>(C6851-B6851)*24</f>
        <v/>
      </c>
      <c r="E6851" s="10">
        <f>IF(AND(HOUR(B6851)&gt;=6,HOUR(B6851)&lt;18),"Day Shift","Night Shift")</f>
        <v/>
      </c>
      <c r="F6851" s="11">
        <f>INT(B6851)</f>
        <v/>
      </c>
      <c r="G6851" s="11">
        <f>INT(C6851)</f>
        <v/>
      </c>
    </row>
    <row r="6852">
      <c r="A6852" s="2" t="inlineStr">
        <is>
          <t>EXD73</t>
        </is>
      </c>
      <c r="B6852" s="3" t="n">
        <v>46132.25</v>
      </c>
      <c r="C6852" s="3" t="n">
        <v>46132.75</v>
      </c>
      <c r="D6852" s="4">
        <f>(C6852-B6852)*24</f>
        <v/>
      </c>
      <c r="E6852" s="5">
        <f>IF(AND(HOUR(B6852)&gt;=6,HOUR(B6852)&lt;18),"Day Shift","Night Shift")</f>
        <v/>
      </c>
      <c r="F6852" s="6">
        <f>INT(B6852)</f>
        <v/>
      </c>
      <c r="G6852" s="6">
        <f>INT(C6852)</f>
        <v/>
      </c>
    </row>
    <row r="6853">
      <c r="A6853" s="7" t="inlineStr">
        <is>
          <t>EXD73</t>
        </is>
      </c>
      <c r="B6853" s="8" t="n">
        <v>46132.75</v>
      </c>
      <c r="C6853" s="8" t="n">
        <v>46133.25</v>
      </c>
      <c r="D6853" s="9">
        <f>(C6853-B6853)*24</f>
        <v/>
      </c>
      <c r="E6853" s="10">
        <f>IF(AND(HOUR(B6853)&gt;=6,HOUR(B6853)&lt;18),"Day Shift","Night Shift")</f>
        <v/>
      </c>
      <c r="F6853" s="11">
        <f>INT(B6853)</f>
        <v/>
      </c>
      <c r="G6853" s="11">
        <f>INT(C6853)</f>
        <v/>
      </c>
    </row>
    <row r="6854">
      <c r="A6854" s="2" t="inlineStr">
        <is>
          <t>EXD73</t>
        </is>
      </c>
      <c r="B6854" s="3" t="n">
        <v>46133.25</v>
      </c>
      <c r="C6854" s="3" t="n">
        <v>46133.66533564815</v>
      </c>
      <c r="D6854" s="4">
        <f>(C6854-B6854)*24</f>
        <v/>
      </c>
      <c r="E6854" s="5">
        <f>IF(AND(HOUR(B6854)&gt;=6,HOUR(B6854)&lt;18),"Day Shift","Night Shift")</f>
        <v/>
      </c>
      <c r="F6854" s="6">
        <f>INT(B6854)</f>
        <v/>
      </c>
      <c r="G6854" s="6">
        <f>INT(C6854)</f>
        <v/>
      </c>
    </row>
    <row r="6855">
      <c r="A6855" s="2" t="inlineStr">
        <is>
          <t>Blast Crew DS</t>
        </is>
      </c>
      <c r="B6855" s="3" t="n">
        <v>46131.29394675926</v>
      </c>
      <c r="C6855" s="3" t="n">
        <v>46131.50630787037</v>
      </c>
      <c r="D6855" s="4">
        <f>(C6855-B6855)*24</f>
        <v/>
      </c>
      <c r="E6855" s="5">
        <f>IF(AND(HOUR(B6855)&gt;=6,HOUR(B6855)&lt;18),"Day Shift","Night Shift")</f>
        <v/>
      </c>
      <c r="F6855" s="6">
        <f>INT(B6855)</f>
        <v/>
      </c>
      <c r="G6855" s="6">
        <f>INT(C6855)</f>
        <v/>
      </c>
    </row>
    <row r="6856">
      <c r="A6856" s="2" t="inlineStr">
        <is>
          <t>SHE36</t>
        </is>
      </c>
      <c r="B6856" s="3" t="n">
        <v>46131.31899305555</v>
      </c>
      <c r="C6856" s="3" t="n">
        <v>46131.6759375</v>
      </c>
      <c r="D6856" s="4">
        <f>(C6856-B6856)*24</f>
        <v/>
      </c>
      <c r="E6856" s="5">
        <f>IF(AND(HOUR(B6856)&gt;=6,HOUR(B6856)&lt;18),"Day Shift","Night Shift")</f>
        <v/>
      </c>
      <c r="F6856" s="6">
        <f>INT(B6856)</f>
        <v/>
      </c>
      <c r="G6856" s="6">
        <f>INT(C6856)</f>
        <v/>
      </c>
    </row>
    <row r="6857">
      <c r="A6857" s="2" t="inlineStr">
        <is>
          <t>EDD2134;EDD2541;EDD812;EDD175;EDD1932</t>
        </is>
      </c>
      <c r="B6857" s="3" t="n">
        <v>46131.32864583333</v>
      </c>
      <c r="C6857" s="3" t="n">
        <v>46131.50260416666</v>
      </c>
      <c r="D6857" s="4">
        <f>(C6857-B6857)*24</f>
        <v/>
      </c>
      <c r="E6857" s="5">
        <f>IF(AND(HOUR(B6857)&gt;=6,HOUR(B6857)&lt;18),"Day Shift","Night Shift")</f>
        <v/>
      </c>
      <c r="F6857" s="6">
        <f>INT(B6857)</f>
        <v/>
      </c>
      <c r="G6857" s="6">
        <f>INT(C6857)</f>
        <v/>
      </c>
    </row>
    <row r="6858">
      <c r="A6858" s="2" t="inlineStr">
        <is>
          <t>Sprint 1</t>
        </is>
      </c>
      <c r="B6858" s="3" t="n">
        <v>46131.36818287037</v>
      </c>
      <c r="C6858" s="3" t="n">
        <v>46131.75</v>
      </c>
      <c r="D6858" s="4">
        <f>(C6858-B6858)*24</f>
        <v/>
      </c>
      <c r="E6858" s="5">
        <f>IF(AND(HOUR(B6858)&gt;=6,HOUR(B6858)&lt;18),"Day Shift","Night Shift")</f>
        <v/>
      </c>
      <c r="F6858" s="6">
        <f>INT(B6858)</f>
        <v/>
      </c>
      <c r="G6858" s="6">
        <f>INT(C6858)</f>
        <v/>
      </c>
    </row>
    <row r="6859">
      <c r="A6859" s="7" t="inlineStr">
        <is>
          <t>Sprint 1</t>
        </is>
      </c>
      <c r="B6859" s="8" t="n">
        <v>46131.75</v>
      </c>
      <c r="C6859" s="8" t="n">
        <v>46132.05173611111</v>
      </c>
      <c r="D6859" s="9">
        <f>(C6859-B6859)*24</f>
        <v/>
      </c>
      <c r="E6859" s="10">
        <f>IF(AND(HOUR(B6859)&gt;=6,HOUR(B6859)&lt;18),"Day Shift","Night Shift")</f>
        <v/>
      </c>
      <c r="F6859" s="11">
        <f>INT(B6859)</f>
        <v/>
      </c>
      <c r="G6859" s="11">
        <f>INT(C6859)</f>
        <v/>
      </c>
    </row>
    <row r="6860">
      <c r="A6860" s="2" t="inlineStr">
        <is>
          <t>Blast</t>
        </is>
      </c>
      <c r="B6860" s="3" t="n">
        <v>46131.45833333334</v>
      </c>
      <c r="C6860" s="3" t="n">
        <v>46131.45835648148</v>
      </c>
      <c r="D6860" s="4">
        <f>(C6860-B6860)*24</f>
        <v/>
      </c>
      <c r="E6860" s="5">
        <f>IF(AND(HOUR(B6860)&gt;=6,HOUR(B6860)&lt;18),"Day Shift","Night Shift")</f>
        <v/>
      </c>
      <c r="F6860" s="6">
        <f>INT(B6860)</f>
        <v/>
      </c>
      <c r="G6860" s="6">
        <f>INT(C6860)</f>
        <v/>
      </c>
    </row>
    <row r="6861">
      <c r="A6861" s="2" t="inlineStr">
        <is>
          <t>EXD52</t>
        </is>
      </c>
      <c r="B6861" s="3" t="n">
        <v>46131.45835648148</v>
      </c>
      <c r="C6861" s="3" t="n">
        <v>46131.71508101852</v>
      </c>
      <c r="D6861" s="4">
        <f>(C6861-B6861)*24</f>
        <v/>
      </c>
      <c r="E6861" s="5">
        <f>IF(AND(HOUR(B6861)&gt;=6,HOUR(B6861)&lt;18),"Day Shift","Night Shift")</f>
        <v/>
      </c>
      <c r="F6861" s="6">
        <f>INT(B6861)</f>
        <v/>
      </c>
      <c r="G6861" s="6">
        <f>INT(C6861)</f>
        <v/>
      </c>
    </row>
    <row r="6862">
      <c r="A6862" s="2" t="inlineStr">
        <is>
          <t>EXD407</t>
        </is>
      </c>
      <c r="B6862" s="3" t="n">
        <v>46131.46068287037</v>
      </c>
      <c r="C6862" s="3" t="n">
        <v>46131.75</v>
      </c>
      <c r="D6862" s="4">
        <f>(C6862-B6862)*24</f>
        <v/>
      </c>
      <c r="E6862" s="5">
        <f>IF(AND(HOUR(B6862)&gt;=6,HOUR(B6862)&lt;18),"Day Shift","Night Shift")</f>
        <v/>
      </c>
      <c r="F6862" s="6">
        <f>INT(B6862)</f>
        <v/>
      </c>
      <c r="G6862" s="6">
        <f>INT(C6862)</f>
        <v/>
      </c>
    </row>
    <row r="6863">
      <c r="A6863" s="7" t="inlineStr">
        <is>
          <t>EXD407</t>
        </is>
      </c>
      <c r="B6863" s="8" t="n">
        <v>46131.75</v>
      </c>
      <c r="C6863" s="8" t="n">
        <v>46132.25</v>
      </c>
      <c r="D6863" s="9">
        <f>(C6863-B6863)*24</f>
        <v/>
      </c>
      <c r="E6863" s="10">
        <f>IF(AND(HOUR(B6863)&gt;=6,HOUR(B6863)&lt;18),"Day Shift","Night Shift")</f>
        <v/>
      </c>
      <c r="F6863" s="11">
        <f>INT(B6863)</f>
        <v/>
      </c>
      <c r="G6863" s="11">
        <f>INT(C6863)</f>
        <v/>
      </c>
    </row>
    <row r="6864">
      <c r="A6864" s="2" t="inlineStr">
        <is>
          <t>EXD407</t>
        </is>
      </c>
      <c r="B6864" s="3" t="n">
        <v>46132.25</v>
      </c>
      <c r="C6864" s="3" t="n">
        <v>46132.54770833333</v>
      </c>
      <c r="D6864" s="4">
        <f>(C6864-B6864)*24</f>
        <v/>
      </c>
      <c r="E6864" s="5">
        <f>IF(AND(HOUR(B6864)&gt;=6,HOUR(B6864)&lt;18),"Day Shift","Night Shift")</f>
        <v/>
      </c>
      <c r="F6864" s="6">
        <f>INT(B6864)</f>
        <v/>
      </c>
      <c r="G6864" s="6">
        <f>INT(C6864)</f>
        <v/>
      </c>
    </row>
    <row r="6865">
      <c r="A6865" s="2" t="inlineStr">
        <is>
          <t>EDD175;EDD1932;EDD2134;EDD2541;EDD812</t>
        </is>
      </c>
      <c r="B6865" s="3" t="n">
        <v>46131.50260416666</v>
      </c>
      <c r="C6865" s="3" t="n">
        <v>46131.60614583334</v>
      </c>
      <c r="D6865" s="4">
        <f>(C6865-B6865)*24</f>
        <v/>
      </c>
      <c r="E6865" s="5">
        <f>IF(AND(HOUR(B6865)&gt;=6,HOUR(B6865)&lt;18),"Day Shift","Night Shift")</f>
        <v/>
      </c>
      <c r="F6865" s="6">
        <f>INT(B6865)</f>
        <v/>
      </c>
      <c r="G6865" s="6">
        <f>INT(C6865)</f>
        <v/>
      </c>
    </row>
    <row r="6866">
      <c r="A6866" s="2" t="inlineStr">
        <is>
          <t>Blast Crew DS</t>
        </is>
      </c>
      <c r="B6866" s="3" t="n">
        <v>46131.50630787037</v>
      </c>
      <c r="C6866" s="3" t="n">
        <v>46131.72576388889</v>
      </c>
      <c r="D6866" s="4">
        <f>(C6866-B6866)*24</f>
        <v/>
      </c>
      <c r="E6866" s="5">
        <f>IF(AND(HOUR(B6866)&gt;=6,HOUR(B6866)&lt;18),"Day Shift","Night Shift")</f>
        <v/>
      </c>
      <c r="F6866" s="6">
        <f>INT(B6866)</f>
        <v/>
      </c>
      <c r="G6866" s="6">
        <f>INT(C6866)</f>
        <v/>
      </c>
    </row>
    <row r="6867">
      <c r="A6867" s="2" t="inlineStr">
        <is>
          <t>EDD175;EDD1932;EDD2134;EDD2541;EDD812</t>
        </is>
      </c>
      <c r="B6867" s="3" t="n">
        <v>46131.60614583334</v>
      </c>
      <c r="C6867" s="3" t="n">
        <v>46131.7077199074</v>
      </c>
      <c r="D6867" s="4">
        <f>(C6867-B6867)*24</f>
        <v/>
      </c>
      <c r="E6867" s="5">
        <f>IF(AND(HOUR(B6867)&gt;=6,HOUR(B6867)&lt;18),"Day Shift","Night Shift")</f>
        <v/>
      </c>
      <c r="F6867" s="6">
        <f>INT(B6867)</f>
        <v/>
      </c>
      <c r="G6867" s="6">
        <f>INT(C6867)</f>
        <v/>
      </c>
    </row>
    <row r="6868">
      <c r="A6868" s="2" t="inlineStr">
        <is>
          <t>EXD98</t>
        </is>
      </c>
      <c r="B6868" s="3" t="n">
        <v>46131.63234953704</v>
      </c>
      <c r="C6868" s="3" t="n">
        <v>46131.75</v>
      </c>
      <c r="D6868" s="4">
        <f>(C6868-B6868)*24</f>
        <v/>
      </c>
      <c r="E6868" s="5">
        <f>IF(AND(HOUR(B6868)&gt;=6,HOUR(B6868)&lt;18),"Day Shift","Night Shift")</f>
        <v/>
      </c>
      <c r="F6868" s="6">
        <f>INT(B6868)</f>
        <v/>
      </c>
      <c r="G6868" s="6">
        <f>INT(C6868)</f>
        <v/>
      </c>
    </row>
    <row r="6869">
      <c r="A6869" s="7" t="inlineStr">
        <is>
          <t>EXD98</t>
        </is>
      </c>
      <c r="B6869" s="8" t="n">
        <v>46131.75</v>
      </c>
      <c r="C6869" s="8" t="n">
        <v>46132.18513888889</v>
      </c>
      <c r="D6869" s="9">
        <f>(C6869-B6869)*24</f>
        <v/>
      </c>
      <c r="E6869" s="10">
        <f>IF(AND(HOUR(B6869)&gt;=6,HOUR(B6869)&lt;18),"Day Shift","Night Shift")</f>
        <v/>
      </c>
      <c r="F6869" s="11">
        <f>INT(B6869)</f>
        <v/>
      </c>
      <c r="G6869" s="11">
        <f>INT(C6869)</f>
        <v/>
      </c>
    </row>
    <row r="6870">
      <c r="A6870" s="2" t="inlineStr">
        <is>
          <t>EDD175;EDD1932;EDD2134;EDD2541;EDD812</t>
        </is>
      </c>
      <c r="B6870" s="3" t="n">
        <v>46131.7077199074</v>
      </c>
      <c r="C6870" s="3" t="n">
        <v>46131.75</v>
      </c>
      <c r="D6870" s="4">
        <f>(C6870-B6870)*24</f>
        <v/>
      </c>
      <c r="E6870" s="5">
        <f>IF(AND(HOUR(B6870)&gt;=6,HOUR(B6870)&lt;18),"Day Shift","Night Shift")</f>
        <v/>
      </c>
      <c r="F6870" s="6">
        <f>INT(B6870)</f>
        <v/>
      </c>
      <c r="G6870" s="6">
        <f>INT(C6870)</f>
        <v/>
      </c>
    </row>
    <row r="6871">
      <c r="A6871" s="7" t="inlineStr">
        <is>
          <t>EDD175;EDD1932;EDD2134;EDD2541;EDD812</t>
        </is>
      </c>
      <c r="B6871" s="8" t="n">
        <v>46131.75</v>
      </c>
      <c r="C6871" s="8" t="n">
        <v>46131.79958333333</v>
      </c>
      <c r="D6871" s="9">
        <f>(C6871-B6871)*24</f>
        <v/>
      </c>
      <c r="E6871" s="10">
        <f>IF(AND(HOUR(B6871)&gt;=6,HOUR(B6871)&lt;18),"Day Shift","Night Shift")</f>
        <v/>
      </c>
      <c r="F6871" s="11">
        <f>INT(B6871)</f>
        <v/>
      </c>
      <c r="G6871" s="11">
        <f>INT(C6871)</f>
        <v/>
      </c>
    </row>
    <row r="6872">
      <c r="A6872" s="2" t="inlineStr">
        <is>
          <t>EXD52</t>
        </is>
      </c>
      <c r="B6872" s="3" t="n">
        <v>46131.71508101852</v>
      </c>
      <c r="C6872" s="3" t="n">
        <v>46131.75</v>
      </c>
      <c r="D6872" s="4">
        <f>(C6872-B6872)*24</f>
        <v/>
      </c>
      <c r="E6872" s="5">
        <f>IF(AND(HOUR(B6872)&gt;=6,HOUR(B6872)&lt;18),"Day Shift","Night Shift")</f>
        <v/>
      </c>
      <c r="F6872" s="6">
        <f>INT(B6872)</f>
        <v/>
      </c>
      <c r="G6872" s="6">
        <f>INT(C6872)</f>
        <v/>
      </c>
    </row>
    <row r="6873">
      <c r="A6873" s="7" t="inlineStr">
        <is>
          <t>EXD52</t>
        </is>
      </c>
      <c r="B6873" s="8" t="n">
        <v>46131.75</v>
      </c>
      <c r="C6873" s="8" t="n">
        <v>46131.97179398148</v>
      </c>
      <c r="D6873" s="9">
        <f>(C6873-B6873)*24</f>
        <v/>
      </c>
      <c r="E6873" s="10">
        <f>IF(AND(HOUR(B6873)&gt;=6,HOUR(B6873)&lt;18),"Day Shift","Night Shift")</f>
        <v/>
      </c>
      <c r="F6873" s="11">
        <f>INT(B6873)</f>
        <v/>
      </c>
      <c r="G6873" s="11">
        <f>INT(C6873)</f>
        <v/>
      </c>
    </row>
    <row r="6874">
      <c r="A6874" s="2" t="inlineStr">
        <is>
          <t>SHE36</t>
        </is>
      </c>
      <c r="B6874" s="3" t="n">
        <v>46131.73563657407</v>
      </c>
      <c r="C6874" s="3" t="n">
        <v>46131.75</v>
      </c>
      <c r="D6874" s="4">
        <f>(C6874-B6874)*24</f>
        <v/>
      </c>
      <c r="E6874" s="5">
        <f>IF(AND(HOUR(B6874)&gt;=6,HOUR(B6874)&lt;18),"Day Shift","Night Shift")</f>
        <v/>
      </c>
      <c r="F6874" s="6">
        <f>INT(B6874)</f>
        <v/>
      </c>
      <c r="G6874" s="6">
        <f>INT(C6874)</f>
        <v/>
      </c>
    </row>
    <row r="6875">
      <c r="A6875" s="7" t="inlineStr">
        <is>
          <t>SHE36</t>
        </is>
      </c>
      <c r="B6875" s="8" t="n">
        <v>46131.75</v>
      </c>
      <c r="C6875" s="8" t="n">
        <v>46132.10184027778</v>
      </c>
      <c r="D6875" s="9">
        <f>(C6875-B6875)*24</f>
        <v/>
      </c>
      <c r="E6875" s="10">
        <f>IF(AND(HOUR(B6875)&gt;=6,HOUR(B6875)&lt;18),"Day Shift","Night Shift")</f>
        <v/>
      </c>
      <c r="F6875" s="11">
        <f>INT(B6875)</f>
        <v/>
      </c>
      <c r="G6875" s="11">
        <f>INT(C6875)</f>
        <v/>
      </c>
    </row>
    <row r="6876">
      <c r="A6876" s="7" t="inlineStr">
        <is>
          <t>EXD51</t>
        </is>
      </c>
      <c r="B6876" s="8" t="n">
        <v>46131.77300925926</v>
      </c>
      <c r="C6876" s="8" t="n">
        <v>46132.25</v>
      </c>
      <c r="D6876" s="9">
        <f>(C6876-B6876)*24</f>
        <v/>
      </c>
      <c r="E6876" s="10">
        <f>IF(AND(HOUR(B6876)&gt;=6,HOUR(B6876)&lt;18),"Day Shift","Night Shift")</f>
        <v/>
      </c>
      <c r="F6876" s="11">
        <f>INT(B6876)</f>
        <v/>
      </c>
      <c r="G6876" s="11">
        <f>INT(C6876)</f>
        <v/>
      </c>
    </row>
    <row r="6877">
      <c r="A6877" s="2" t="inlineStr">
        <is>
          <t>EXD51</t>
        </is>
      </c>
      <c r="B6877" s="3" t="n">
        <v>46132.25</v>
      </c>
      <c r="C6877" s="3" t="n">
        <v>46132.75</v>
      </c>
      <c r="D6877" s="4">
        <f>(C6877-B6877)*24</f>
        <v/>
      </c>
      <c r="E6877" s="5">
        <f>IF(AND(HOUR(B6877)&gt;=6,HOUR(B6877)&lt;18),"Day Shift","Night Shift")</f>
        <v/>
      </c>
      <c r="F6877" s="6">
        <f>INT(B6877)</f>
        <v/>
      </c>
      <c r="G6877" s="6">
        <f>INT(C6877)</f>
        <v/>
      </c>
    </row>
    <row r="6878">
      <c r="A6878" s="7" t="inlineStr">
        <is>
          <t>EXD51</t>
        </is>
      </c>
      <c r="B6878" s="8" t="n">
        <v>46132.75</v>
      </c>
      <c r="C6878" s="8" t="n">
        <v>46133.0983449074</v>
      </c>
      <c r="D6878" s="9">
        <f>(C6878-B6878)*24</f>
        <v/>
      </c>
      <c r="E6878" s="10">
        <f>IF(AND(HOUR(B6878)&gt;=6,HOUR(B6878)&lt;18),"Day Shift","Night Shift")</f>
        <v/>
      </c>
      <c r="F6878" s="11">
        <f>INT(B6878)</f>
        <v/>
      </c>
      <c r="G6878" s="11">
        <f>INT(C6878)</f>
        <v/>
      </c>
    </row>
    <row r="6879">
      <c r="A6879" s="7" t="inlineStr">
        <is>
          <t>EDD175;EDD1932;EDD2134;EDD2541;EDD812</t>
        </is>
      </c>
      <c r="B6879" s="8" t="n">
        <v>46131.79958333333</v>
      </c>
      <c r="C6879" s="8" t="n">
        <v>46131.88116898148</v>
      </c>
      <c r="D6879" s="9">
        <f>(C6879-B6879)*24</f>
        <v/>
      </c>
      <c r="E6879" s="10">
        <f>IF(AND(HOUR(B6879)&gt;=6,HOUR(B6879)&lt;18),"Day Shift","Night Shift")</f>
        <v/>
      </c>
      <c r="F6879" s="11">
        <f>INT(B6879)</f>
        <v/>
      </c>
      <c r="G6879" s="11">
        <f>INT(C6879)</f>
        <v/>
      </c>
    </row>
    <row r="6880">
      <c r="A6880" s="7" t="inlineStr">
        <is>
          <t>EDD175;EDD1932;EDD2134;EDD2541;EDD812</t>
        </is>
      </c>
      <c r="B6880" s="8" t="n">
        <v>46131.88116898148</v>
      </c>
      <c r="C6880" s="8" t="n">
        <v>46131.95412037037</v>
      </c>
      <c r="D6880" s="9">
        <f>(C6880-B6880)*24</f>
        <v/>
      </c>
      <c r="E6880" s="10">
        <f>IF(AND(HOUR(B6880)&gt;=6,HOUR(B6880)&lt;18),"Day Shift","Night Shift")</f>
        <v/>
      </c>
      <c r="F6880" s="11">
        <f>INT(B6880)</f>
        <v/>
      </c>
      <c r="G6880" s="11">
        <f>INT(C6880)</f>
        <v/>
      </c>
    </row>
    <row r="6881">
      <c r="A6881" s="7" t="inlineStr">
        <is>
          <t>EXD408</t>
        </is>
      </c>
      <c r="B6881" s="8" t="n">
        <v>46131.8856712963</v>
      </c>
      <c r="C6881" s="8" t="n">
        <v>46132.25</v>
      </c>
      <c r="D6881" s="9">
        <f>(C6881-B6881)*24</f>
        <v/>
      </c>
      <c r="E6881" s="10">
        <f>IF(AND(HOUR(B6881)&gt;=6,HOUR(B6881)&lt;18),"Day Shift","Night Shift")</f>
        <v/>
      </c>
      <c r="F6881" s="11">
        <f>INT(B6881)</f>
        <v/>
      </c>
      <c r="G6881" s="11">
        <f>INT(C6881)</f>
        <v/>
      </c>
    </row>
    <row r="6882">
      <c r="A6882" s="2" t="inlineStr">
        <is>
          <t>EXD408</t>
        </is>
      </c>
      <c r="B6882" s="3" t="n">
        <v>46132.25</v>
      </c>
      <c r="C6882" s="3" t="n">
        <v>46132.75</v>
      </c>
      <c r="D6882" s="4">
        <f>(C6882-B6882)*24</f>
        <v/>
      </c>
      <c r="E6882" s="5">
        <f>IF(AND(HOUR(B6882)&gt;=6,HOUR(B6882)&lt;18),"Day Shift","Night Shift")</f>
        <v/>
      </c>
      <c r="F6882" s="6">
        <f>INT(B6882)</f>
        <v/>
      </c>
      <c r="G6882" s="6">
        <f>INT(C6882)</f>
        <v/>
      </c>
    </row>
    <row r="6883">
      <c r="A6883" s="7" t="inlineStr">
        <is>
          <t>EXD408</t>
        </is>
      </c>
      <c r="B6883" s="8" t="n">
        <v>46132.75</v>
      </c>
      <c r="C6883" s="8" t="n">
        <v>46133.25</v>
      </c>
      <c r="D6883" s="9">
        <f>(C6883-B6883)*24</f>
        <v/>
      </c>
      <c r="E6883" s="10">
        <f>IF(AND(HOUR(B6883)&gt;=6,HOUR(B6883)&lt;18),"Day Shift","Night Shift")</f>
        <v/>
      </c>
      <c r="F6883" s="11">
        <f>INT(B6883)</f>
        <v/>
      </c>
      <c r="G6883" s="11">
        <f>INT(C6883)</f>
        <v/>
      </c>
    </row>
    <row r="6884">
      <c r="A6884" s="2" t="inlineStr">
        <is>
          <t>EXD408</t>
        </is>
      </c>
      <c r="B6884" s="3" t="n">
        <v>46133.25</v>
      </c>
      <c r="C6884" s="3" t="n">
        <v>46133.39745370371</v>
      </c>
      <c r="D6884" s="4">
        <f>(C6884-B6884)*24</f>
        <v/>
      </c>
      <c r="E6884" s="5">
        <f>IF(AND(HOUR(B6884)&gt;=6,HOUR(B6884)&lt;18),"Day Shift","Night Shift")</f>
        <v/>
      </c>
      <c r="F6884" s="6">
        <f>INT(B6884)</f>
        <v/>
      </c>
      <c r="G6884" s="6">
        <f>INT(C6884)</f>
        <v/>
      </c>
    </row>
    <row r="6885">
      <c r="A6885" s="7" t="inlineStr">
        <is>
          <t>EDD175;EDD1932;EDD2134;EDD2541;EDD812</t>
        </is>
      </c>
      <c r="B6885" s="8" t="n">
        <v>46131.95412037037</v>
      </c>
      <c r="C6885" s="8" t="n">
        <v>46132.02087962963</v>
      </c>
      <c r="D6885" s="9">
        <f>(C6885-B6885)*24</f>
        <v/>
      </c>
      <c r="E6885" s="10">
        <f>IF(AND(HOUR(B6885)&gt;=6,HOUR(B6885)&lt;18),"Day Shift","Night Shift")</f>
        <v/>
      </c>
      <c r="F6885" s="11">
        <f>INT(B6885)</f>
        <v/>
      </c>
      <c r="G6885" s="11">
        <f>INT(C6885)</f>
        <v/>
      </c>
    </row>
    <row r="6886">
      <c r="A6886" s="7" t="inlineStr">
        <is>
          <t>EXD60</t>
        </is>
      </c>
      <c r="B6886" s="8" t="n">
        <v>46131.97072916666</v>
      </c>
      <c r="C6886" s="8" t="n">
        <v>46132.25</v>
      </c>
      <c r="D6886" s="9">
        <f>(C6886-B6886)*24</f>
        <v/>
      </c>
      <c r="E6886" s="10">
        <f>IF(AND(HOUR(B6886)&gt;=6,HOUR(B6886)&lt;18),"Day Shift","Night Shift")</f>
        <v/>
      </c>
      <c r="F6886" s="11">
        <f>INT(B6886)</f>
        <v/>
      </c>
      <c r="G6886" s="11">
        <f>INT(C6886)</f>
        <v/>
      </c>
    </row>
    <row r="6887">
      <c r="A6887" s="2" t="inlineStr">
        <is>
          <t>EXD60</t>
        </is>
      </c>
      <c r="B6887" s="3" t="n">
        <v>46132.25</v>
      </c>
      <c r="C6887" s="3" t="n">
        <v>46132.75</v>
      </c>
      <c r="D6887" s="4">
        <f>(C6887-B6887)*24</f>
        <v/>
      </c>
      <c r="E6887" s="5">
        <f>IF(AND(HOUR(B6887)&gt;=6,HOUR(B6887)&lt;18),"Day Shift","Night Shift")</f>
        <v/>
      </c>
      <c r="F6887" s="6">
        <f>INT(B6887)</f>
        <v/>
      </c>
      <c r="G6887" s="6">
        <f>INT(C6887)</f>
        <v/>
      </c>
    </row>
    <row r="6888">
      <c r="A6888" s="7" t="inlineStr">
        <is>
          <t>EXD60</t>
        </is>
      </c>
      <c r="B6888" s="8" t="n">
        <v>46132.75</v>
      </c>
      <c r="C6888" s="8" t="n">
        <v>46132.89195601852</v>
      </c>
      <c r="D6888" s="9">
        <f>(C6888-B6888)*24</f>
        <v/>
      </c>
      <c r="E6888" s="10">
        <f>IF(AND(HOUR(B6888)&gt;=6,HOUR(B6888)&lt;18),"Day Shift","Night Shift")</f>
        <v/>
      </c>
      <c r="F6888" s="11">
        <f>INT(B6888)</f>
        <v/>
      </c>
      <c r="G6888" s="11">
        <f>INT(C6888)</f>
        <v/>
      </c>
    </row>
    <row r="6889">
      <c r="A6889" s="7" t="inlineStr">
        <is>
          <t>DRE08</t>
        </is>
      </c>
      <c r="B6889" s="8" t="n">
        <v>46132.00795138889</v>
      </c>
      <c r="C6889" s="8" t="n">
        <v>46132.25</v>
      </c>
      <c r="D6889" s="9">
        <f>(C6889-B6889)*24</f>
        <v/>
      </c>
      <c r="E6889" s="10">
        <f>IF(AND(HOUR(B6889)&gt;=6,HOUR(B6889)&lt;18),"Day Shift","Night Shift")</f>
        <v/>
      </c>
      <c r="F6889" s="11">
        <f>INT(B6889)</f>
        <v/>
      </c>
      <c r="G6889" s="11">
        <f>INT(C6889)</f>
        <v/>
      </c>
    </row>
    <row r="6890">
      <c r="A6890" s="2" t="inlineStr">
        <is>
          <t>DRE08</t>
        </is>
      </c>
      <c r="B6890" s="3" t="n">
        <v>46132.25</v>
      </c>
      <c r="C6890" s="3" t="n">
        <v>46132.75</v>
      </c>
      <c r="D6890" s="4">
        <f>(C6890-B6890)*24</f>
        <v/>
      </c>
      <c r="E6890" s="5">
        <f>IF(AND(HOUR(B6890)&gt;=6,HOUR(B6890)&lt;18),"Day Shift","Night Shift")</f>
        <v/>
      </c>
      <c r="F6890" s="6">
        <f>INT(B6890)</f>
        <v/>
      </c>
      <c r="G6890" s="6">
        <f>INT(C6890)</f>
        <v/>
      </c>
    </row>
    <row r="6891">
      <c r="A6891" s="7" t="inlineStr">
        <is>
          <t>DRE08</t>
        </is>
      </c>
      <c r="B6891" s="8" t="n">
        <v>46132.75</v>
      </c>
      <c r="C6891" s="8" t="n">
        <v>46133.25</v>
      </c>
      <c r="D6891" s="9">
        <f>(C6891-B6891)*24</f>
        <v/>
      </c>
      <c r="E6891" s="10">
        <f>IF(AND(HOUR(B6891)&gt;=6,HOUR(B6891)&lt;18),"Day Shift","Night Shift")</f>
        <v/>
      </c>
      <c r="F6891" s="11">
        <f>INT(B6891)</f>
        <v/>
      </c>
      <c r="G6891" s="11">
        <f>INT(C6891)</f>
        <v/>
      </c>
    </row>
    <row r="6892">
      <c r="A6892" s="2" t="inlineStr">
        <is>
          <t>DRE08</t>
        </is>
      </c>
      <c r="B6892" s="3" t="n">
        <v>46133.25</v>
      </c>
      <c r="C6892" s="3" t="n">
        <v>46133.75</v>
      </c>
      <c r="D6892" s="4">
        <f>(C6892-B6892)*24</f>
        <v/>
      </c>
      <c r="E6892" s="5">
        <f>IF(AND(HOUR(B6892)&gt;=6,HOUR(B6892)&lt;18),"Day Shift","Night Shift")</f>
        <v/>
      </c>
      <c r="F6892" s="6">
        <f>INT(B6892)</f>
        <v/>
      </c>
      <c r="G6892" s="6">
        <f>INT(C6892)</f>
        <v/>
      </c>
    </row>
    <row r="6893">
      <c r="A6893" s="7" t="inlineStr">
        <is>
          <t>DRE08</t>
        </is>
      </c>
      <c r="B6893" s="8" t="n">
        <v>46133.75</v>
      </c>
      <c r="C6893" s="8" t="n">
        <v>46134.25</v>
      </c>
      <c r="D6893" s="9">
        <f>(C6893-B6893)*24</f>
        <v/>
      </c>
      <c r="E6893" s="10">
        <f>IF(AND(HOUR(B6893)&gt;=6,HOUR(B6893)&lt;18),"Day Shift","Night Shift")</f>
        <v/>
      </c>
      <c r="F6893" s="11">
        <f>INT(B6893)</f>
        <v/>
      </c>
      <c r="G6893" s="11">
        <f>INT(C6893)</f>
        <v/>
      </c>
    </row>
    <row r="6894">
      <c r="A6894" s="2" t="inlineStr">
        <is>
          <t>DRE08</t>
        </is>
      </c>
      <c r="B6894" s="3" t="n">
        <v>46134.25</v>
      </c>
      <c r="C6894" s="3" t="n">
        <v>46134.75</v>
      </c>
      <c r="D6894" s="4">
        <f>(C6894-B6894)*24</f>
        <v/>
      </c>
      <c r="E6894" s="5">
        <f>IF(AND(HOUR(B6894)&gt;=6,HOUR(B6894)&lt;18),"Day Shift","Night Shift")</f>
        <v/>
      </c>
      <c r="F6894" s="6">
        <f>INT(B6894)</f>
        <v/>
      </c>
      <c r="G6894" s="6">
        <f>INT(C6894)</f>
        <v/>
      </c>
    </row>
    <row r="6895">
      <c r="A6895" s="7" t="inlineStr">
        <is>
          <t>DRE08</t>
        </is>
      </c>
      <c r="B6895" s="8" t="n">
        <v>46134.75</v>
      </c>
      <c r="C6895" s="8" t="n">
        <v>46135.25</v>
      </c>
      <c r="D6895" s="9">
        <f>(C6895-B6895)*24</f>
        <v/>
      </c>
      <c r="E6895" s="10">
        <f>IF(AND(HOUR(B6895)&gt;=6,HOUR(B6895)&lt;18),"Day Shift","Night Shift")</f>
        <v/>
      </c>
      <c r="F6895" s="11">
        <f>INT(B6895)</f>
        <v/>
      </c>
      <c r="G6895" s="11">
        <f>INT(C6895)</f>
        <v/>
      </c>
    </row>
    <row r="6896">
      <c r="A6896" s="2" t="inlineStr">
        <is>
          <t>DRE08</t>
        </is>
      </c>
      <c r="B6896" s="3" t="n">
        <v>46135.25</v>
      </c>
      <c r="C6896" s="3" t="n">
        <v>46135.75</v>
      </c>
      <c r="D6896" s="4">
        <f>(C6896-B6896)*24</f>
        <v/>
      </c>
      <c r="E6896" s="5">
        <f>IF(AND(HOUR(B6896)&gt;=6,HOUR(B6896)&lt;18),"Day Shift","Night Shift")</f>
        <v/>
      </c>
      <c r="F6896" s="6">
        <f>INT(B6896)</f>
        <v/>
      </c>
      <c r="G6896" s="6">
        <f>INT(C6896)</f>
        <v/>
      </c>
    </row>
    <row r="6897">
      <c r="A6897" s="7" t="inlineStr">
        <is>
          <t>DRE08</t>
        </is>
      </c>
      <c r="B6897" s="8" t="n">
        <v>46135.75</v>
      </c>
      <c r="C6897" s="8" t="n">
        <v>46136.25</v>
      </c>
      <c r="D6897" s="9">
        <f>(C6897-B6897)*24</f>
        <v/>
      </c>
      <c r="E6897" s="10">
        <f>IF(AND(HOUR(B6897)&gt;=6,HOUR(B6897)&lt;18),"Day Shift","Night Shift")</f>
        <v/>
      </c>
      <c r="F6897" s="11">
        <f>INT(B6897)</f>
        <v/>
      </c>
      <c r="G6897" s="11">
        <f>INT(C6897)</f>
        <v/>
      </c>
    </row>
    <row r="6898">
      <c r="A6898" s="2" t="inlineStr">
        <is>
          <t>DRE08</t>
        </is>
      </c>
      <c r="B6898" s="3" t="n">
        <v>46136.25</v>
      </c>
      <c r="C6898" s="3" t="n">
        <v>46136.75</v>
      </c>
      <c r="D6898" s="4">
        <f>(C6898-B6898)*24</f>
        <v/>
      </c>
      <c r="E6898" s="5">
        <f>IF(AND(HOUR(B6898)&gt;=6,HOUR(B6898)&lt;18),"Day Shift","Night Shift")</f>
        <v/>
      </c>
      <c r="F6898" s="6">
        <f>INT(B6898)</f>
        <v/>
      </c>
      <c r="G6898" s="6">
        <f>INT(C6898)</f>
        <v/>
      </c>
    </row>
    <row r="6899">
      <c r="A6899" s="7" t="inlineStr">
        <is>
          <t>DRE08</t>
        </is>
      </c>
      <c r="B6899" s="8" t="n">
        <v>46136.75</v>
      </c>
      <c r="C6899" s="8" t="n">
        <v>46137.25</v>
      </c>
      <c r="D6899" s="9">
        <f>(C6899-B6899)*24</f>
        <v/>
      </c>
      <c r="E6899" s="10">
        <f>IF(AND(HOUR(B6899)&gt;=6,HOUR(B6899)&lt;18),"Day Shift","Night Shift")</f>
        <v/>
      </c>
      <c r="F6899" s="11">
        <f>INT(B6899)</f>
        <v/>
      </c>
      <c r="G6899" s="11">
        <f>INT(C6899)</f>
        <v/>
      </c>
    </row>
    <row r="6900">
      <c r="A6900" s="2" t="inlineStr">
        <is>
          <t>DRE08</t>
        </is>
      </c>
      <c r="B6900" s="3" t="n">
        <v>46137.25</v>
      </c>
      <c r="C6900" s="3" t="n">
        <v>46137.75</v>
      </c>
      <c r="D6900" s="4">
        <f>(C6900-B6900)*24</f>
        <v/>
      </c>
      <c r="E6900" s="5">
        <f>IF(AND(HOUR(B6900)&gt;=6,HOUR(B6900)&lt;18),"Day Shift","Night Shift")</f>
        <v/>
      </c>
      <c r="F6900" s="6">
        <f>INT(B6900)</f>
        <v/>
      </c>
      <c r="G6900" s="6">
        <f>INT(C6900)</f>
        <v/>
      </c>
    </row>
    <row r="6901">
      <c r="A6901" s="7" t="inlineStr">
        <is>
          <t>DRE08</t>
        </is>
      </c>
      <c r="B6901" s="8" t="n">
        <v>46137.75</v>
      </c>
      <c r="C6901" s="8" t="n">
        <v>46137.87043981482</v>
      </c>
      <c r="D6901" s="9">
        <f>(C6901-B6901)*24</f>
        <v/>
      </c>
      <c r="E6901" s="10">
        <f>IF(AND(HOUR(B6901)&gt;=6,HOUR(B6901)&lt;18),"Day Shift","Night Shift")</f>
        <v/>
      </c>
      <c r="F6901" s="11">
        <f>INT(B6901)</f>
        <v/>
      </c>
      <c r="G6901" s="11">
        <f>INT(C6901)</f>
        <v/>
      </c>
    </row>
    <row r="6902">
      <c r="A6902" s="7" t="inlineStr">
        <is>
          <t>EDD175;EDD1932;EDD2134;EDD2541;EDD812</t>
        </is>
      </c>
      <c r="B6902" s="8" t="n">
        <v>46132.02087962963</v>
      </c>
      <c r="C6902" s="8" t="n">
        <v>46132.06666666667</v>
      </c>
      <c r="D6902" s="9">
        <f>(C6902-B6902)*24</f>
        <v/>
      </c>
      <c r="E6902" s="10">
        <f>IF(AND(HOUR(B6902)&gt;=6,HOUR(B6902)&lt;18),"Day Shift","Night Shift")</f>
        <v/>
      </c>
      <c r="F6902" s="11">
        <f>INT(B6902)</f>
        <v/>
      </c>
      <c r="G6902" s="11">
        <f>INT(C6902)</f>
        <v/>
      </c>
    </row>
    <row r="6903">
      <c r="A6903" s="7" t="inlineStr">
        <is>
          <t>Sprint 1;EDD175;EDD1932;EDD2134;EDD2541;EDD812</t>
        </is>
      </c>
      <c r="B6903" s="8" t="n">
        <v>46132.05173611111</v>
      </c>
      <c r="C6903" s="8" t="n">
        <v>46132.17564814815</v>
      </c>
      <c r="D6903" s="9">
        <f>(C6903-B6903)*24</f>
        <v/>
      </c>
      <c r="E6903" s="10">
        <f>IF(AND(HOUR(B6903)&gt;=6,HOUR(B6903)&lt;18),"Day Shift","Night Shift")</f>
        <v/>
      </c>
      <c r="F6903" s="11">
        <f>INT(B6903)</f>
        <v/>
      </c>
      <c r="G6903" s="11">
        <f>INT(C6903)</f>
        <v/>
      </c>
    </row>
    <row r="6904">
      <c r="A6904" s="7" t="inlineStr">
        <is>
          <t>EXD100</t>
        </is>
      </c>
      <c r="B6904" s="8" t="n">
        <v>46132.06334490741</v>
      </c>
      <c r="C6904" s="8" t="n">
        <v>46132.25</v>
      </c>
      <c r="D6904" s="9">
        <f>(C6904-B6904)*24</f>
        <v/>
      </c>
      <c r="E6904" s="10">
        <f>IF(AND(HOUR(B6904)&gt;=6,HOUR(B6904)&lt;18),"Day Shift","Night Shift")</f>
        <v/>
      </c>
      <c r="F6904" s="11">
        <f>INT(B6904)</f>
        <v/>
      </c>
      <c r="G6904" s="11">
        <f>INT(C6904)</f>
        <v/>
      </c>
    </row>
    <row r="6905">
      <c r="A6905" s="2" t="inlineStr">
        <is>
          <t>EXD100</t>
        </is>
      </c>
      <c r="B6905" s="3" t="n">
        <v>46132.25</v>
      </c>
      <c r="C6905" s="3" t="n">
        <v>46132.75</v>
      </c>
      <c r="D6905" s="4">
        <f>(C6905-B6905)*24</f>
        <v/>
      </c>
      <c r="E6905" s="5">
        <f>IF(AND(HOUR(B6905)&gt;=6,HOUR(B6905)&lt;18),"Day Shift","Night Shift")</f>
        <v/>
      </c>
      <c r="F6905" s="6">
        <f>INT(B6905)</f>
        <v/>
      </c>
      <c r="G6905" s="6">
        <f>INT(C6905)</f>
        <v/>
      </c>
    </row>
    <row r="6906">
      <c r="A6906" s="7" t="inlineStr">
        <is>
          <t>EXD100</t>
        </is>
      </c>
      <c r="B6906" s="8" t="n">
        <v>46132.75</v>
      </c>
      <c r="C6906" s="8" t="n">
        <v>46133.04615740741</v>
      </c>
      <c r="D6906" s="9">
        <f>(C6906-B6906)*24</f>
        <v/>
      </c>
      <c r="E6906" s="10">
        <f>IF(AND(HOUR(B6906)&gt;=6,HOUR(B6906)&lt;18),"Day Shift","Night Shift")</f>
        <v/>
      </c>
      <c r="F6906" s="11">
        <f>INT(B6906)</f>
        <v/>
      </c>
      <c r="G6906" s="11">
        <f>INT(C6906)</f>
        <v/>
      </c>
    </row>
    <row r="6907">
      <c r="A6907" s="7" t="inlineStr">
        <is>
          <t>EXD101</t>
        </is>
      </c>
      <c r="B6907" s="8" t="n">
        <v>46132.06626157407</v>
      </c>
      <c r="C6907" s="8" t="n">
        <v>46132.25</v>
      </c>
      <c r="D6907" s="9">
        <f>(C6907-B6907)*24</f>
        <v/>
      </c>
      <c r="E6907" s="10">
        <f>IF(AND(HOUR(B6907)&gt;=6,HOUR(B6907)&lt;18),"Day Shift","Night Shift")</f>
        <v/>
      </c>
      <c r="F6907" s="11">
        <f>INT(B6907)</f>
        <v/>
      </c>
      <c r="G6907" s="11">
        <f>INT(C6907)</f>
        <v/>
      </c>
    </row>
    <row r="6908">
      <c r="A6908" s="2" t="inlineStr">
        <is>
          <t>EXD101</t>
        </is>
      </c>
      <c r="B6908" s="3" t="n">
        <v>46132.25</v>
      </c>
      <c r="C6908" s="3" t="n">
        <v>46132.75</v>
      </c>
      <c r="D6908" s="4">
        <f>(C6908-B6908)*24</f>
        <v/>
      </c>
      <c r="E6908" s="5">
        <f>IF(AND(HOUR(B6908)&gt;=6,HOUR(B6908)&lt;18),"Day Shift","Night Shift")</f>
        <v/>
      </c>
      <c r="F6908" s="6">
        <f>INT(B6908)</f>
        <v/>
      </c>
      <c r="G6908" s="6">
        <f>INT(C6908)</f>
        <v/>
      </c>
    </row>
    <row r="6909">
      <c r="A6909" s="7" t="inlineStr">
        <is>
          <t>EXD101</t>
        </is>
      </c>
      <c r="B6909" s="8" t="n">
        <v>46132.75</v>
      </c>
      <c r="C6909" s="8" t="n">
        <v>46133.25</v>
      </c>
      <c r="D6909" s="9">
        <f>(C6909-B6909)*24</f>
        <v/>
      </c>
      <c r="E6909" s="10">
        <f>IF(AND(HOUR(B6909)&gt;=6,HOUR(B6909)&lt;18),"Day Shift","Night Shift")</f>
        <v/>
      </c>
      <c r="F6909" s="11">
        <f>INT(B6909)</f>
        <v/>
      </c>
      <c r="G6909" s="11">
        <f>INT(C6909)</f>
        <v/>
      </c>
    </row>
    <row r="6910">
      <c r="A6910" s="2" t="inlineStr">
        <is>
          <t>EXD101</t>
        </is>
      </c>
      <c r="B6910" s="3" t="n">
        <v>46133.25</v>
      </c>
      <c r="C6910" s="3" t="n">
        <v>46133.75</v>
      </c>
      <c r="D6910" s="4">
        <f>(C6910-B6910)*24</f>
        <v/>
      </c>
      <c r="E6910" s="5">
        <f>IF(AND(HOUR(B6910)&gt;=6,HOUR(B6910)&lt;18),"Day Shift","Night Shift")</f>
        <v/>
      </c>
      <c r="F6910" s="6">
        <f>INT(B6910)</f>
        <v/>
      </c>
      <c r="G6910" s="6">
        <f>INT(C6910)</f>
        <v/>
      </c>
    </row>
    <row r="6911">
      <c r="A6911" s="7" t="inlineStr">
        <is>
          <t>EXD101</t>
        </is>
      </c>
      <c r="B6911" s="8" t="n">
        <v>46133.75</v>
      </c>
      <c r="C6911" s="8" t="n">
        <v>46134.25</v>
      </c>
      <c r="D6911" s="9">
        <f>(C6911-B6911)*24</f>
        <v/>
      </c>
      <c r="E6911" s="10">
        <f>IF(AND(HOUR(B6911)&gt;=6,HOUR(B6911)&lt;18),"Day Shift","Night Shift")</f>
        <v/>
      </c>
      <c r="F6911" s="11">
        <f>INT(B6911)</f>
        <v/>
      </c>
      <c r="G6911" s="11">
        <f>INT(C6911)</f>
        <v/>
      </c>
    </row>
    <row r="6912">
      <c r="A6912" s="2" t="inlineStr">
        <is>
          <t>EXD101</t>
        </is>
      </c>
      <c r="B6912" s="3" t="n">
        <v>46134.25</v>
      </c>
      <c r="C6912" s="3" t="n">
        <v>46134.66502314815</v>
      </c>
      <c r="D6912" s="4">
        <f>(C6912-B6912)*24</f>
        <v/>
      </c>
      <c r="E6912" s="5">
        <f>IF(AND(HOUR(B6912)&gt;=6,HOUR(B6912)&lt;18),"Day Shift","Night Shift")</f>
        <v/>
      </c>
      <c r="F6912" s="6">
        <f>INT(B6912)</f>
        <v/>
      </c>
      <c r="G6912" s="6">
        <f>INT(C6912)</f>
        <v/>
      </c>
    </row>
    <row r="6913">
      <c r="A6913" s="7" t="inlineStr">
        <is>
          <t>SHE36</t>
        </is>
      </c>
      <c r="B6913" s="8" t="n">
        <v>46132.10877314815</v>
      </c>
      <c r="C6913" s="8" t="n">
        <v>46132.25</v>
      </c>
      <c r="D6913" s="9">
        <f>(C6913-B6913)*24</f>
        <v/>
      </c>
      <c r="E6913" s="10">
        <f>IF(AND(HOUR(B6913)&gt;=6,HOUR(B6913)&lt;18),"Day Shift","Night Shift")</f>
        <v/>
      </c>
      <c r="F6913" s="11">
        <f>INT(B6913)</f>
        <v/>
      </c>
      <c r="G6913" s="11">
        <f>INT(C6913)</f>
        <v/>
      </c>
    </row>
    <row r="6914">
      <c r="A6914" s="2" t="inlineStr">
        <is>
          <t>SHE36</t>
        </is>
      </c>
      <c r="B6914" s="3" t="n">
        <v>46132.25</v>
      </c>
      <c r="C6914" s="3" t="n">
        <v>46132.71162037037</v>
      </c>
      <c r="D6914" s="4">
        <f>(C6914-B6914)*24</f>
        <v/>
      </c>
      <c r="E6914" s="5">
        <f>IF(AND(HOUR(B6914)&gt;=6,HOUR(B6914)&lt;18),"Day Shift","Night Shift")</f>
        <v/>
      </c>
      <c r="F6914" s="6">
        <f>INT(B6914)</f>
        <v/>
      </c>
      <c r="G6914" s="6">
        <f>INT(C6914)</f>
        <v/>
      </c>
    </row>
    <row r="6915">
      <c r="A6915" s="7" t="inlineStr">
        <is>
          <t>EDD175;EDD1932;EDD2134;EDD2541;EDD812;Sprint 1</t>
        </is>
      </c>
      <c r="B6915" s="8" t="n">
        <v>46132.17564814815</v>
      </c>
      <c r="C6915" s="8" t="n">
        <v>46132.25</v>
      </c>
      <c r="D6915" s="9">
        <f>(C6915-B6915)*24</f>
        <v/>
      </c>
      <c r="E6915" s="10">
        <f>IF(AND(HOUR(B6915)&gt;=6,HOUR(B6915)&lt;18),"Day Shift","Night Shift")</f>
        <v/>
      </c>
      <c r="F6915" s="11">
        <f>INT(B6915)</f>
        <v/>
      </c>
      <c r="G6915" s="11">
        <f>INT(C6915)</f>
        <v/>
      </c>
    </row>
    <row r="6916">
      <c r="A6916" s="2" t="inlineStr">
        <is>
          <t>EDD175;EDD1932;EDD2134;EDD2541;EDD812;Sprint 1</t>
        </is>
      </c>
      <c r="B6916" s="3" t="n">
        <v>46132.25</v>
      </c>
      <c r="C6916" s="3" t="n">
        <v>46132.27517361111</v>
      </c>
      <c r="D6916" s="4">
        <f>(C6916-B6916)*24</f>
        <v/>
      </c>
      <c r="E6916" s="5">
        <f>IF(AND(HOUR(B6916)&gt;=6,HOUR(B6916)&lt;18),"Day Shift","Night Shift")</f>
        <v/>
      </c>
      <c r="F6916" s="6">
        <f>INT(B6916)</f>
        <v/>
      </c>
      <c r="G6916" s="6">
        <f>INT(C6916)</f>
        <v/>
      </c>
    </row>
    <row r="6917">
      <c r="A6917" s="7" t="inlineStr">
        <is>
          <t>EXD98</t>
        </is>
      </c>
      <c r="B6917" s="8" t="n">
        <v>46132.18513888889</v>
      </c>
      <c r="C6917" s="8" t="n">
        <v>46132.25</v>
      </c>
      <c r="D6917" s="9">
        <f>(C6917-B6917)*24</f>
        <v/>
      </c>
      <c r="E6917" s="10">
        <f>IF(AND(HOUR(B6917)&gt;=6,HOUR(B6917)&lt;18),"Day Shift","Night Shift")</f>
        <v/>
      </c>
      <c r="F6917" s="11">
        <f>INT(B6917)</f>
        <v/>
      </c>
      <c r="G6917" s="11">
        <f>INT(C6917)</f>
        <v/>
      </c>
    </row>
    <row r="6918">
      <c r="A6918" s="2" t="inlineStr">
        <is>
          <t>EXD98</t>
        </is>
      </c>
      <c r="B6918" s="3" t="n">
        <v>46132.25</v>
      </c>
      <c r="C6918" s="3" t="n">
        <v>46132.75</v>
      </c>
      <c r="D6918" s="4">
        <f>(C6918-B6918)*24</f>
        <v/>
      </c>
      <c r="E6918" s="5">
        <f>IF(AND(HOUR(B6918)&gt;=6,HOUR(B6918)&lt;18),"Day Shift","Night Shift")</f>
        <v/>
      </c>
      <c r="F6918" s="6">
        <f>INT(B6918)</f>
        <v/>
      </c>
      <c r="G6918" s="6">
        <f>INT(C6918)</f>
        <v/>
      </c>
    </row>
    <row r="6919">
      <c r="A6919" s="7" t="inlineStr">
        <is>
          <t>EXD98</t>
        </is>
      </c>
      <c r="B6919" s="8" t="n">
        <v>46132.75</v>
      </c>
      <c r="C6919" s="8" t="n">
        <v>46132.98873842593</v>
      </c>
      <c r="D6919" s="9">
        <f>(C6919-B6919)*24</f>
        <v/>
      </c>
      <c r="E6919" s="10">
        <f>IF(AND(HOUR(B6919)&gt;=6,HOUR(B6919)&lt;18),"Day Shift","Night Shift")</f>
        <v/>
      </c>
      <c r="F6919" s="11">
        <f>INT(B6919)</f>
        <v/>
      </c>
      <c r="G6919" s="11">
        <f>INT(C6919)</f>
        <v/>
      </c>
    </row>
    <row r="6920">
      <c r="A6920" s="2" t="inlineStr">
        <is>
          <t>EXD61</t>
        </is>
      </c>
      <c r="B6920" s="3" t="n">
        <v>46132.25699074074</v>
      </c>
      <c r="C6920" s="3" t="n">
        <v>46132.75</v>
      </c>
      <c r="D6920" s="4">
        <f>(C6920-B6920)*24</f>
        <v/>
      </c>
      <c r="E6920" s="5">
        <f>IF(AND(HOUR(B6920)&gt;=6,HOUR(B6920)&lt;18),"Day Shift","Night Shift")</f>
        <v/>
      </c>
      <c r="F6920" s="6">
        <f>INT(B6920)</f>
        <v/>
      </c>
      <c r="G6920" s="6">
        <f>INT(C6920)</f>
        <v/>
      </c>
    </row>
    <row r="6921">
      <c r="A6921" s="7" t="inlineStr">
        <is>
          <t>EXD61</t>
        </is>
      </c>
      <c r="B6921" s="8" t="n">
        <v>46132.75</v>
      </c>
      <c r="C6921" s="8" t="n">
        <v>46133.25</v>
      </c>
      <c r="D6921" s="9">
        <f>(C6921-B6921)*24</f>
        <v/>
      </c>
      <c r="E6921" s="10">
        <f>IF(AND(HOUR(B6921)&gt;=6,HOUR(B6921)&lt;18),"Day Shift","Night Shift")</f>
        <v/>
      </c>
      <c r="F6921" s="11">
        <f>INT(B6921)</f>
        <v/>
      </c>
      <c r="G6921" s="11">
        <f>INT(C6921)</f>
        <v/>
      </c>
    </row>
    <row r="6922">
      <c r="A6922" s="2" t="inlineStr">
        <is>
          <t>EXD61</t>
        </is>
      </c>
      <c r="B6922" s="3" t="n">
        <v>46133.25</v>
      </c>
      <c r="C6922" s="3" t="n">
        <v>46133.56702546297</v>
      </c>
      <c r="D6922" s="4">
        <f>(C6922-B6922)*24</f>
        <v/>
      </c>
      <c r="E6922" s="5">
        <f>IF(AND(HOUR(B6922)&gt;=6,HOUR(B6922)&lt;18),"Day Shift","Night Shift")</f>
        <v/>
      </c>
      <c r="F6922" s="6">
        <f>INT(B6922)</f>
        <v/>
      </c>
      <c r="G6922" s="6">
        <f>INT(C6922)</f>
        <v/>
      </c>
    </row>
    <row r="6923">
      <c r="A6923" s="2" t="inlineStr">
        <is>
          <t>EDD175;EDD1932;EDD2134;EDD2541;EDD812;Sprint 1</t>
        </is>
      </c>
      <c r="B6923" s="3" t="n">
        <v>46132.27517361111</v>
      </c>
      <c r="C6923" s="3" t="n">
        <v>46132.75</v>
      </c>
      <c r="D6923" s="4">
        <f>(C6923-B6923)*24</f>
        <v/>
      </c>
      <c r="E6923" s="5">
        <f>IF(AND(HOUR(B6923)&gt;=6,HOUR(B6923)&lt;18),"Day Shift","Night Shift")</f>
        <v/>
      </c>
      <c r="F6923" s="6">
        <f>INT(B6923)</f>
        <v/>
      </c>
      <c r="G6923" s="6">
        <f>INT(C6923)</f>
        <v/>
      </c>
    </row>
    <row r="6924">
      <c r="A6924" s="7" t="inlineStr">
        <is>
          <t>EDD175;EDD1932;EDD2134;EDD2541;EDD812;Sprint 1</t>
        </is>
      </c>
      <c r="B6924" s="8" t="n">
        <v>46132.75</v>
      </c>
      <c r="C6924" s="8" t="n">
        <v>46133.25</v>
      </c>
      <c r="D6924" s="9">
        <f>(C6924-B6924)*24</f>
        <v/>
      </c>
      <c r="E6924" s="10">
        <f>IF(AND(HOUR(B6924)&gt;=6,HOUR(B6924)&lt;18),"Day Shift","Night Shift")</f>
        <v/>
      </c>
      <c r="F6924" s="11">
        <f>INT(B6924)</f>
        <v/>
      </c>
      <c r="G6924" s="11">
        <f>INT(C6924)</f>
        <v/>
      </c>
    </row>
    <row r="6925">
      <c r="A6925" s="2" t="inlineStr">
        <is>
          <t>EDD175;EDD1932;EDD2134;EDD2541;EDD812;Sprint 1</t>
        </is>
      </c>
      <c r="B6925" s="3" t="n">
        <v>46133.25</v>
      </c>
      <c r="C6925" s="3" t="n">
        <v>46133.75</v>
      </c>
      <c r="D6925" s="4">
        <f>(C6925-B6925)*24</f>
        <v/>
      </c>
      <c r="E6925" s="5">
        <f>IF(AND(HOUR(B6925)&gt;=6,HOUR(B6925)&lt;18),"Day Shift","Night Shift")</f>
        <v/>
      </c>
      <c r="F6925" s="6">
        <f>INT(B6925)</f>
        <v/>
      </c>
      <c r="G6925" s="6">
        <f>INT(C6925)</f>
        <v/>
      </c>
    </row>
    <row r="6926">
      <c r="A6926" s="7" t="inlineStr">
        <is>
          <t>EDD175;EDD1932;EDD2134;EDD2541;EDD812;Sprint 1</t>
        </is>
      </c>
      <c r="B6926" s="8" t="n">
        <v>46133.75</v>
      </c>
      <c r="C6926" s="8" t="n">
        <v>46133.83650462963</v>
      </c>
      <c r="D6926" s="9">
        <f>(C6926-B6926)*24</f>
        <v/>
      </c>
      <c r="E6926" s="10">
        <f>IF(AND(HOUR(B6926)&gt;=6,HOUR(B6926)&lt;18),"Day Shift","Night Shift")</f>
        <v/>
      </c>
      <c r="F6926" s="11">
        <f>INT(B6926)</f>
        <v/>
      </c>
      <c r="G6926" s="11">
        <f>INT(C6926)</f>
        <v/>
      </c>
    </row>
    <row r="6927">
      <c r="A6927" s="2" t="inlineStr">
        <is>
          <t>EDD175;EDD1932;EDD2134;EDD2541;EDD812;Sprint 1</t>
        </is>
      </c>
      <c r="B6927" s="3" t="n">
        <v>46132.30381944445</v>
      </c>
      <c r="C6927" s="3" t="n">
        <v>46132.48502314815</v>
      </c>
      <c r="D6927" s="4">
        <f>(C6927-B6927)*24</f>
        <v/>
      </c>
      <c r="E6927" s="5">
        <f>IF(AND(HOUR(B6927)&gt;=6,HOUR(B6927)&lt;18),"Day Shift","Night Shift")</f>
        <v/>
      </c>
      <c r="F6927" s="6">
        <f>INT(B6927)</f>
        <v/>
      </c>
      <c r="G6927" s="6">
        <f>INT(C6927)</f>
        <v/>
      </c>
    </row>
    <row r="6928">
      <c r="A6928" s="2" t="inlineStr">
        <is>
          <t>Blast Crew DS</t>
        </is>
      </c>
      <c r="B6928" s="3" t="n">
        <v>46132.36476851852</v>
      </c>
      <c r="C6928" s="3" t="n">
        <v>46132.75</v>
      </c>
      <c r="D6928" s="4">
        <f>(C6928-B6928)*24</f>
        <v/>
      </c>
      <c r="E6928" s="5">
        <f>IF(AND(HOUR(B6928)&gt;=6,HOUR(B6928)&lt;18),"Day Shift","Night Shift")</f>
        <v/>
      </c>
      <c r="F6928" s="6">
        <f>INT(B6928)</f>
        <v/>
      </c>
      <c r="G6928" s="6">
        <f>INT(C6928)</f>
        <v/>
      </c>
    </row>
    <row r="6929">
      <c r="A6929" s="7" t="inlineStr">
        <is>
          <t>Blast Crew DS</t>
        </is>
      </c>
      <c r="B6929" s="8" t="n">
        <v>46132.75</v>
      </c>
      <c r="C6929" s="8" t="n">
        <v>46132.76605324074</v>
      </c>
      <c r="D6929" s="9">
        <f>(C6929-B6929)*24</f>
        <v/>
      </c>
      <c r="E6929" s="10">
        <f>IF(AND(HOUR(B6929)&gt;=6,HOUR(B6929)&lt;18),"Day Shift","Night Shift")</f>
        <v/>
      </c>
      <c r="F6929" s="11">
        <f>INT(B6929)</f>
        <v/>
      </c>
      <c r="G6929" s="11">
        <f>INT(C6929)</f>
        <v/>
      </c>
    </row>
    <row r="6930">
      <c r="A6930" s="2" t="inlineStr">
        <is>
          <t>Blast</t>
        </is>
      </c>
      <c r="B6930" s="3" t="n">
        <v>46132.45833333334</v>
      </c>
      <c r="C6930" s="3" t="n">
        <v>46132.45866898148</v>
      </c>
      <c r="D6930" s="4">
        <f>(C6930-B6930)*24</f>
        <v/>
      </c>
      <c r="E6930" s="5">
        <f>IF(AND(HOUR(B6930)&gt;=6,HOUR(B6930)&lt;18),"Day Shift","Night Shift")</f>
        <v/>
      </c>
      <c r="F6930" s="6">
        <f>INT(B6930)</f>
        <v/>
      </c>
      <c r="G6930" s="6">
        <f>INT(C6930)</f>
        <v/>
      </c>
    </row>
    <row r="6931">
      <c r="A6931" s="2" t="inlineStr">
        <is>
          <t>Blast</t>
        </is>
      </c>
      <c r="B6931" s="3" t="n">
        <v>46132.45866898148</v>
      </c>
      <c r="C6931" s="3" t="n">
        <v>46132.45905092593</v>
      </c>
      <c r="D6931" s="4">
        <f>(C6931-B6931)*24</f>
        <v/>
      </c>
      <c r="E6931" s="5">
        <f>IF(AND(HOUR(B6931)&gt;=6,HOUR(B6931)&lt;18),"Day Shift","Night Shift")</f>
        <v/>
      </c>
      <c r="F6931" s="6">
        <f>INT(B6931)</f>
        <v/>
      </c>
      <c r="G6931" s="6">
        <f>INT(C6931)</f>
        <v/>
      </c>
    </row>
    <row r="6932">
      <c r="A6932" s="2" t="inlineStr">
        <is>
          <t>EXD55</t>
        </is>
      </c>
      <c r="B6932" s="3" t="n">
        <v>46132.45905092593</v>
      </c>
      <c r="C6932" s="3" t="n">
        <v>46132.75</v>
      </c>
      <c r="D6932" s="4">
        <f>(C6932-B6932)*24</f>
        <v/>
      </c>
      <c r="E6932" s="5">
        <f>IF(AND(HOUR(B6932)&gt;=6,HOUR(B6932)&lt;18),"Day Shift","Night Shift")</f>
        <v/>
      </c>
      <c r="F6932" s="6">
        <f>INT(B6932)</f>
        <v/>
      </c>
      <c r="G6932" s="6">
        <f>INT(C6932)</f>
        <v/>
      </c>
    </row>
    <row r="6933">
      <c r="A6933" s="7" t="inlineStr">
        <is>
          <t>EXD55</t>
        </is>
      </c>
      <c r="B6933" s="8" t="n">
        <v>46132.75</v>
      </c>
      <c r="C6933" s="8" t="n">
        <v>46133.25</v>
      </c>
      <c r="D6933" s="9">
        <f>(C6933-B6933)*24</f>
        <v/>
      </c>
      <c r="E6933" s="10">
        <f>IF(AND(HOUR(B6933)&gt;=6,HOUR(B6933)&lt;18),"Day Shift","Night Shift")</f>
        <v/>
      </c>
      <c r="F6933" s="11">
        <f>INT(B6933)</f>
        <v/>
      </c>
      <c r="G6933" s="11">
        <f>INT(C6933)</f>
        <v/>
      </c>
    </row>
    <row r="6934">
      <c r="A6934" s="2" t="inlineStr">
        <is>
          <t>EXD55</t>
        </is>
      </c>
      <c r="B6934" s="3" t="n">
        <v>46133.25</v>
      </c>
      <c r="C6934" s="3" t="n">
        <v>46133.75</v>
      </c>
      <c r="D6934" s="4">
        <f>(C6934-B6934)*24</f>
        <v/>
      </c>
      <c r="E6934" s="5">
        <f>IF(AND(HOUR(B6934)&gt;=6,HOUR(B6934)&lt;18),"Day Shift","Night Shift")</f>
        <v/>
      </c>
      <c r="F6934" s="6">
        <f>INT(B6934)</f>
        <v/>
      </c>
      <c r="G6934" s="6">
        <f>INT(C6934)</f>
        <v/>
      </c>
    </row>
    <row r="6935">
      <c r="A6935" s="7" t="inlineStr">
        <is>
          <t>EXD55</t>
        </is>
      </c>
      <c r="B6935" s="8" t="n">
        <v>46133.75</v>
      </c>
      <c r="C6935" s="8" t="n">
        <v>46134.25</v>
      </c>
      <c r="D6935" s="9">
        <f>(C6935-B6935)*24</f>
        <v/>
      </c>
      <c r="E6935" s="10">
        <f>IF(AND(HOUR(B6935)&gt;=6,HOUR(B6935)&lt;18),"Day Shift","Night Shift")</f>
        <v/>
      </c>
      <c r="F6935" s="11">
        <f>INT(B6935)</f>
        <v/>
      </c>
      <c r="G6935" s="11">
        <f>INT(C6935)</f>
        <v/>
      </c>
    </row>
    <row r="6936">
      <c r="A6936" s="2" t="inlineStr">
        <is>
          <t>EXD55</t>
        </is>
      </c>
      <c r="B6936" s="3" t="n">
        <v>46134.25</v>
      </c>
      <c r="C6936" s="3" t="n">
        <v>46134.75</v>
      </c>
      <c r="D6936" s="4">
        <f>(C6936-B6936)*24</f>
        <v/>
      </c>
      <c r="E6936" s="5">
        <f>IF(AND(HOUR(B6936)&gt;=6,HOUR(B6936)&lt;18),"Day Shift","Night Shift")</f>
        <v/>
      </c>
      <c r="F6936" s="6">
        <f>INT(B6936)</f>
        <v/>
      </c>
      <c r="G6936" s="6">
        <f>INT(C6936)</f>
        <v/>
      </c>
    </row>
    <row r="6937">
      <c r="A6937" s="7" t="inlineStr">
        <is>
          <t>EXD55</t>
        </is>
      </c>
      <c r="B6937" s="8" t="n">
        <v>46134.75</v>
      </c>
      <c r="C6937" s="8" t="n">
        <v>46135.25</v>
      </c>
      <c r="D6937" s="9">
        <f>(C6937-B6937)*24</f>
        <v/>
      </c>
      <c r="E6937" s="10">
        <f>IF(AND(HOUR(B6937)&gt;=6,HOUR(B6937)&lt;18),"Day Shift","Night Shift")</f>
        <v/>
      </c>
      <c r="F6937" s="11">
        <f>INT(B6937)</f>
        <v/>
      </c>
      <c r="G6937" s="11">
        <f>INT(C6937)</f>
        <v/>
      </c>
    </row>
    <row r="6938">
      <c r="A6938" s="2" t="inlineStr">
        <is>
          <t>EXD55</t>
        </is>
      </c>
      <c r="B6938" s="3" t="n">
        <v>46135.25</v>
      </c>
      <c r="C6938" s="3" t="n">
        <v>46135.75</v>
      </c>
      <c r="D6938" s="4">
        <f>(C6938-B6938)*24</f>
        <v/>
      </c>
      <c r="E6938" s="5">
        <f>IF(AND(HOUR(B6938)&gt;=6,HOUR(B6938)&lt;18),"Day Shift","Night Shift")</f>
        <v/>
      </c>
      <c r="F6938" s="6">
        <f>INT(B6938)</f>
        <v/>
      </c>
      <c r="G6938" s="6">
        <f>INT(C6938)</f>
        <v/>
      </c>
    </row>
    <row r="6939">
      <c r="A6939" s="7" t="inlineStr">
        <is>
          <t>EXD55</t>
        </is>
      </c>
      <c r="B6939" s="8" t="n">
        <v>46135.75</v>
      </c>
      <c r="C6939" s="8" t="n">
        <v>46136.25</v>
      </c>
      <c r="D6939" s="9">
        <f>(C6939-B6939)*24</f>
        <v/>
      </c>
      <c r="E6939" s="10">
        <f>IF(AND(HOUR(B6939)&gt;=6,HOUR(B6939)&lt;18),"Day Shift","Night Shift")</f>
        <v/>
      </c>
      <c r="F6939" s="11">
        <f>INT(B6939)</f>
        <v/>
      </c>
      <c r="G6939" s="11">
        <f>INT(C6939)</f>
        <v/>
      </c>
    </row>
    <row r="6940">
      <c r="A6940" s="2" t="inlineStr">
        <is>
          <t>EXD55</t>
        </is>
      </c>
      <c r="B6940" s="3" t="n">
        <v>46136.25</v>
      </c>
      <c r="C6940" s="3" t="n">
        <v>46136.75</v>
      </c>
      <c r="D6940" s="4">
        <f>(C6940-B6940)*24</f>
        <v/>
      </c>
      <c r="E6940" s="5">
        <f>IF(AND(HOUR(B6940)&gt;=6,HOUR(B6940)&lt;18),"Day Shift","Night Shift")</f>
        <v/>
      </c>
      <c r="F6940" s="6">
        <f>INT(B6940)</f>
        <v/>
      </c>
      <c r="G6940" s="6">
        <f>INT(C6940)</f>
        <v/>
      </c>
    </row>
    <row r="6941">
      <c r="A6941" s="7" t="inlineStr">
        <is>
          <t>EXD55</t>
        </is>
      </c>
      <c r="B6941" s="8" t="n">
        <v>46136.75</v>
      </c>
      <c r="C6941" s="8" t="n">
        <v>46137.25</v>
      </c>
      <c r="D6941" s="9">
        <f>(C6941-B6941)*24</f>
        <v/>
      </c>
      <c r="E6941" s="10">
        <f>IF(AND(HOUR(B6941)&gt;=6,HOUR(B6941)&lt;18),"Day Shift","Night Shift")</f>
        <v/>
      </c>
      <c r="F6941" s="11">
        <f>INT(B6941)</f>
        <v/>
      </c>
      <c r="G6941" s="11">
        <f>INT(C6941)</f>
        <v/>
      </c>
    </row>
    <row r="6942">
      <c r="A6942" s="2" t="inlineStr">
        <is>
          <t>EXD55</t>
        </is>
      </c>
      <c r="B6942" s="3" t="n">
        <v>46137.25</v>
      </c>
      <c r="C6942" s="3" t="n">
        <v>46137.75</v>
      </c>
      <c r="D6942" s="4">
        <f>(C6942-B6942)*24</f>
        <v/>
      </c>
      <c r="E6942" s="5">
        <f>IF(AND(HOUR(B6942)&gt;=6,HOUR(B6942)&lt;18),"Day Shift","Night Shift")</f>
        <v/>
      </c>
      <c r="F6942" s="6">
        <f>INT(B6942)</f>
        <v/>
      </c>
      <c r="G6942" s="6">
        <f>INT(C6942)</f>
        <v/>
      </c>
    </row>
    <row r="6943">
      <c r="A6943" s="7" t="inlineStr">
        <is>
          <t>EXD55</t>
        </is>
      </c>
      <c r="B6943" s="8" t="n">
        <v>46137.75</v>
      </c>
      <c r="C6943" s="8" t="n">
        <v>46138.25</v>
      </c>
      <c r="D6943" s="9">
        <f>(C6943-B6943)*24</f>
        <v/>
      </c>
      <c r="E6943" s="10">
        <f>IF(AND(HOUR(B6943)&gt;=6,HOUR(B6943)&lt;18),"Day Shift","Night Shift")</f>
        <v/>
      </c>
      <c r="F6943" s="11">
        <f>INT(B6943)</f>
        <v/>
      </c>
      <c r="G6943" s="11">
        <f>INT(C6943)</f>
        <v/>
      </c>
    </row>
    <row r="6944">
      <c r="A6944" s="2" t="inlineStr">
        <is>
          <t>EXD55</t>
        </is>
      </c>
      <c r="B6944" s="3" t="n">
        <v>46138.25</v>
      </c>
      <c r="C6944" s="3" t="n">
        <v>46138.75</v>
      </c>
      <c r="D6944" s="4">
        <f>(C6944-B6944)*24</f>
        <v/>
      </c>
      <c r="E6944" s="5">
        <f>IF(AND(HOUR(B6944)&gt;=6,HOUR(B6944)&lt;18),"Day Shift","Night Shift")</f>
        <v/>
      </c>
      <c r="F6944" s="6">
        <f>INT(B6944)</f>
        <v/>
      </c>
      <c r="G6944" s="6">
        <f>INT(C6944)</f>
        <v/>
      </c>
    </row>
    <row r="6945">
      <c r="A6945" s="7" t="inlineStr">
        <is>
          <t>EXD55</t>
        </is>
      </c>
      <c r="B6945" s="8" t="n">
        <v>46138.75</v>
      </c>
      <c r="C6945" s="8" t="n">
        <v>46139.25</v>
      </c>
      <c r="D6945" s="9">
        <f>(C6945-B6945)*24</f>
        <v/>
      </c>
      <c r="E6945" s="10">
        <f>IF(AND(HOUR(B6945)&gt;=6,HOUR(B6945)&lt;18),"Day Shift","Night Shift")</f>
        <v/>
      </c>
      <c r="F6945" s="11">
        <f>INT(B6945)</f>
        <v/>
      </c>
      <c r="G6945" s="11">
        <f>INT(C6945)</f>
        <v/>
      </c>
    </row>
    <row r="6946">
      <c r="A6946" s="2" t="inlineStr">
        <is>
          <t>EXD55</t>
        </is>
      </c>
      <c r="B6946" s="3" t="n">
        <v>46139.25</v>
      </c>
      <c r="C6946" s="3" t="n">
        <v>46139.50878472222</v>
      </c>
      <c r="D6946" s="4">
        <f>(C6946-B6946)*24</f>
        <v/>
      </c>
      <c r="E6946" s="5">
        <f>IF(AND(HOUR(B6946)&gt;=6,HOUR(B6946)&lt;18),"Day Shift","Night Shift")</f>
        <v/>
      </c>
      <c r="F6946" s="6">
        <f>INT(B6946)</f>
        <v/>
      </c>
      <c r="G6946" s="6">
        <f>INT(C6946)</f>
        <v/>
      </c>
    </row>
    <row r="6947">
      <c r="A6947" s="2" t="inlineStr">
        <is>
          <t>EDD175;EDD1932;EDD2134;EDD2541;EDD812;Sprint 1</t>
        </is>
      </c>
      <c r="B6947" s="3" t="n">
        <v>46132.48502314815</v>
      </c>
      <c r="C6947" s="3" t="n">
        <v>46132.65525462963</v>
      </c>
      <c r="D6947" s="4">
        <f>(C6947-B6947)*24</f>
        <v/>
      </c>
      <c r="E6947" s="5">
        <f>IF(AND(HOUR(B6947)&gt;=6,HOUR(B6947)&lt;18),"Day Shift","Night Shift")</f>
        <v/>
      </c>
      <c r="F6947" s="6">
        <f>INT(B6947)</f>
        <v/>
      </c>
      <c r="G6947" s="6">
        <f>INT(C6947)</f>
        <v/>
      </c>
    </row>
    <row r="6948">
      <c r="A6948" s="2" t="inlineStr">
        <is>
          <t>EXD409</t>
        </is>
      </c>
      <c r="B6948" s="3" t="n">
        <v>46132.51474537037</v>
      </c>
      <c r="C6948" s="3" t="n">
        <v>46132.75</v>
      </c>
      <c r="D6948" s="4">
        <f>(C6948-B6948)*24</f>
        <v/>
      </c>
      <c r="E6948" s="5">
        <f>IF(AND(HOUR(B6948)&gt;=6,HOUR(B6948)&lt;18),"Day Shift","Night Shift")</f>
        <v/>
      </c>
      <c r="F6948" s="6">
        <f>INT(B6948)</f>
        <v/>
      </c>
      <c r="G6948" s="6">
        <f>INT(C6948)</f>
        <v/>
      </c>
    </row>
    <row r="6949">
      <c r="A6949" s="7" t="inlineStr">
        <is>
          <t>EXD409</t>
        </is>
      </c>
      <c r="B6949" s="8" t="n">
        <v>46132.75</v>
      </c>
      <c r="C6949" s="8" t="n">
        <v>46133.25</v>
      </c>
      <c r="D6949" s="9">
        <f>(C6949-B6949)*24</f>
        <v/>
      </c>
      <c r="E6949" s="10">
        <f>IF(AND(HOUR(B6949)&gt;=6,HOUR(B6949)&lt;18),"Day Shift","Night Shift")</f>
        <v/>
      </c>
      <c r="F6949" s="11">
        <f>INT(B6949)</f>
        <v/>
      </c>
      <c r="G6949" s="11">
        <f>INT(C6949)</f>
        <v/>
      </c>
    </row>
    <row r="6950">
      <c r="A6950" s="2" t="inlineStr">
        <is>
          <t>EXD409</t>
        </is>
      </c>
      <c r="B6950" s="3" t="n">
        <v>46133.25</v>
      </c>
      <c r="C6950" s="3" t="n">
        <v>46133.75</v>
      </c>
      <c r="D6950" s="4">
        <f>(C6950-B6950)*24</f>
        <v/>
      </c>
      <c r="E6950" s="5">
        <f>IF(AND(HOUR(B6950)&gt;=6,HOUR(B6950)&lt;18),"Day Shift","Night Shift")</f>
        <v/>
      </c>
      <c r="F6950" s="6">
        <f>INT(B6950)</f>
        <v/>
      </c>
      <c r="G6950" s="6">
        <f>INT(C6950)</f>
        <v/>
      </c>
    </row>
    <row r="6951">
      <c r="A6951" s="7" t="inlineStr">
        <is>
          <t>EXD409</t>
        </is>
      </c>
      <c r="B6951" s="8" t="n">
        <v>46133.75</v>
      </c>
      <c r="C6951" s="8" t="n">
        <v>46134.25</v>
      </c>
      <c r="D6951" s="9">
        <f>(C6951-B6951)*24</f>
        <v/>
      </c>
      <c r="E6951" s="10">
        <f>IF(AND(HOUR(B6951)&gt;=6,HOUR(B6951)&lt;18),"Day Shift","Night Shift")</f>
        <v/>
      </c>
      <c r="F6951" s="11">
        <f>INT(B6951)</f>
        <v/>
      </c>
      <c r="G6951" s="11">
        <f>INT(C6951)</f>
        <v/>
      </c>
    </row>
    <row r="6952">
      <c r="A6952" s="2" t="inlineStr">
        <is>
          <t>EXD409</t>
        </is>
      </c>
      <c r="B6952" s="3" t="n">
        <v>46134.25</v>
      </c>
      <c r="C6952" s="3" t="n">
        <v>46134.75</v>
      </c>
      <c r="D6952" s="4">
        <f>(C6952-B6952)*24</f>
        <v/>
      </c>
      <c r="E6952" s="5">
        <f>IF(AND(HOUR(B6952)&gt;=6,HOUR(B6952)&lt;18),"Day Shift","Night Shift")</f>
        <v/>
      </c>
      <c r="F6952" s="6">
        <f>INT(B6952)</f>
        <v/>
      </c>
      <c r="G6952" s="6">
        <f>INT(C6952)</f>
        <v/>
      </c>
    </row>
    <row r="6953">
      <c r="A6953" s="7" t="inlineStr">
        <is>
          <t>EXD409</t>
        </is>
      </c>
      <c r="B6953" s="8" t="n">
        <v>46134.75</v>
      </c>
      <c r="C6953" s="8" t="n">
        <v>46135.25</v>
      </c>
      <c r="D6953" s="9">
        <f>(C6953-B6953)*24</f>
        <v/>
      </c>
      <c r="E6953" s="10">
        <f>IF(AND(HOUR(B6953)&gt;=6,HOUR(B6953)&lt;18),"Day Shift","Night Shift")</f>
        <v/>
      </c>
      <c r="F6953" s="11">
        <f>INT(B6953)</f>
        <v/>
      </c>
      <c r="G6953" s="11">
        <f>INT(C6953)</f>
        <v/>
      </c>
    </row>
    <row r="6954">
      <c r="A6954" s="2" t="inlineStr">
        <is>
          <t>EXD409</t>
        </is>
      </c>
      <c r="B6954" s="3" t="n">
        <v>46135.25</v>
      </c>
      <c r="C6954" s="3" t="n">
        <v>46135.75</v>
      </c>
      <c r="D6954" s="4">
        <f>(C6954-B6954)*24</f>
        <v/>
      </c>
      <c r="E6954" s="5">
        <f>IF(AND(HOUR(B6954)&gt;=6,HOUR(B6954)&lt;18),"Day Shift","Night Shift")</f>
        <v/>
      </c>
      <c r="F6954" s="6">
        <f>INT(B6954)</f>
        <v/>
      </c>
      <c r="G6954" s="6">
        <f>INT(C6954)</f>
        <v/>
      </c>
    </row>
    <row r="6955">
      <c r="A6955" s="7" t="inlineStr">
        <is>
          <t>EXD409</t>
        </is>
      </c>
      <c r="B6955" s="8" t="n">
        <v>46135.75</v>
      </c>
      <c r="C6955" s="8" t="n">
        <v>46135.84142361111</v>
      </c>
      <c r="D6955" s="9">
        <f>(C6955-B6955)*24</f>
        <v/>
      </c>
      <c r="E6955" s="10">
        <f>IF(AND(HOUR(B6955)&gt;=6,HOUR(B6955)&lt;18),"Day Shift","Night Shift")</f>
        <v/>
      </c>
      <c r="F6955" s="11">
        <f>INT(B6955)</f>
        <v/>
      </c>
      <c r="G6955" s="11">
        <f>INT(C6955)</f>
        <v/>
      </c>
    </row>
    <row r="6956">
      <c r="A6956" s="2" t="inlineStr">
        <is>
          <t>EXD407</t>
        </is>
      </c>
      <c r="B6956" s="3" t="n">
        <v>46132.54770833333</v>
      </c>
      <c r="C6956" s="3" t="n">
        <v>46132.75</v>
      </c>
      <c r="D6956" s="4">
        <f>(C6956-B6956)*24</f>
        <v/>
      </c>
      <c r="E6956" s="5">
        <f>IF(AND(HOUR(B6956)&gt;=6,HOUR(B6956)&lt;18),"Day Shift","Night Shift")</f>
        <v/>
      </c>
      <c r="F6956" s="6">
        <f>INT(B6956)</f>
        <v/>
      </c>
      <c r="G6956" s="6">
        <f>INT(C6956)</f>
        <v/>
      </c>
    </row>
    <row r="6957">
      <c r="A6957" s="7" t="inlineStr">
        <is>
          <t>EXD407</t>
        </is>
      </c>
      <c r="B6957" s="8" t="n">
        <v>46132.75</v>
      </c>
      <c r="C6957" s="8" t="n">
        <v>46133.25</v>
      </c>
      <c r="D6957" s="9">
        <f>(C6957-B6957)*24</f>
        <v/>
      </c>
      <c r="E6957" s="10">
        <f>IF(AND(HOUR(B6957)&gt;=6,HOUR(B6957)&lt;18),"Day Shift","Night Shift")</f>
        <v/>
      </c>
      <c r="F6957" s="11">
        <f>INT(B6957)</f>
        <v/>
      </c>
      <c r="G6957" s="11">
        <f>INT(C6957)</f>
        <v/>
      </c>
    </row>
    <row r="6958">
      <c r="A6958" s="2" t="inlineStr">
        <is>
          <t>EXD407</t>
        </is>
      </c>
      <c r="B6958" s="3" t="n">
        <v>46133.25</v>
      </c>
      <c r="C6958" s="3" t="n">
        <v>46133.75</v>
      </c>
      <c r="D6958" s="4">
        <f>(C6958-B6958)*24</f>
        <v/>
      </c>
      <c r="E6958" s="5">
        <f>IF(AND(HOUR(B6958)&gt;=6,HOUR(B6958)&lt;18),"Day Shift","Night Shift")</f>
        <v/>
      </c>
      <c r="F6958" s="6">
        <f>INT(B6958)</f>
        <v/>
      </c>
      <c r="G6958" s="6">
        <f>INT(C6958)</f>
        <v/>
      </c>
    </row>
    <row r="6959">
      <c r="A6959" s="7" t="inlineStr">
        <is>
          <t>EXD407</t>
        </is>
      </c>
      <c r="B6959" s="8" t="n">
        <v>46133.75</v>
      </c>
      <c r="C6959" s="8" t="n">
        <v>46134.25</v>
      </c>
      <c r="D6959" s="9">
        <f>(C6959-B6959)*24</f>
        <v/>
      </c>
      <c r="E6959" s="10">
        <f>IF(AND(HOUR(B6959)&gt;=6,HOUR(B6959)&lt;18),"Day Shift","Night Shift")</f>
        <v/>
      </c>
      <c r="F6959" s="11">
        <f>INT(B6959)</f>
        <v/>
      </c>
      <c r="G6959" s="11">
        <f>INT(C6959)</f>
        <v/>
      </c>
    </row>
    <row r="6960">
      <c r="A6960" s="2" t="inlineStr">
        <is>
          <t>EXD407</t>
        </is>
      </c>
      <c r="B6960" s="3" t="n">
        <v>46134.25</v>
      </c>
      <c r="C6960" s="3" t="n">
        <v>46134.75</v>
      </c>
      <c r="D6960" s="4">
        <f>(C6960-B6960)*24</f>
        <v/>
      </c>
      <c r="E6960" s="5">
        <f>IF(AND(HOUR(B6960)&gt;=6,HOUR(B6960)&lt;18),"Day Shift","Night Shift")</f>
        <v/>
      </c>
      <c r="F6960" s="6">
        <f>INT(B6960)</f>
        <v/>
      </c>
      <c r="G6960" s="6">
        <f>INT(C6960)</f>
        <v/>
      </c>
    </row>
    <row r="6961">
      <c r="A6961" s="7" t="inlineStr">
        <is>
          <t>EXD407</t>
        </is>
      </c>
      <c r="B6961" s="8" t="n">
        <v>46134.75</v>
      </c>
      <c r="C6961" s="8" t="n">
        <v>46135.25</v>
      </c>
      <c r="D6961" s="9">
        <f>(C6961-B6961)*24</f>
        <v/>
      </c>
      <c r="E6961" s="10">
        <f>IF(AND(HOUR(B6961)&gt;=6,HOUR(B6961)&lt;18),"Day Shift","Night Shift")</f>
        <v/>
      </c>
      <c r="F6961" s="11">
        <f>INT(B6961)</f>
        <v/>
      </c>
      <c r="G6961" s="11">
        <f>INT(C6961)</f>
        <v/>
      </c>
    </row>
    <row r="6962">
      <c r="A6962" s="2" t="inlineStr">
        <is>
          <t>EXD407</t>
        </is>
      </c>
      <c r="B6962" s="3" t="n">
        <v>46135.25</v>
      </c>
      <c r="C6962" s="3" t="n">
        <v>46135.38991898148</v>
      </c>
      <c r="D6962" s="4">
        <f>(C6962-B6962)*24</f>
        <v/>
      </c>
      <c r="E6962" s="5">
        <f>IF(AND(HOUR(B6962)&gt;=6,HOUR(B6962)&lt;18),"Day Shift","Night Shift")</f>
        <v/>
      </c>
      <c r="F6962" s="6">
        <f>INT(B6962)</f>
        <v/>
      </c>
      <c r="G6962" s="6">
        <f>INT(C6962)</f>
        <v/>
      </c>
    </row>
    <row r="6963">
      <c r="A6963" s="2" t="inlineStr">
        <is>
          <t>EXD56</t>
        </is>
      </c>
      <c r="B6963" s="3" t="n">
        <v>46132.63261574074</v>
      </c>
      <c r="C6963" s="3" t="n">
        <v>46132.75</v>
      </c>
      <c r="D6963" s="4">
        <f>(C6963-B6963)*24</f>
        <v/>
      </c>
      <c r="E6963" s="5">
        <f>IF(AND(HOUR(B6963)&gt;=6,HOUR(B6963)&lt;18),"Day Shift","Night Shift")</f>
        <v/>
      </c>
      <c r="F6963" s="6">
        <f>INT(B6963)</f>
        <v/>
      </c>
      <c r="G6963" s="6">
        <f>INT(C6963)</f>
        <v/>
      </c>
    </row>
    <row r="6964">
      <c r="A6964" s="7" t="inlineStr">
        <is>
          <t>EXD56</t>
        </is>
      </c>
      <c r="B6964" s="8" t="n">
        <v>46132.75</v>
      </c>
      <c r="C6964" s="8" t="n">
        <v>46133.25</v>
      </c>
      <c r="D6964" s="9">
        <f>(C6964-B6964)*24</f>
        <v/>
      </c>
      <c r="E6964" s="10">
        <f>IF(AND(HOUR(B6964)&gt;=6,HOUR(B6964)&lt;18),"Day Shift","Night Shift")</f>
        <v/>
      </c>
      <c r="F6964" s="11">
        <f>INT(B6964)</f>
        <v/>
      </c>
      <c r="G6964" s="11">
        <f>INT(C6964)</f>
        <v/>
      </c>
    </row>
    <row r="6965">
      <c r="A6965" s="2" t="inlineStr">
        <is>
          <t>EXD56</t>
        </is>
      </c>
      <c r="B6965" s="3" t="n">
        <v>46133.25</v>
      </c>
      <c r="C6965" s="3" t="n">
        <v>46133.42568287037</v>
      </c>
      <c r="D6965" s="4">
        <f>(C6965-B6965)*24</f>
        <v/>
      </c>
      <c r="E6965" s="5">
        <f>IF(AND(HOUR(B6965)&gt;=6,HOUR(B6965)&lt;18),"Day Shift","Night Shift")</f>
        <v/>
      </c>
      <c r="F6965" s="6">
        <f>INT(B6965)</f>
        <v/>
      </c>
      <c r="G6965" s="6">
        <f>INT(C6965)</f>
        <v/>
      </c>
    </row>
    <row r="6966">
      <c r="A6966" s="2" t="inlineStr">
        <is>
          <t>EDD175;EDD1932;EDD2134;EDD2541;EDD812;Sprint 1</t>
        </is>
      </c>
      <c r="B6966" s="3" t="n">
        <v>46132.65525462963</v>
      </c>
      <c r="C6966" s="3" t="n">
        <v>46132.75</v>
      </c>
      <c r="D6966" s="4">
        <f>(C6966-B6966)*24</f>
        <v/>
      </c>
      <c r="E6966" s="5">
        <f>IF(AND(HOUR(B6966)&gt;=6,HOUR(B6966)&lt;18),"Day Shift","Night Shift")</f>
        <v/>
      </c>
      <c r="F6966" s="6">
        <f>INT(B6966)</f>
        <v/>
      </c>
      <c r="G6966" s="6">
        <f>INT(C6966)</f>
        <v/>
      </c>
    </row>
    <row r="6967">
      <c r="A6967" s="7" t="inlineStr">
        <is>
          <t>EDD175;EDD1932;EDD2134;EDD2541;EDD812;Sprint 1</t>
        </is>
      </c>
      <c r="B6967" s="8" t="n">
        <v>46132.75</v>
      </c>
      <c r="C6967" s="8" t="n">
        <v>46132.80989583334</v>
      </c>
      <c r="D6967" s="9">
        <f>(C6967-B6967)*24</f>
        <v/>
      </c>
      <c r="E6967" s="10">
        <f>IF(AND(HOUR(B6967)&gt;=6,HOUR(B6967)&lt;18),"Day Shift","Night Shift")</f>
        <v/>
      </c>
      <c r="F6967" s="11">
        <f>INT(B6967)</f>
        <v/>
      </c>
      <c r="G6967" s="11">
        <f>INT(C6967)</f>
        <v/>
      </c>
    </row>
    <row r="6968">
      <c r="A6968" s="2" t="inlineStr">
        <is>
          <t>SHE36</t>
        </is>
      </c>
      <c r="B6968" s="3" t="n">
        <v>46132.71162037037</v>
      </c>
      <c r="C6968" s="3" t="n">
        <v>46132.75</v>
      </c>
      <c r="D6968" s="4">
        <f>(C6968-B6968)*24</f>
        <v/>
      </c>
      <c r="E6968" s="5">
        <f>IF(AND(HOUR(B6968)&gt;=6,HOUR(B6968)&lt;18),"Day Shift","Night Shift")</f>
        <v/>
      </c>
      <c r="F6968" s="6">
        <f>INT(B6968)</f>
        <v/>
      </c>
      <c r="G6968" s="6">
        <f>INT(C6968)</f>
        <v/>
      </c>
    </row>
    <row r="6969">
      <c r="A6969" s="7" t="inlineStr">
        <is>
          <t>SHE36</t>
        </is>
      </c>
      <c r="B6969" s="8" t="n">
        <v>46132.75</v>
      </c>
      <c r="C6969" s="8" t="n">
        <v>46133.00277777778</v>
      </c>
      <c r="D6969" s="9">
        <f>(C6969-B6969)*24</f>
        <v/>
      </c>
      <c r="E6969" s="10">
        <f>IF(AND(HOUR(B6969)&gt;=6,HOUR(B6969)&lt;18),"Day Shift","Night Shift")</f>
        <v/>
      </c>
      <c r="F6969" s="11">
        <f>INT(B6969)</f>
        <v/>
      </c>
      <c r="G6969" s="11">
        <f>INT(C6969)</f>
        <v/>
      </c>
    </row>
    <row r="6970">
      <c r="A6970" s="7" t="inlineStr">
        <is>
          <t>LDW265;LDW262</t>
        </is>
      </c>
      <c r="B6970" s="8" t="n">
        <v>46132.76605324074</v>
      </c>
      <c r="C6970" s="8" t="n">
        <v>46133.25</v>
      </c>
      <c r="D6970" s="9">
        <f>(C6970-B6970)*24</f>
        <v/>
      </c>
      <c r="E6970" s="10">
        <f>IF(AND(HOUR(B6970)&gt;=6,HOUR(B6970)&lt;18),"Day Shift","Night Shift")</f>
        <v/>
      </c>
      <c r="F6970" s="11">
        <f>INT(B6970)</f>
        <v/>
      </c>
      <c r="G6970" s="11">
        <f>INT(C6970)</f>
        <v/>
      </c>
    </row>
    <row r="6971">
      <c r="A6971" s="2" t="inlineStr">
        <is>
          <t>LDW265;LDW262</t>
        </is>
      </c>
      <c r="B6971" s="3" t="n">
        <v>46133.25</v>
      </c>
      <c r="C6971" s="3" t="n">
        <v>46133.75</v>
      </c>
      <c r="D6971" s="4">
        <f>(C6971-B6971)*24</f>
        <v/>
      </c>
      <c r="E6971" s="5">
        <f>IF(AND(HOUR(B6971)&gt;=6,HOUR(B6971)&lt;18),"Day Shift","Night Shift")</f>
        <v/>
      </c>
      <c r="F6971" s="6">
        <f>INT(B6971)</f>
        <v/>
      </c>
      <c r="G6971" s="6">
        <f>INT(C6971)</f>
        <v/>
      </c>
    </row>
    <row r="6972">
      <c r="A6972" s="7" t="inlineStr">
        <is>
          <t>LDW265;LDW262</t>
        </is>
      </c>
      <c r="B6972" s="8" t="n">
        <v>46133.75</v>
      </c>
      <c r="C6972" s="8" t="n">
        <v>46134.25</v>
      </c>
      <c r="D6972" s="9">
        <f>(C6972-B6972)*24</f>
        <v/>
      </c>
      <c r="E6972" s="10">
        <f>IF(AND(HOUR(B6972)&gt;=6,HOUR(B6972)&lt;18),"Day Shift","Night Shift")</f>
        <v/>
      </c>
      <c r="F6972" s="11">
        <f>INT(B6972)</f>
        <v/>
      </c>
      <c r="G6972" s="11">
        <f>INT(C6972)</f>
        <v/>
      </c>
    </row>
    <row r="6973">
      <c r="A6973" s="2" t="inlineStr">
        <is>
          <t>LDW265;LDW262</t>
        </is>
      </c>
      <c r="B6973" s="3" t="n">
        <v>46134.25</v>
      </c>
      <c r="C6973" s="3" t="n">
        <v>46134.75</v>
      </c>
      <c r="D6973" s="4">
        <f>(C6973-B6973)*24</f>
        <v/>
      </c>
      <c r="E6973" s="5">
        <f>IF(AND(HOUR(B6973)&gt;=6,HOUR(B6973)&lt;18),"Day Shift","Night Shift")</f>
        <v/>
      </c>
      <c r="F6973" s="6">
        <f>INT(B6973)</f>
        <v/>
      </c>
      <c r="G6973" s="6">
        <f>INT(C6973)</f>
        <v/>
      </c>
    </row>
    <row r="6974">
      <c r="A6974" s="7" t="inlineStr">
        <is>
          <t>LDW265;LDW262</t>
        </is>
      </c>
      <c r="B6974" s="8" t="n">
        <v>46134.75</v>
      </c>
      <c r="C6974" s="8" t="n">
        <v>46134.9424537037</v>
      </c>
      <c r="D6974" s="9">
        <f>(C6974-B6974)*24</f>
        <v/>
      </c>
      <c r="E6974" s="10">
        <f>IF(AND(HOUR(B6974)&gt;=6,HOUR(B6974)&lt;18),"Day Shift","Night Shift")</f>
        <v/>
      </c>
      <c r="F6974" s="11">
        <f>INT(B6974)</f>
        <v/>
      </c>
      <c r="G6974" s="11">
        <f>INT(C6974)</f>
        <v/>
      </c>
    </row>
    <row r="6975">
      <c r="A6975" s="7" t="inlineStr">
        <is>
          <t>Blast Crew DS</t>
        </is>
      </c>
      <c r="B6975" s="8" t="n">
        <v>46132.76605324074</v>
      </c>
      <c r="C6975" s="8" t="n">
        <v>46133.25</v>
      </c>
      <c r="D6975" s="9">
        <f>(C6975-B6975)*24</f>
        <v/>
      </c>
      <c r="E6975" s="10">
        <f>IF(AND(HOUR(B6975)&gt;=6,HOUR(B6975)&lt;18),"Day Shift","Night Shift")</f>
        <v/>
      </c>
      <c r="F6975" s="11">
        <f>INT(B6975)</f>
        <v/>
      </c>
      <c r="G6975" s="11">
        <f>INT(C6975)</f>
        <v/>
      </c>
    </row>
    <row r="6976">
      <c r="A6976" s="2" t="inlineStr">
        <is>
          <t>Blast Crew DS</t>
        </is>
      </c>
      <c r="B6976" s="3" t="n">
        <v>46133.25</v>
      </c>
      <c r="C6976" s="3" t="n">
        <v>46133.66542824074</v>
      </c>
      <c r="D6976" s="4">
        <f>(C6976-B6976)*24</f>
        <v/>
      </c>
      <c r="E6976" s="5">
        <f>IF(AND(HOUR(B6976)&gt;=6,HOUR(B6976)&lt;18),"Day Shift","Night Shift")</f>
        <v/>
      </c>
      <c r="F6976" s="6">
        <f>INT(B6976)</f>
        <v/>
      </c>
      <c r="G6976" s="6">
        <f>INT(C6976)</f>
        <v/>
      </c>
    </row>
    <row r="6977">
      <c r="A6977" s="7" t="inlineStr">
        <is>
          <t>EDD175;EDD1932;EDD2134;EDD2541;EDD812;Sprint 1</t>
        </is>
      </c>
      <c r="B6977" s="8" t="n">
        <v>46132.80989583334</v>
      </c>
      <c r="C6977" s="8" t="n">
        <v>46132.93671296296</v>
      </c>
      <c r="D6977" s="9">
        <f>(C6977-B6977)*24</f>
        <v/>
      </c>
      <c r="E6977" s="10">
        <f>IF(AND(HOUR(B6977)&gt;=6,HOUR(B6977)&lt;18),"Day Shift","Night Shift")</f>
        <v/>
      </c>
      <c r="F6977" s="11">
        <f>INT(B6977)</f>
        <v/>
      </c>
      <c r="G6977" s="11">
        <f>INT(C6977)</f>
        <v/>
      </c>
    </row>
    <row r="6978">
      <c r="A6978" s="7" t="inlineStr">
        <is>
          <t>EXD60</t>
        </is>
      </c>
      <c r="B6978" s="8" t="n">
        <v>46132.89195601852</v>
      </c>
      <c r="C6978" s="8" t="n">
        <v>46133.25</v>
      </c>
      <c r="D6978" s="9">
        <f>(C6978-B6978)*24</f>
        <v/>
      </c>
      <c r="E6978" s="10">
        <f>IF(AND(HOUR(B6978)&gt;=6,HOUR(B6978)&lt;18),"Day Shift","Night Shift")</f>
        <v/>
      </c>
      <c r="F6978" s="11">
        <f>INT(B6978)</f>
        <v/>
      </c>
      <c r="G6978" s="11">
        <f>INT(C6978)</f>
        <v/>
      </c>
    </row>
    <row r="6979">
      <c r="A6979" s="2" t="inlineStr">
        <is>
          <t>EXD60</t>
        </is>
      </c>
      <c r="B6979" s="3" t="n">
        <v>46133.25</v>
      </c>
      <c r="C6979" s="3" t="n">
        <v>46133.75</v>
      </c>
      <c r="D6979" s="4">
        <f>(C6979-B6979)*24</f>
        <v/>
      </c>
      <c r="E6979" s="5">
        <f>IF(AND(HOUR(B6979)&gt;=6,HOUR(B6979)&lt;18),"Day Shift","Night Shift")</f>
        <v/>
      </c>
      <c r="F6979" s="6">
        <f>INT(B6979)</f>
        <v/>
      </c>
      <c r="G6979" s="6">
        <f>INT(C6979)</f>
        <v/>
      </c>
    </row>
    <row r="6980">
      <c r="A6980" s="7" t="inlineStr">
        <is>
          <t>EXD60</t>
        </is>
      </c>
      <c r="B6980" s="8" t="n">
        <v>46133.75</v>
      </c>
      <c r="C6980" s="8" t="n">
        <v>46134.00829861111</v>
      </c>
      <c r="D6980" s="9">
        <f>(C6980-B6980)*24</f>
        <v/>
      </c>
      <c r="E6980" s="10">
        <f>IF(AND(HOUR(B6980)&gt;=6,HOUR(B6980)&lt;18),"Day Shift","Night Shift")</f>
        <v/>
      </c>
      <c r="F6980" s="11">
        <f>INT(B6980)</f>
        <v/>
      </c>
      <c r="G6980" s="11">
        <f>INT(C6980)</f>
        <v/>
      </c>
    </row>
    <row r="6981">
      <c r="A6981" s="7" t="inlineStr">
        <is>
          <t>EDD175;EDD1932;EDD2134;EDD2541;EDD812;Sprint 1</t>
        </is>
      </c>
      <c r="B6981" s="8" t="n">
        <v>46132.93671296296</v>
      </c>
      <c r="C6981" s="8" t="n">
        <v>46133.06</v>
      </c>
      <c r="D6981" s="9">
        <f>(C6981-B6981)*24</f>
        <v/>
      </c>
      <c r="E6981" s="10">
        <f>IF(AND(HOUR(B6981)&gt;=6,HOUR(B6981)&lt;18),"Day Shift","Night Shift")</f>
        <v/>
      </c>
      <c r="F6981" s="11">
        <f>INT(B6981)</f>
        <v/>
      </c>
      <c r="G6981" s="11">
        <f>INT(C6981)</f>
        <v/>
      </c>
    </row>
    <row r="6982">
      <c r="A6982" s="7" t="inlineStr">
        <is>
          <t>EXD98</t>
        </is>
      </c>
      <c r="B6982" s="8" t="n">
        <v>46132.98873842593</v>
      </c>
      <c r="C6982" s="8" t="n">
        <v>46133.25</v>
      </c>
      <c r="D6982" s="9">
        <f>(C6982-B6982)*24</f>
        <v/>
      </c>
      <c r="E6982" s="10">
        <f>IF(AND(HOUR(B6982)&gt;=6,HOUR(B6982)&lt;18),"Day Shift","Night Shift")</f>
        <v/>
      </c>
      <c r="F6982" s="11">
        <f>INT(B6982)</f>
        <v/>
      </c>
      <c r="G6982" s="11">
        <f>INT(C6982)</f>
        <v/>
      </c>
    </row>
    <row r="6983">
      <c r="A6983" s="2" t="inlineStr">
        <is>
          <t>EXD98</t>
        </is>
      </c>
      <c r="B6983" s="3" t="n">
        <v>46133.25</v>
      </c>
      <c r="C6983" s="3" t="n">
        <v>46133.75</v>
      </c>
      <c r="D6983" s="4">
        <f>(C6983-B6983)*24</f>
        <v/>
      </c>
      <c r="E6983" s="5">
        <f>IF(AND(HOUR(B6983)&gt;=6,HOUR(B6983)&lt;18),"Day Shift","Night Shift")</f>
        <v/>
      </c>
      <c r="F6983" s="6">
        <f>INT(B6983)</f>
        <v/>
      </c>
      <c r="G6983" s="6">
        <f>INT(C6983)</f>
        <v/>
      </c>
    </row>
    <row r="6984">
      <c r="A6984" s="7" t="inlineStr">
        <is>
          <t>EXD98</t>
        </is>
      </c>
      <c r="B6984" s="8" t="n">
        <v>46133.75</v>
      </c>
      <c r="C6984" s="8" t="n">
        <v>46133.8078125</v>
      </c>
      <c r="D6984" s="9">
        <f>(C6984-B6984)*24</f>
        <v/>
      </c>
      <c r="E6984" s="10">
        <f>IF(AND(HOUR(B6984)&gt;=6,HOUR(B6984)&lt;18),"Day Shift","Night Shift")</f>
        <v/>
      </c>
      <c r="F6984" s="11">
        <f>INT(B6984)</f>
        <v/>
      </c>
      <c r="G6984" s="11">
        <f>INT(C6984)</f>
        <v/>
      </c>
    </row>
    <row r="6985">
      <c r="A6985" s="7" t="inlineStr">
        <is>
          <t>SHE36</t>
        </is>
      </c>
      <c r="B6985" s="8" t="n">
        <v>46133.00277777778</v>
      </c>
      <c r="C6985" s="8" t="n">
        <v>46133.25</v>
      </c>
      <c r="D6985" s="9">
        <f>(C6985-B6985)*24</f>
        <v/>
      </c>
      <c r="E6985" s="10">
        <f>IF(AND(HOUR(B6985)&gt;=6,HOUR(B6985)&lt;18),"Day Shift","Night Shift")</f>
        <v/>
      </c>
      <c r="F6985" s="11">
        <f>INT(B6985)</f>
        <v/>
      </c>
      <c r="G6985" s="11">
        <f>INT(C6985)</f>
        <v/>
      </c>
    </row>
    <row r="6986">
      <c r="A6986" s="2" t="inlineStr">
        <is>
          <t>SHE36</t>
        </is>
      </c>
      <c r="B6986" s="3" t="n">
        <v>46133.25</v>
      </c>
      <c r="C6986" s="3" t="n">
        <v>46133.66417824074</v>
      </c>
      <c r="D6986" s="4">
        <f>(C6986-B6986)*24</f>
        <v/>
      </c>
      <c r="E6986" s="5">
        <f>IF(AND(HOUR(B6986)&gt;=6,HOUR(B6986)&lt;18),"Day Shift","Night Shift")</f>
        <v/>
      </c>
      <c r="F6986" s="6">
        <f>INT(B6986)</f>
        <v/>
      </c>
      <c r="G6986" s="6">
        <f>INT(C6986)</f>
        <v/>
      </c>
    </row>
    <row r="6987">
      <c r="A6987" s="7" t="inlineStr">
        <is>
          <t>EXD100</t>
        </is>
      </c>
      <c r="B6987" s="8" t="n">
        <v>46133.04615740741</v>
      </c>
      <c r="C6987" s="8" t="n">
        <v>46133.25</v>
      </c>
      <c r="D6987" s="9">
        <f>(C6987-B6987)*24</f>
        <v/>
      </c>
      <c r="E6987" s="10">
        <f>IF(AND(HOUR(B6987)&gt;=6,HOUR(B6987)&lt;18),"Day Shift","Night Shift")</f>
        <v/>
      </c>
      <c r="F6987" s="11">
        <f>INT(B6987)</f>
        <v/>
      </c>
      <c r="G6987" s="11">
        <f>INT(C6987)</f>
        <v/>
      </c>
    </row>
    <row r="6988">
      <c r="A6988" s="2" t="inlineStr">
        <is>
          <t>EXD100</t>
        </is>
      </c>
      <c r="B6988" s="3" t="n">
        <v>46133.25</v>
      </c>
      <c r="C6988" s="3" t="n">
        <v>46133.75</v>
      </c>
      <c r="D6988" s="4">
        <f>(C6988-B6988)*24</f>
        <v/>
      </c>
      <c r="E6988" s="5">
        <f>IF(AND(HOUR(B6988)&gt;=6,HOUR(B6988)&lt;18),"Day Shift","Night Shift")</f>
        <v/>
      </c>
      <c r="F6988" s="6">
        <f>INT(B6988)</f>
        <v/>
      </c>
      <c r="G6988" s="6">
        <f>INT(C6988)</f>
        <v/>
      </c>
    </row>
    <row r="6989">
      <c r="A6989" s="7" t="inlineStr">
        <is>
          <t>EXD100</t>
        </is>
      </c>
      <c r="B6989" s="8" t="n">
        <v>46133.75</v>
      </c>
      <c r="C6989" s="8" t="n">
        <v>46133.97270833333</v>
      </c>
      <c r="D6989" s="9">
        <f>(C6989-B6989)*24</f>
        <v/>
      </c>
      <c r="E6989" s="10">
        <f>IF(AND(HOUR(B6989)&gt;=6,HOUR(B6989)&lt;18),"Day Shift","Night Shift")</f>
        <v/>
      </c>
      <c r="F6989" s="11">
        <f>INT(B6989)</f>
        <v/>
      </c>
      <c r="G6989" s="11">
        <f>INT(C6989)</f>
        <v/>
      </c>
    </row>
    <row r="6990">
      <c r="A6990" s="7" t="inlineStr">
        <is>
          <t>EDD175;EDD1932;EDD2134;EDD2541;EDD812;Sprint 1</t>
        </is>
      </c>
      <c r="B6990" s="8" t="n">
        <v>46133.06</v>
      </c>
      <c r="C6990" s="8" t="n">
        <v>46133.18430555556</v>
      </c>
      <c r="D6990" s="9">
        <f>(C6990-B6990)*24</f>
        <v/>
      </c>
      <c r="E6990" s="10">
        <f>IF(AND(HOUR(B6990)&gt;=6,HOUR(B6990)&lt;18),"Day Shift","Night Shift")</f>
        <v/>
      </c>
      <c r="F6990" s="11">
        <f>INT(B6990)</f>
        <v/>
      </c>
      <c r="G6990" s="11">
        <f>INT(C6990)</f>
        <v/>
      </c>
    </row>
    <row r="6991">
      <c r="A6991" s="7" t="inlineStr">
        <is>
          <t>EXD51</t>
        </is>
      </c>
      <c r="B6991" s="8" t="n">
        <v>46133.0983449074</v>
      </c>
      <c r="C6991" s="8" t="n">
        <v>46133.25</v>
      </c>
      <c r="D6991" s="9">
        <f>(C6991-B6991)*24</f>
        <v/>
      </c>
      <c r="E6991" s="10">
        <f>IF(AND(HOUR(B6991)&gt;=6,HOUR(B6991)&lt;18),"Day Shift","Night Shift")</f>
        <v/>
      </c>
      <c r="F6991" s="11">
        <f>INT(B6991)</f>
        <v/>
      </c>
      <c r="G6991" s="11">
        <f>INT(C6991)</f>
        <v/>
      </c>
    </row>
    <row r="6992">
      <c r="A6992" s="2" t="inlineStr">
        <is>
          <t>EXD51</t>
        </is>
      </c>
      <c r="B6992" s="3" t="n">
        <v>46133.25</v>
      </c>
      <c r="C6992" s="3" t="n">
        <v>46133.75</v>
      </c>
      <c r="D6992" s="4">
        <f>(C6992-B6992)*24</f>
        <v/>
      </c>
      <c r="E6992" s="5">
        <f>IF(AND(HOUR(B6992)&gt;=6,HOUR(B6992)&lt;18),"Day Shift","Night Shift")</f>
        <v/>
      </c>
      <c r="F6992" s="6">
        <f>INT(B6992)</f>
        <v/>
      </c>
      <c r="G6992" s="6">
        <f>INT(C6992)</f>
        <v/>
      </c>
    </row>
    <row r="6993">
      <c r="A6993" s="7" t="inlineStr">
        <is>
          <t>EXD51</t>
        </is>
      </c>
      <c r="B6993" s="8" t="n">
        <v>46133.75</v>
      </c>
      <c r="C6993" s="8" t="n">
        <v>46134.25</v>
      </c>
      <c r="D6993" s="9">
        <f>(C6993-B6993)*24</f>
        <v/>
      </c>
      <c r="E6993" s="10">
        <f>IF(AND(HOUR(B6993)&gt;=6,HOUR(B6993)&lt;18),"Day Shift","Night Shift")</f>
        <v/>
      </c>
      <c r="F6993" s="11">
        <f>INT(B6993)</f>
        <v/>
      </c>
      <c r="G6993" s="11">
        <f>INT(C6993)</f>
        <v/>
      </c>
    </row>
    <row r="6994">
      <c r="A6994" s="2" t="inlineStr">
        <is>
          <t>EXD51</t>
        </is>
      </c>
      <c r="B6994" s="3" t="n">
        <v>46134.25</v>
      </c>
      <c r="C6994" s="3" t="n">
        <v>46134.3671412037</v>
      </c>
      <c r="D6994" s="4">
        <f>(C6994-B6994)*24</f>
        <v/>
      </c>
      <c r="E6994" s="5">
        <f>IF(AND(HOUR(B6994)&gt;=6,HOUR(B6994)&lt;18),"Day Shift","Night Shift")</f>
        <v/>
      </c>
      <c r="F6994" s="6">
        <f>INT(B6994)</f>
        <v/>
      </c>
      <c r="G6994" s="6">
        <f>INT(C6994)</f>
        <v/>
      </c>
    </row>
    <row r="6995">
      <c r="A6995" s="7" t="inlineStr">
        <is>
          <t>EDD175;EDD1932;EDD2134;EDD2541;EDD812;Sprint 1</t>
        </is>
      </c>
      <c r="B6995" s="8" t="n">
        <v>46133.18430555556</v>
      </c>
      <c r="C6995" s="8" t="n">
        <v>46133.25</v>
      </c>
      <c r="D6995" s="9">
        <f>(C6995-B6995)*24</f>
        <v/>
      </c>
      <c r="E6995" s="10">
        <f>IF(AND(HOUR(B6995)&gt;=6,HOUR(B6995)&lt;18),"Day Shift","Night Shift")</f>
        <v/>
      </c>
      <c r="F6995" s="11">
        <f>INT(B6995)</f>
        <v/>
      </c>
      <c r="G6995" s="11">
        <f>INT(C6995)</f>
        <v/>
      </c>
    </row>
    <row r="6996">
      <c r="A6996" s="2" t="inlineStr">
        <is>
          <t>EDD175;EDD1932;EDD2134;EDD2541;EDD812;Sprint 1</t>
        </is>
      </c>
      <c r="B6996" s="3" t="n">
        <v>46133.25</v>
      </c>
      <c r="C6996" s="3" t="n">
        <v>46133.31</v>
      </c>
      <c r="D6996" s="4">
        <f>(C6996-B6996)*24</f>
        <v/>
      </c>
      <c r="E6996" s="5">
        <f>IF(AND(HOUR(B6996)&gt;=6,HOUR(B6996)&lt;18),"Day Shift","Night Shift")</f>
        <v/>
      </c>
      <c r="F6996" s="6">
        <f>INT(B6996)</f>
        <v/>
      </c>
      <c r="G6996" s="6">
        <f>INT(C6996)</f>
        <v/>
      </c>
    </row>
    <row r="6997">
      <c r="A6997" s="2" t="inlineStr">
        <is>
          <t>EDD175;EDD1932;EDD2134;EDD2541;EDD812;Sprint 1</t>
        </is>
      </c>
      <c r="B6997" s="3" t="n">
        <v>46133.31</v>
      </c>
      <c r="C6997" s="3" t="n">
        <v>46133.45061342593</v>
      </c>
      <c r="D6997" s="4">
        <f>(C6997-B6997)*24</f>
        <v/>
      </c>
      <c r="E6997" s="5">
        <f>IF(AND(HOUR(B6997)&gt;=6,HOUR(B6997)&lt;18),"Day Shift","Night Shift")</f>
        <v/>
      </c>
      <c r="F6997" s="6">
        <f>INT(B6997)</f>
        <v/>
      </c>
      <c r="G6997" s="6">
        <f>INT(C6997)</f>
        <v/>
      </c>
    </row>
    <row r="6998">
      <c r="A6998" s="2" t="inlineStr">
        <is>
          <t>DRE12</t>
        </is>
      </c>
      <c r="B6998" s="3" t="n">
        <v>46133.38834490741</v>
      </c>
      <c r="C6998" s="3" t="n">
        <v>46133.75</v>
      </c>
      <c r="D6998" s="4">
        <f>(C6998-B6998)*24</f>
        <v/>
      </c>
      <c r="E6998" s="5">
        <f>IF(AND(HOUR(B6998)&gt;=6,HOUR(B6998)&lt;18),"Day Shift","Night Shift")</f>
        <v/>
      </c>
      <c r="F6998" s="6">
        <f>INT(B6998)</f>
        <v/>
      </c>
      <c r="G6998" s="6">
        <f>INT(C6998)</f>
        <v/>
      </c>
    </row>
    <row r="6999">
      <c r="A6999" s="7" t="inlineStr">
        <is>
          <t>DRE12</t>
        </is>
      </c>
      <c r="B6999" s="8" t="n">
        <v>46133.75</v>
      </c>
      <c r="C6999" s="8" t="n">
        <v>46134.25</v>
      </c>
      <c r="D6999" s="9">
        <f>(C6999-B6999)*24</f>
        <v/>
      </c>
      <c r="E6999" s="10">
        <f>IF(AND(HOUR(B6999)&gt;=6,HOUR(B6999)&lt;18),"Day Shift","Night Shift")</f>
        <v/>
      </c>
      <c r="F6999" s="11">
        <f>INT(B6999)</f>
        <v/>
      </c>
      <c r="G6999" s="11">
        <f>INT(C6999)</f>
        <v/>
      </c>
    </row>
    <row r="7000">
      <c r="A7000" s="2" t="inlineStr">
        <is>
          <t>DRE12</t>
        </is>
      </c>
      <c r="B7000" s="3" t="n">
        <v>46134.25</v>
      </c>
      <c r="C7000" s="3" t="n">
        <v>46134.75</v>
      </c>
      <c r="D7000" s="4">
        <f>(C7000-B7000)*24</f>
        <v/>
      </c>
      <c r="E7000" s="5">
        <f>IF(AND(HOUR(B7000)&gt;=6,HOUR(B7000)&lt;18),"Day Shift","Night Shift")</f>
        <v/>
      </c>
      <c r="F7000" s="6">
        <f>INT(B7000)</f>
        <v/>
      </c>
      <c r="G7000" s="6">
        <f>INT(C7000)</f>
        <v/>
      </c>
    </row>
    <row r="7001">
      <c r="A7001" s="7" t="inlineStr">
        <is>
          <t>DRE12</t>
        </is>
      </c>
      <c r="B7001" s="8" t="n">
        <v>46134.75</v>
      </c>
      <c r="C7001" s="8" t="n">
        <v>46135.25</v>
      </c>
      <c r="D7001" s="9">
        <f>(C7001-B7001)*24</f>
        <v/>
      </c>
      <c r="E7001" s="10">
        <f>IF(AND(HOUR(B7001)&gt;=6,HOUR(B7001)&lt;18),"Day Shift","Night Shift")</f>
        <v/>
      </c>
      <c r="F7001" s="11">
        <f>INT(B7001)</f>
        <v/>
      </c>
      <c r="G7001" s="11">
        <f>INT(C7001)</f>
        <v/>
      </c>
    </row>
    <row r="7002">
      <c r="A7002" s="2" t="inlineStr">
        <is>
          <t>DRE12</t>
        </is>
      </c>
      <c r="B7002" s="3" t="n">
        <v>46135.25</v>
      </c>
      <c r="C7002" s="3" t="n">
        <v>46135.75</v>
      </c>
      <c r="D7002" s="4">
        <f>(C7002-B7002)*24</f>
        <v/>
      </c>
      <c r="E7002" s="5">
        <f>IF(AND(HOUR(B7002)&gt;=6,HOUR(B7002)&lt;18),"Day Shift","Night Shift")</f>
        <v/>
      </c>
      <c r="F7002" s="6">
        <f>INT(B7002)</f>
        <v/>
      </c>
      <c r="G7002" s="6">
        <f>INT(C7002)</f>
        <v/>
      </c>
    </row>
    <row r="7003">
      <c r="A7003" s="7" t="inlineStr">
        <is>
          <t>DRE12</t>
        </is>
      </c>
      <c r="B7003" s="8" t="n">
        <v>46135.75</v>
      </c>
      <c r="C7003" s="8" t="n">
        <v>46136.25</v>
      </c>
      <c r="D7003" s="9">
        <f>(C7003-B7003)*24</f>
        <v/>
      </c>
      <c r="E7003" s="10">
        <f>IF(AND(HOUR(B7003)&gt;=6,HOUR(B7003)&lt;18),"Day Shift","Night Shift")</f>
        <v/>
      </c>
      <c r="F7003" s="11">
        <f>INT(B7003)</f>
        <v/>
      </c>
      <c r="G7003" s="11">
        <f>INT(C7003)</f>
        <v/>
      </c>
    </row>
    <row r="7004">
      <c r="A7004" s="2" t="inlineStr">
        <is>
          <t>DRE12</t>
        </is>
      </c>
      <c r="B7004" s="3" t="n">
        <v>46136.25</v>
      </c>
      <c r="C7004" s="3" t="n">
        <v>46136.75</v>
      </c>
      <c r="D7004" s="4">
        <f>(C7004-B7004)*24</f>
        <v/>
      </c>
      <c r="E7004" s="5">
        <f>IF(AND(HOUR(B7004)&gt;=6,HOUR(B7004)&lt;18),"Day Shift","Night Shift")</f>
        <v/>
      </c>
      <c r="F7004" s="6">
        <f>INT(B7004)</f>
        <v/>
      </c>
      <c r="G7004" s="6">
        <f>INT(C7004)</f>
        <v/>
      </c>
    </row>
    <row r="7005">
      <c r="A7005" s="7" t="inlineStr">
        <is>
          <t>DRE12</t>
        </is>
      </c>
      <c r="B7005" s="8" t="n">
        <v>46136.75</v>
      </c>
      <c r="C7005" s="8" t="n">
        <v>46137.18486111111</v>
      </c>
      <c r="D7005" s="9">
        <f>(C7005-B7005)*24</f>
        <v/>
      </c>
      <c r="E7005" s="10">
        <f>IF(AND(HOUR(B7005)&gt;=6,HOUR(B7005)&lt;18),"Day Shift","Night Shift")</f>
        <v/>
      </c>
      <c r="F7005" s="11">
        <f>INT(B7005)</f>
        <v/>
      </c>
      <c r="G7005" s="11">
        <f>INT(C7005)</f>
        <v/>
      </c>
    </row>
    <row r="7006">
      <c r="A7006" s="2" t="inlineStr">
        <is>
          <t>EXD408</t>
        </is>
      </c>
      <c r="B7006" s="3" t="n">
        <v>46133.39745370371</v>
      </c>
      <c r="C7006" s="3" t="n">
        <v>46133.75</v>
      </c>
      <c r="D7006" s="4">
        <f>(C7006-B7006)*24</f>
        <v/>
      </c>
      <c r="E7006" s="5">
        <f>IF(AND(HOUR(B7006)&gt;=6,HOUR(B7006)&lt;18),"Day Shift","Night Shift")</f>
        <v/>
      </c>
      <c r="F7006" s="6">
        <f>INT(B7006)</f>
        <v/>
      </c>
      <c r="G7006" s="6">
        <f>INT(C7006)</f>
        <v/>
      </c>
    </row>
    <row r="7007">
      <c r="A7007" s="7" t="inlineStr">
        <is>
          <t>EXD408</t>
        </is>
      </c>
      <c r="B7007" s="8" t="n">
        <v>46133.75</v>
      </c>
      <c r="C7007" s="8" t="n">
        <v>46134.25</v>
      </c>
      <c r="D7007" s="9">
        <f>(C7007-B7007)*24</f>
        <v/>
      </c>
      <c r="E7007" s="10">
        <f>IF(AND(HOUR(B7007)&gt;=6,HOUR(B7007)&lt;18),"Day Shift","Night Shift")</f>
        <v/>
      </c>
      <c r="F7007" s="11">
        <f>INT(B7007)</f>
        <v/>
      </c>
      <c r="G7007" s="11">
        <f>INT(C7007)</f>
        <v/>
      </c>
    </row>
    <row r="7008">
      <c r="A7008" s="2" t="inlineStr">
        <is>
          <t>EXD408</t>
        </is>
      </c>
      <c r="B7008" s="3" t="n">
        <v>46134.25</v>
      </c>
      <c r="C7008" s="3" t="n">
        <v>46134.65928240741</v>
      </c>
      <c r="D7008" s="4">
        <f>(C7008-B7008)*24</f>
        <v/>
      </c>
      <c r="E7008" s="5">
        <f>IF(AND(HOUR(B7008)&gt;=6,HOUR(B7008)&lt;18),"Day Shift","Night Shift")</f>
        <v/>
      </c>
      <c r="F7008" s="6">
        <f>INT(B7008)</f>
        <v/>
      </c>
      <c r="G7008" s="6">
        <f>INT(C7008)</f>
        <v/>
      </c>
    </row>
    <row r="7009">
      <c r="A7009" s="2" t="inlineStr">
        <is>
          <t>EXD56</t>
        </is>
      </c>
      <c r="B7009" s="3" t="n">
        <v>46133.42568287037</v>
      </c>
      <c r="C7009" s="3" t="n">
        <v>46133.75</v>
      </c>
      <c r="D7009" s="4">
        <f>(C7009-B7009)*24</f>
        <v/>
      </c>
      <c r="E7009" s="5">
        <f>IF(AND(HOUR(B7009)&gt;=6,HOUR(B7009)&lt;18),"Day Shift","Night Shift")</f>
        <v/>
      </c>
      <c r="F7009" s="6">
        <f>INT(B7009)</f>
        <v/>
      </c>
      <c r="G7009" s="6">
        <f>INT(C7009)</f>
        <v/>
      </c>
    </row>
    <row r="7010">
      <c r="A7010" s="7" t="inlineStr">
        <is>
          <t>EXD56</t>
        </is>
      </c>
      <c r="B7010" s="8" t="n">
        <v>46133.75</v>
      </c>
      <c r="C7010" s="8" t="n">
        <v>46134.25</v>
      </c>
      <c r="D7010" s="9">
        <f>(C7010-B7010)*24</f>
        <v/>
      </c>
      <c r="E7010" s="10">
        <f>IF(AND(HOUR(B7010)&gt;=6,HOUR(B7010)&lt;18),"Day Shift","Night Shift")</f>
        <v/>
      </c>
      <c r="F7010" s="11">
        <f>INT(B7010)</f>
        <v/>
      </c>
      <c r="G7010" s="11">
        <f>INT(C7010)</f>
        <v/>
      </c>
    </row>
    <row r="7011">
      <c r="A7011" s="2" t="inlineStr">
        <is>
          <t>EXD56</t>
        </is>
      </c>
      <c r="B7011" s="3" t="n">
        <v>46134.25</v>
      </c>
      <c r="C7011" s="3" t="n">
        <v>46134.75</v>
      </c>
      <c r="D7011" s="4">
        <f>(C7011-B7011)*24</f>
        <v/>
      </c>
      <c r="E7011" s="5">
        <f>IF(AND(HOUR(B7011)&gt;=6,HOUR(B7011)&lt;18),"Day Shift","Night Shift")</f>
        <v/>
      </c>
      <c r="F7011" s="6">
        <f>INT(B7011)</f>
        <v/>
      </c>
      <c r="G7011" s="6">
        <f>INT(C7011)</f>
        <v/>
      </c>
    </row>
    <row r="7012">
      <c r="A7012" s="7" t="inlineStr">
        <is>
          <t>EXD56</t>
        </is>
      </c>
      <c r="B7012" s="8" t="n">
        <v>46134.75</v>
      </c>
      <c r="C7012" s="8" t="n">
        <v>46135.09037037037</v>
      </c>
      <c r="D7012" s="9">
        <f>(C7012-B7012)*24</f>
        <v/>
      </c>
      <c r="E7012" s="10">
        <f>IF(AND(HOUR(B7012)&gt;=6,HOUR(B7012)&lt;18),"Day Shift","Night Shift")</f>
        <v/>
      </c>
      <c r="F7012" s="11">
        <f>INT(B7012)</f>
        <v/>
      </c>
      <c r="G7012" s="11">
        <f>INT(C7012)</f>
        <v/>
      </c>
    </row>
    <row r="7013">
      <c r="A7013" s="2" t="inlineStr">
        <is>
          <t>EDD175;EDD1932;EDD2134;EDD2541;EDD812;Sprint 1</t>
        </is>
      </c>
      <c r="B7013" s="3" t="n">
        <v>46133.45061342593</v>
      </c>
      <c r="C7013" s="3" t="n">
        <v>46133.56175925926</v>
      </c>
      <c r="D7013" s="4">
        <f>(C7013-B7013)*24</f>
        <v/>
      </c>
      <c r="E7013" s="5">
        <f>IF(AND(HOUR(B7013)&gt;=6,HOUR(B7013)&lt;18),"Day Shift","Night Shift")</f>
        <v/>
      </c>
      <c r="F7013" s="6">
        <f>INT(B7013)</f>
        <v/>
      </c>
      <c r="G7013" s="6">
        <f>INT(C7013)</f>
        <v/>
      </c>
    </row>
    <row r="7014">
      <c r="A7014" s="2" t="inlineStr">
        <is>
          <t>EDD175;EDD1932;EDD2134;EDD2541;EDD812;Sprint 1</t>
        </is>
      </c>
      <c r="B7014" s="3" t="n">
        <v>46133.56175925926</v>
      </c>
      <c r="C7014" s="3" t="n">
        <v>46133.65981481481</v>
      </c>
      <c r="D7014" s="4">
        <f>(C7014-B7014)*24</f>
        <v/>
      </c>
      <c r="E7014" s="5">
        <f>IF(AND(HOUR(B7014)&gt;=6,HOUR(B7014)&lt;18),"Day Shift","Night Shift")</f>
        <v/>
      </c>
      <c r="F7014" s="6">
        <f>INT(B7014)</f>
        <v/>
      </c>
      <c r="G7014" s="6">
        <f>INT(C7014)</f>
        <v/>
      </c>
    </row>
    <row r="7015">
      <c r="A7015" s="2" t="inlineStr">
        <is>
          <t>EXD61</t>
        </is>
      </c>
      <c r="B7015" s="3" t="n">
        <v>46133.56702546297</v>
      </c>
      <c r="C7015" s="3" t="n">
        <v>46133.75</v>
      </c>
      <c r="D7015" s="4">
        <f>(C7015-B7015)*24</f>
        <v/>
      </c>
      <c r="E7015" s="5">
        <f>IF(AND(HOUR(B7015)&gt;=6,HOUR(B7015)&lt;18),"Day Shift","Night Shift")</f>
        <v/>
      </c>
      <c r="F7015" s="6">
        <f>INT(B7015)</f>
        <v/>
      </c>
      <c r="G7015" s="6">
        <f>INT(C7015)</f>
        <v/>
      </c>
    </row>
    <row r="7016">
      <c r="A7016" s="7" t="inlineStr">
        <is>
          <t>EXD61</t>
        </is>
      </c>
      <c r="B7016" s="8" t="n">
        <v>46133.75</v>
      </c>
      <c r="C7016" s="8" t="n">
        <v>46134.25</v>
      </c>
      <c r="D7016" s="9">
        <f>(C7016-B7016)*24</f>
        <v/>
      </c>
      <c r="E7016" s="10">
        <f>IF(AND(HOUR(B7016)&gt;=6,HOUR(B7016)&lt;18),"Day Shift","Night Shift")</f>
        <v/>
      </c>
      <c r="F7016" s="11">
        <f>INT(B7016)</f>
        <v/>
      </c>
      <c r="G7016" s="11">
        <f>INT(C7016)</f>
        <v/>
      </c>
    </row>
    <row r="7017">
      <c r="A7017" s="2" t="inlineStr">
        <is>
          <t>EXD61</t>
        </is>
      </c>
      <c r="B7017" s="3" t="n">
        <v>46134.25</v>
      </c>
      <c r="C7017" s="3" t="n">
        <v>46134.37181712963</v>
      </c>
      <c r="D7017" s="4">
        <f>(C7017-B7017)*24</f>
        <v/>
      </c>
      <c r="E7017" s="5">
        <f>IF(AND(HOUR(B7017)&gt;=6,HOUR(B7017)&lt;18),"Day Shift","Night Shift")</f>
        <v/>
      </c>
      <c r="F7017" s="6">
        <f>INT(B7017)</f>
        <v/>
      </c>
      <c r="G7017" s="6">
        <f>INT(C7017)</f>
        <v/>
      </c>
    </row>
    <row r="7018">
      <c r="A7018" s="2" t="inlineStr">
        <is>
          <t>EDD175;EDD1932;EDD2134;EDD2541;EDD812;Sprint 1</t>
        </is>
      </c>
      <c r="B7018" s="3" t="n">
        <v>46133.65981481481</v>
      </c>
      <c r="C7018" s="3" t="n">
        <v>46133.75</v>
      </c>
      <c r="D7018" s="4">
        <f>(C7018-B7018)*24</f>
        <v/>
      </c>
      <c r="E7018" s="5">
        <f>IF(AND(HOUR(B7018)&gt;=6,HOUR(B7018)&lt;18),"Day Shift","Night Shift")</f>
        <v/>
      </c>
      <c r="F7018" s="6">
        <f>INT(B7018)</f>
        <v/>
      </c>
      <c r="G7018" s="6">
        <f>INT(C7018)</f>
        <v/>
      </c>
    </row>
    <row r="7019">
      <c r="A7019" s="7" t="inlineStr">
        <is>
          <t>EDD175;EDD1932;EDD2134;EDD2541;EDD812;Sprint 1</t>
        </is>
      </c>
      <c r="B7019" s="8" t="n">
        <v>46133.75</v>
      </c>
      <c r="C7019" s="8" t="n">
        <v>46133.76398148148</v>
      </c>
      <c r="D7019" s="9">
        <f>(C7019-B7019)*24</f>
        <v/>
      </c>
      <c r="E7019" s="10">
        <f>IF(AND(HOUR(B7019)&gt;=6,HOUR(B7019)&lt;18),"Day Shift","Night Shift")</f>
        <v/>
      </c>
      <c r="F7019" s="11">
        <f>INT(B7019)</f>
        <v/>
      </c>
      <c r="G7019" s="11">
        <f>INT(C7019)</f>
        <v/>
      </c>
    </row>
    <row r="7020">
      <c r="A7020" s="2" t="inlineStr">
        <is>
          <t>SHE36</t>
        </is>
      </c>
      <c r="B7020" s="3" t="n">
        <v>46133.66417824074</v>
      </c>
      <c r="C7020" s="3" t="n">
        <v>46133.75</v>
      </c>
      <c r="D7020" s="4">
        <f>(C7020-B7020)*24</f>
        <v/>
      </c>
      <c r="E7020" s="5">
        <f>IF(AND(HOUR(B7020)&gt;=6,HOUR(B7020)&lt;18),"Day Shift","Night Shift")</f>
        <v/>
      </c>
      <c r="F7020" s="6">
        <f>INT(B7020)</f>
        <v/>
      </c>
      <c r="G7020" s="6">
        <f>INT(C7020)</f>
        <v/>
      </c>
    </row>
    <row r="7021">
      <c r="A7021" s="7" t="inlineStr">
        <is>
          <t>SHE36</t>
        </is>
      </c>
      <c r="B7021" s="8" t="n">
        <v>46133.75</v>
      </c>
      <c r="C7021" s="8" t="n">
        <v>46134.25</v>
      </c>
      <c r="D7021" s="9">
        <f>(C7021-B7021)*24</f>
        <v/>
      </c>
      <c r="E7021" s="10">
        <f>IF(AND(HOUR(B7021)&gt;=6,HOUR(B7021)&lt;18),"Day Shift","Night Shift")</f>
        <v/>
      </c>
      <c r="F7021" s="11">
        <f>INT(B7021)</f>
        <v/>
      </c>
      <c r="G7021" s="11">
        <f>INT(C7021)</f>
        <v/>
      </c>
    </row>
    <row r="7022">
      <c r="A7022" s="2" t="inlineStr">
        <is>
          <t>SHE36</t>
        </is>
      </c>
      <c r="B7022" s="3" t="n">
        <v>46134.25</v>
      </c>
      <c r="C7022" s="3" t="n">
        <v>46134.31143518518</v>
      </c>
      <c r="D7022" s="4">
        <f>(C7022-B7022)*24</f>
        <v/>
      </c>
      <c r="E7022" s="5">
        <f>IF(AND(HOUR(B7022)&gt;=6,HOUR(B7022)&lt;18),"Day Shift","Night Shift")</f>
        <v/>
      </c>
      <c r="F7022" s="6">
        <f>INT(B7022)</f>
        <v/>
      </c>
      <c r="G7022" s="6">
        <f>INT(C7022)</f>
        <v/>
      </c>
    </row>
    <row r="7023">
      <c r="A7023" s="2" t="inlineStr">
        <is>
          <t>EXD73</t>
        </is>
      </c>
      <c r="B7023" s="3" t="n">
        <v>46133.66533564815</v>
      </c>
      <c r="C7023" s="3" t="n">
        <v>46133.75</v>
      </c>
      <c r="D7023" s="4">
        <f>(C7023-B7023)*24</f>
        <v/>
      </c>
      <c r="E7023" s="5">
        <f>IF(AND(HOUR(B7023)&gt;=6,HOUR(B7023)&lt;18),"Day Shift","Night Shift")</f>
        <v/>
      </c>
      <c r="F7023" s="6">
        <f>INT(B7023)</f>
        <v/>
      </c>
      <c r="G7023" s="6">
        <f>INT(C7023)</f>
        <v/>
      </c>
    </row>
    <row r="7024">
      <c r="A7024" s="7" t="inlineStr">
        <is>
          <t>EXD73</t>
        </is>
      </c>
      <c r="B7024" s="8" t="n">
        <v>46133.75</v>
      </c>
      <c r="C7024" s="8" t="n">
        <v>46134.25</v>
      </c>
      <c r="D7024" s="9">
        <f>(C7024-B7024)*24</f>
        <v/>
      </c>
      <c r="E7024" s="10">
        <f>IF(AND(HOUR(B7024)&gt;=6,HOUR(B7024)&lt;18),"Day Shift","Night Shift")</f>
        <v/>
      </c>
      <c r="F7024" s="11">
        <f>INT(B7024)</f>
        <v/>
      </c>
      <c r="G7024" s="11">
        <f>INT(C7024)</f>
        <v/>
      </c>
    </row>
    <row r="7025">
      <c r="A7025" s="2" t="inlineStr">
        <is>
          <t>EXD73</t>
        </is>
      </c>
      <c r="B7025" s="3" t="n">
        <v>46134.25</v>
      </c>
      <c r="C7025" s="3" t="n">
        <v>46134.75</v>
      </c>
      <c r="D7025" s="4">
        <f>(C7025-B7025)*24</f>
        <v/>
      </c>
      <c r="E7025" s="5">
        <f>IF(AND(HOUR(B7025)&gt;=6,HOUR(B7025)&lt;18),"Day Shift","Night Shift")</f>
        <v/>
      </c>
      <c r="F7025" s="6">
        <f>INT(B7025)</f>
        <v/>
      </c>
      <c r="G7025" s="6">
        <f>INT(C7025)</f>
        <v/>
      </c>
    </row>
    <row r="7026">
      <c r="A7026" s="7" t="inlineStr">
        <is>
          <t>EXD73</t>
        </is>
      </c>
      <c r="B7026" s="8" t="n">
        <v>46134.75</v>
      </c>
      <c r="C7026" s="8" t="n">
        <v>46134.9828587963</v>
      </c>
      <c r="D7026" s="9">
        <f>(C7026-B7026)*24</f>
        <v/>
      </c>
      <c r="E7026" s="10">
        <f>IF(AND(HOUR(B7026)&gt;=6,HOUR(B7026)&lt;18),"Day Shift","Night Shift")</f>
        <v/>
      </c>
      <c r="F7026" s="11">
        <f>INT(B7026)</f>
        <v/>
      </c>
      <c r="G7026" s="11">
        <f>INT(C7026)</f>
        <v/>
      </c>
    </row>
    <row r="7027">
      <c r="A7027" s="2" t="inlineStr">
        <is>
          <t>Blast Crew DS</t>
        </is>
      </c>
      <c r="B7027" s="3" t="n">
        <v>46133.66542824074</v>
      </c>
      <c r="C7027" s="3" t="n">
        <v>46133.75</v>
      </c>
      <c r="D7027" s="4">
        <f>(C7027-B7027)*24</f>
        <v/>
      </c>
      <c r="E7027" s="5">
        <f>IF(AND(HOUR(B7027)&gt;=6,HOUR(B7027)&lt;18),"Day Shift","Night Shift")</f>
        <v/>
      </c>
      <c r="F7027" s="6">
        <f>INT(B7027)</f>
        <v/>
      </c>
      <c r="G7027" s="6">
        <f>INT(C7027)</f>
        <v/>
      </c>
    </row>
    <row r="7028">
      <c r="A7028" s="7" t="inlineStr">
        <is>
          <t>Blast Crew DS</t>
        </is>
      </c>
      <c r="B7028" s="8" t="n">
        <v>46133.75</v>
      </c>
      <c r="C7028" s="8" t="n">
        <v>46134.25</v>
      </c>
      <c r="D7028" s="9">
        <f>(C7028-B7028)*24</f>
        <v/>
      </c>
      <c r="E7028" s="10">
        <f>IF(AND(HOUR(B7028)&gt;=6,HOUR(B7028)&lt;18),"Day Shift","Night Shift")</f>
        <v/>
      </c>
      <c r="F7028" s="11">
        <f>INT(B7028)</f>
        <v/>
      </c>
      <c r="G7028" s="11">
        <f>INT(C7028)</f>
        <v/>
      </c>
    </row>
    <row r="7029">
      <c r="A7029" s="2" t="inlineStr">
        <is>
          <t>Blast Crew DS</t>
        </is>
      </c>
      <c r="B7029" s="3" t="n">
        <v>46134.25</v>
      </c>
      <c r="C7029" s="3" t="n">
        <v>46134.47430555556</v>
      </c>
      <c r="D7029" s="4">
        <f>(C7029-B7029)*24</f>
        <v/>
      </c>
      <c r="E7029" s="5">
        <f>IF(AND(HOUR(B7029)&gt;=6,HOUR(B7029)&lt;18),"Day Shift","Night Shift")</f>
        <v/>
      </c>
      <c r="F7029" s="6">
        <f>INT(B7029)</f>
        <v/>
      </c>
      <c r="G7029" s="6">
        <f>INT(C7029)</f>
        <v/>
      </c>
    </row>
    <row r="7030">
      <c r="A7030" s="7" t="inlineStr">
        <is>
          <t>EXD98</t>
        </is>
      </c>
      <c r="B7030" s="8" t="n">
        <v>46133.8078125</v>
      </c>
      <c r="C7030" s="8" t="n">
        <v>46134.25</v>
      </c>
      <c r="D7030" s="9">
        <f>(C7030-B7030)*24</f>
        <v/>
      </c>
      <c r="E7030" s="10">
        <f>IF(AND(HOUR(B7030)&gt;=6,HOUR(B7030)&lt;18),"Day Shift","Night Shift")</f>
        <v/>
      </c>
      <c r="F7030" s="11">
        <f>INT(B7030)</f>
        <v/>
      </c>
      <c r="G7030" s="11">
        <f>INT(C7030)</f>
        <v/>
      </c>
    </row>
    <row r="7031">
      <c r="A7031" s="2" t="inlineStr">
        <is>
          <t>EXD98</t>
        </is>
      </c>
      <c r="B7031" s="3" t="n">
        <v>46134.25</v>
      </c>
      <c r="C7031" s="3" t="n">
        <v>46134.57194444445</v>
      </c>
      <c r="D7031" s="4">
        <f>(C7031-B7031)*24</f>
        <v/>
      </c>
      <c r="E7031" s="5">
        <f>IF(AND(HOUR(B7031)&gt;=6,HOUR(B7031)&lt;18),"Day Shift","Night Shift")</f>
        <v/>
      </c>
      <c r="F7031" s="6">
        <f>INT(B7031)</f>
        <v/>
      </c>
      <c r="G7031" s="6">
        <f>INT(C7031)</f>
        <v/>
      </c>
    </row>
    <row r="7032">
      <c r="A7032" s="7" t="inlineStr">
        <is>
          <t>EDD175;EDD1932;EDD2134;EDD2541;EDD812;Sprint 1</t>
        </is>
      </c>
      <c r="B7032" s="8" t="n">
        <v>46133.83650462963</v>
      </c>
      <c r="C7032" s="8" t="n">
        <v>46133.94328703704</v>
      </c>
      <c r="D7032" s="9">
        <f>(C7032-B7032)*24</f>
        <v/>
      </c>
      <c r="E7032" s="10">
        <f>IF(AND(HOUR(B7032)&gt;=6,HOUR(B7032)&lt;18),"Day Shift","Night Shift")</f>
        <v/>
      </c>
      <c r="F7032" s="11">
        <f>INT(B7032)</f>
        <v/>
      </c>
      <c r="G7032" s="11">
        <f>INT(C7032)</f>
        <v/>
      </c>
    </row>
    <row r="7033">
      <c r="A7033" s="7" t="inlineStr">
        <is>
          <t>EDD175;EDD1932;EDD2134;EDD2541;EDD812;Sprint 1</t>
        </is>
      </c>
      <c r="B7033" s="8" t="n">
        <v>46133.94328703704</v>
      </c>
      <c r="C7033" s="8" t="n">
        <v>46134.04490740741</v>
      </c>
      <c r="D7033" s="9">
        <f>(C7033-B7033)*24</f>
        <v/>
      </c>
      <c r="E7033" s="10">
        <f>IF(AND(HOUR(B7033)&gt;=6,HOUR(B7033)&lt;18),"Day Shift","Night Shift")</f>
        <v/>
      </c>
      <c r="F7033" s="11">
        <f>INT(B7033)</f>
        <v/>
      </c>
      <c r="G7033" s="11">
        <f>INT(C7033)</f>
        <v/>
      </c>
    </row>
    <row r="7034">
      <c r="A7034" s="7" t="inlineStr">
        <is>
          <t>DRE42</t>
        </is>
      </c>
      <c r="B7034" s="8" t="n">
        <v>46133.97012731482</v>
      </c>
      <c r="C7034" s="8" t="n">
        <v>46134.25</v>
      </c>
      <c r="D7034" s="9">
        <f>(C7034-B7034)*24</f>
        <v/>
      </c>
      <c r="E7034" s="10">
        <f>IF(AND(HOUR(B7034)&gt;=6,HOUR(B7034)&lt;18),"Day Shift","Night Shift")</f>
        <v/>
      </c>
      <c r="F7034" s="11">
        <f>INT(B7034)</f>
        <v/>
      </c>
      <c r="G7034" s="11">
        <f>INT(C7034)</f>
        <v/>
      </c>
    </row>
    <row r="7035">
      <c r="A7035" s="2" t="inlineStr">
        <is>
          <t>DRE42</t>
        </is>
      </c>
      <c r="B7035" s="3" t="n">
        <v>46134.25</v>
      </c>
      <c r="C7035" s="3" t="n">
        <v>46134.75</v>
      </c>
      <c r="D7035" s="4">
        <f>(C7035-B7035)*24</f>
        <v/>
      </c>
      <c r="E7035" s="5">
        <f>IF(AND(HOUR(B7035)&gt;=6,HOUR(B7035)&lt;18),"Day Shift","Night Shift")</f>
        <v/>
      </c>
      <c r="F7035" s="6">
        <f>INT(B7035)</f>
        <v/>
      </c>
      <c r="G7035" s="6">
        <f>INT(C7035)</f>
        <v/>
      </c>
    </row>
    <row r="7036">
      <c r="A7036" s="7" t="inlineStr">
        <is>
          <t>DRE42</t>
        </is>
      </c>
      <c r="B7036" s="8" t="n">
        <v>46134.75</v>
      </c>
      <c r="C7036" s="8" t="n">
        <v>46135.25</v>
      </c>
      <c r="D7036" s="9">
        <f>(C7036-B7036)*24</f>
        <v/>
      </c>
      <c r="E7036" s="10">
        <f>IF(AND(HOUR(B7036)&gt;=6,HOUR(B7036)&lt;18),"Day Shift","Night Shift")</f>
        <v/>
      </c>
      <c r="F7036" s="11">
        <f>INT(B7036)</f>
        <v/>
      </c>
      <c r="G7036" s="11">
        <f>INT(C7036)</f>
        <v/>
      </c>
    </row>
    <row r="7037">
      <c r="A7037" s="2" t="inlineStr">
        <is>
          <t>DRE42</t>
        </is>
      </c>
      <c r="B7037" s="3" t="n">
        <v>46135.25</v>
      </c>
      <c r="C7037" s="3" t="n">
        <v>46135.75</v>
      </c>
      <c r="D7037" s="4">
        <f>(C7037-B7037)*24</f>
        <v/>
      </c>
      <c r="E7037" s="5">
        <f>IF(AND(HOUR(B7037)&gt;=6,HOUR(B7037)&lt;18),"Day Shift","Night Shift")</f>
        <v/>
      </c>
      <c r="F7037" s="6">
        <f>INT(B7037)</f>
        <v/>
      </c>
      <c r="G7037" s="6">
        <f>INT(C7037)</f>
        <v/>
      </c>
    </row>
    <row r="7038">
      <c r="A7038" s="7" t="inlineStr">
        <is>
          <t>DRE42</t>
        </is>
      </c>
      <c r="B7038" s="8" t="n">
        <v>46135.75</v>
      </c>
      <c r="C7038" s="8" t="n">
        <v>46136.25</v>
      </c>
      <c r="D7038" s="9">
        <f>(C7038-B7038)*24</f>
        <v/>
      </c>
      <c r="E7038" s="10">
        <f>IF(AND(HOUR(B7038)&gt;=6,HOUR(B7038)&lt;18),"Day Shift","Night Shift")</f>
        <v/>
      </c>
      <c r="F7038" s="11">
        <f>INT(B7038)</f>
        <v/>
      </c>
      <c r="G7038" s="11">
        <f>INT(C7038)</f>
        <v/>
      </c>
    </row>
    <row r="7039">
      <c r="A7039" s="2" t="inlineStr">
        <is>
          <t>DRE42</t>
        </is>
      </c>
      <c r="B7039" s="3" t="n">
        <v>46136.25</v>
      </c>
      <c r="C7039" s="3" t="n">
        <v>46136.75</v>
      </c>
      <c r="D7039" s="4">
        <f>(C7039-B7039)*24</f>
        <v/>
      </c>
      <c r="E7039" s="5">
        <f>IF(AND(HOUR(B7039)&gt;=6,HOUR(B7039)&lt;18),"Day Shift","Night Shift")</f>
        <v/>
      </c>
      <c r="F7039" s="6">
        <f>INT(B7039)</f>
        <v/>
      </c>
      <c r="G7039" s="6">
        <f>INT(C7039)</f>
        <v/>
      </c>
    </row>
    <row r="7040">
      <c r="A7040" s="7" t="inlineStr">
        <is>
          <t>DRE42</t>
        </is>
      </c>
      <c r="B7040" s="8" t="n">
        <v>46136.75</v>
      </c>
      <c r="C7040" s="8" t="n">
        <v>46137.25</v>
      </c>
      <c r="D7040" s="9">
        <f>(C7040-B7040)*24</f>
        <v/>
      </c>
      <c r="E7040" s="10">
        <f>IF(AND(HOUR(B7040)&gt;=6,HOUR(B7040)&lt;18),"Day Shift","Night Shift")</f>
        <v/>
      </c>
      <c r="F7040" s="11">
        <f>INT(B7040)</f>
        <v/>
      </c>
      <c r="G7040" s="11">
        <f>INT(C7040)</f>
        <v/>
      </c>
    </row>
    <row r="7041">
      <c r="A7041" s="2" t="inlineStr">
        <is>
          <t>DRE42</t>
        </is>
      </c>
      <c r="B7041" s="3" t="n">
        <v>46137.25</v>
      </c>
      <c r="C7041" s="3" t="n">
        <v>46137.75</v>
      </c>
      <c r="D7041" s="4">
        <f>(C7041-B7041)*24</f>
        <v/>
      </c>
      <c r="E7041" s="5">
        <f>IF(AND(HOUR(B7041)&gt;=6,HOUR(B7041)&lt;18),"Day Shift","Night Shift")</f>
        <v/>
      </c>
      <c r="F7041" s="6">
        <f>INT(B7041)</f>
        <v/>
      </c>
      <c r="G7041" s="6">
        <f>INT(C7041)</f>
        <v/>
      </c>
    </row>
    <row r="7042">
      <c r="A7042" s="7" t="inlineStr">
        <is>
          <t>DRE42</t>
        </is>
      </c>
      <c r="B7042" s="8" t="n">
        <v>46137.75</v>
      </c>
      <c r="C7042" s="8" t="n">
        <v>46138.25</v>
      </c>
      <c r="D7042" s="9">
        <f>(C7042-B7042)*24</f>
        <v/>
      </c>
      <c r="E7042" s="10">
        <f>IF(AND(HOUR(B7042)&gt;=6,HOUR(B7042)&lt;18),"Day Shift","Night Shift")</f>
        <v/>
      </c>
      <c r="F7042" s="11">
        <f>INT(B7042)</f>
        <v/>
      </c>
      <c r="G7042" s="11">
        <f>INT(C7042)</f>
        <v/>
      </c>
    </row>
    <row r="7043">
      <c r="A7043" s="2" t="inlineStr">
        <is>
          <t>DRE42</t>
        </is>
      </c>
      <c r="B7043" s="3" t="n">
        <v>46138.25</v>
      </c>
      <c r="C7043" s="3" t="n">
        <v>46138.75</v>
      </c>
      <c r="D7043" s="4">
        <f>(C7043-B7043)*24</f>
        <v/>
      </c>
      <c r="E7043" s="5">
        <f>IF(AND(HOUR(B7043)&gt;=6,HOUR(B7043)&lt;18),"Day Shift","Night Shift")</f>
        <v/>
      </c>
      <c r="F7043" s="6">
        <f>INT(B7043)</f>
        <v/>
      </c>
      <c r="G7043" s="6">
        <f>INT(C7043)</f>
        <v/>
      </c>
    </row>
    <row r="7044">
      <c r="A7044" s="7" t="inlineStr">
        <is>
          <t>DRE42</t>
        </is>
      </c>
      <c r="B7044" s="8" t="n">
        <v>46138.75</v>
      </c>
      <c r="C7044" s="8" t="n">
        <v>46139.25</v>
      </c>
      <c r="D7044" s="9">
        <f>(C7044-B7044)*24</f>
        <v/>
      </c>
      <c r="E7044" s="10">
        <f>IF(AND(HOUR(B7044)&gt;=6,HOUR(B7044)&lt;18),"Day Shift","Night Shift")</f>
        <v/>
      </c>
      <c r="F7044" s="11">
        <f>INT(B7044)</f>
        <v/>
      </c>
      <c r="G7044" s="11">
        <f>INT(C7044)</f>
        <v/>
      </c>
    </row>
    <row r="7045">
      <c r="A7045" s="2" t="inlineStr">
        <is>
          <t>DRE42</t>
        </is>
      </c>
      <c r="B7045" s="3" t="n">
        <v>46139.25</v>
      </c>
      <c r="C7045" s="3" t="n">
        <v>46139.75</v>
      </c>
      <c r="D7045" s="4">
        <f>(C7045-B7045)*24</f>
        <v/>
      </c>
      <c r="E7045" s="5">
        <f>IF(AND(HOUR(B7045)&gt;=6,HOUR(B7045)&lt;18),"Day Shift","Night Shift")</f>
        <v/>
      </c>
      <c r="F7045" s="6">
        <f>INT(B7045)</f>
        <v/>
      </c>
      <c r="G7045" s="6">
        <f>INT(C7045)</f>
        <v/>
      </c>
    </row>
    <row r="7046">
      <c r="A7046" s="7" t="inlineStr">
        <is>
          <t>DRE42</t>
        </is>
      </c>
      <c r="B7046" s="8" t="n">
        <v>46139.75</v>
      </c>
      <c r="C7046" s="8" t="n">
        <v>46140.25</v>
      </c>
      <c r="D7046" s="9">
        <f>(C7046-B7046)*24</f>
        <v/>
      </c>
      <c r="E7046" s="10">
        <f>IF(AND(HOUR(B7046)&gt;=6,HOUR(B7046)&lt;18),"Day Shift","Night Shift")</f>
        <v/>
      </c>
      <c r="F7046" s="11">
        <f>INT(B7046)</f>
        <v/>
      </c>
      <c r="G7046" s="11">
        <f>INT(C7046)</f>
        <v/>
      </c>
    </row>
    <row r="7047">
      <c r="A7047" s="2" t="inlineStr">
        <is>
          <t>DRE42</t>
        </is>
      </c>
      <c r="B7047" s="3" t="n">
        <v>46140.25</v>
      </c>
      <c r="C7047" s="3" t="n">
        <v>46140.75</v>
      </c>
      <c r="D7047" s="4">
        <f>(C7047-B7047)*24</f>
        <v/>
      </c>
      <c r="E7047" s="5">
        <f>IF(AND(HOUR(B7047)&gt;=6,HOUR(B7047)&lt;18),"Day Shift","Night Shift")</f>
        <v/>
      </c>
      <c r="F7047" s="6">
        <f>INT(B7047)</f>
        <v/>
      </c>
      <c r="G7047" s="6">
        <f>INT(C7047)</f>
        <v/>
      </c>
    </row>
    <row r="7048">
      <c r="A7048" s="7" t="inlineStr">
        <is>
          <t>DRE42</t>
        </is>
      </c>
      <c r="B7048" s="8" t="n">
        <v>46140.75</v>
      </c>
      <c r="C7048" s="8" t="n">
        <v>46141.25</v>
      </c>
      <c r="D7048" s="9">
        <f>(C7048-B7048)*24</f>
        <v/>
      </c>
      <c r="E7048" s="10">
        <f>IF(AND(HOUR(B7048)&gt;=6,HOUR(B7048)&lt;18),"Day Shift","Night Shift")</f>
        <v/>
      </c>
      <c r="F7048" s="11">
        <f>INT(B7048)</f>
        <v/>
      </c>
      <c r="G7048" s="11">
        <f>INT(C7048)</f>
        <v/>
      </c>
    </row>
    <row r="7049">
      <c r="A7049" s="2" t="inlineStr">
        <is>
          <t>DRE42</t>
        </is>
      </c>
      <c r="B7049" s="3" t="n">
        <v>46141.25</v>
      </c>
      <c r="C7049" s="3" t="n">
        <v>46141.75</v>
      </c>
      <c r="D7049" s="4">
        <f>(C7049-B7049)*24</f>
        <v/>
      </c>
      <c r="E7049" s="5">
        <f>IF(AND(HOUR(B7049)&gt;=6,HOUR(B7049)&lt;18),"Day Shift","Night Shift")</f>
        <v/>
      </c>
      <c r="F7049" s="6">
        <f>INT(B7049)</f>
        <v/>
      </c>
      <c r="G7049" s="6">
        <f>INT(C7049)</f>
        <v/>
      </c>
    </row>
    <row r="7050">
      <c r="A7050" s="7" t="inlineStr">
        <is>
          <t>DRE42</t>
        </is>
      </c>
      <c r="B7050" s="8" t="n">
        <v>46141.75</v>
      </c>
      <c r="C7050" s="8" t="n">
        <v>46142.04490740741</v>
      </c>
      <c r="D7050" s="9">
        <f>(C7050-B7050)*24</f>
        <v/>
      </c>
      <c r="E7050" s="10">
        <f>IF(AND(HOUR(B7050)&gt;=6,HOUR(B7050)&lt;18),"Day Shift","Night Shift")</f>
        <v/>
      </c>
      <c r="F7050" s="11">
        <f>INT(B7050)</f>
        <v/>
      </c>
      <c r="G7050" s="11">
        <f>INT(C7050)</f>
        <v/>
      </c>
    </row>
    <row r="7051">
      <c r="A7051" s="7" t="inlineStr">
        <is>
          <t>EXD100</t>
        </is>
      </c>
      <c r="B7051" s="8" t="n">
        <v>46133.97270833333</v>
      </c>
      <c r="C7051" s="8" t="n">
        <v>46134.25</v>
      </c>
      <c r="D7051" s="9">
        <f>(C7051-B7051)*24</f>
        <v/>
      </c>
      <c r="E7051" s="10">
        <f>IF(AND(HOUR(B7051)&gt;=6,HOUR(B7051)&lt;18),"Day Shift","Night Shift")</f>
        <v/>
      </c>
      <c r="F7051" s="11">
        <f>INT(B7051)</f>
        <v/>
      </c>
      <c r="G7051" s="11">
        <f>INT(C7051)</f>
        <v/>
      </c>
    </row>
    <row r="7052">
      <c r="A7052" s="2" t="inlineStr">
        <is>
          <t>EXD100</t>
        </is>
      </c>
      <c r="B7052" s="3" t="n">
        <v>46134.25</v>
      </c>
      <c r="C7052" s="3" t="n">
        <v>46134.50651620371</v>
      </c>
      <c r="D7052" s="4">
        <f>(C7052-B7052)*24</f>
        <v/>
      </c>
      <c r="E7052" s="5">
        <f>IF(AND(HOUR(B7052)&gt;=6,HOUR(B7052)&lt;18),"Day Shift","Night Shift")</f>
        <v/>
      </c>
      <c r="F7052" s="6">
        <f>INT(B7052)</f>
        <v/>
      </c>
      <c r="G7052" s="6">
        <f>INT(C7052)</f>
        <v/>
      </c>
    </row>
    <row r="7053">
      <c r="A7053" s="7" t="inlineStr">
        <is>
          <t>EXD60</t>
        </is>
      </c>
      <c r="B7053" s="8" t="n">
        <v>46134.00829861111</v>
      </c>
      <c r="C7053" s="8" t="n">
        <v>46134.20887731481</v>
      </c>
      <c r="D7053" s="9">
        <f>(C7053-B7053)*24</f>
        <v/>
      </c>
      <c r="E7053" s="10">
        <f>IF(AND(HOUR(B7053)&gt;=6,HOUR(B7053)&lt;18),"Day Shift","Night Shift")</f>
        <v/>
      </c>
      <c r="F7053" s="11">
        <f>INT(B7053)</f>
        <v/>
      </c>
      <c r="G7053" s="11">
        <f>INT(C7053)</f>
        <v/>
      </c>
    </row>
    <row r="7054">
      <c r="A7054" s="7" t="inlineStr">
        <is>
          <t>EDD175;EDD1932;EDD2134;EDD2541;EDD812;Sprint 1</t>
        </is>
      </c>
      <c r="B7054" s="8" t="n">
        <v>46134.04490740741</v>
      </c>
      <c r="C7054" s="8" t="n">
        <v>46134.10037037037</v>
      </c>
      <c r="D7054" s="9">
        <f>(C7054-B7054)*24</f>
        <v/>
      </c>
      <c r="E7054" s="10">
        <f>IF(AND(HOUR(B7054)&gt;=6,HOUR(B7054)&lt;18),"Day Shift","Night Shift")</f>
        <v/>
      </c>
      <c r="F7054" s="11">
        <f>INT(B7054)</f>
        <v/>
      </c>
      <c r="G7054" s="11">
        <f>INT(C7054)</f>
        <v/>
      </c>
    </row>
    <row r="7055">
      <c r="A7055" s="7" t="inlineStr">
        <is>
          <t>EDD175;EDD1932;EDD2134;EDD2541;EDD812;Sprint 1</t>
        </is>
      </c>
      <c r="B7055" s="8" t="n">
        <v>46134.10125</v>
      </c>
      <c r="C7055" s="8" t="n">
        <v>46134.14393518519</v>
      </c>
      <c r="D7055" s="9">
        <f>(C7055-B7055)*24</f>
        <v/>
      </c>
      <c r="E7055" s="10">
        <f>IF(AND(HOUR(B7055)&gt;=6,HOUR(B7055)&lt;18),"Day Shift","Night Shift")</f>
        <v/>
      </c>
      <c r="F7055" s="11">
        <f>INT(B7055)</f>
        <v/>
      </c>
      <c r="G7055" s="11">
        <f>INT(C7055)</f>
        <v/>
      </c>
    </row>
    <row r="7056">
      <c r="A7056" s="7" t="inlineStr">
        <is>
          <t>EDD175;EDD1932;EDD2134;EDD2541;EDD812;Sprint 1</t>
        </is>
      </c>
      <c r="B7056" s="8" t="n">
        <v>46134.14393518519</v>
      </c>
      <c r="C7056" s="8" t="n">
        <v>46134.23486111111</v>
      </c>
      <c r="D7056" s="9">
        <f>(C7056-B7056)*24</f>
        <v/>
      </c>
      <c r="E7056" s="10">
        <f>IF(AND(HOUR(B7056)&gt;=6,HOUR(B7056)&lt;18),"Day Shift","Night Shift")</f>
        <v/>
      </c>
      <c r="F7056" s="11">
        <f>INT(B7056)</f>
        <v/>
      </c>
      <c r="G7056" s="11">
        <f>INT(C7056)</f>
        <v/>
      </c>
    </row>
    <row r="7057">
      <c r="A7057" s="7" t="inlineStr">
        <is>
          <t>EXD60</t>
        </is>
      </c>
      <c r="B7057" s="8" t="n">
        <v>46134.20924768518</v>
      </c>
      <c r="C7057" s="8" t="n">
        <v>46134.25</v>
      </c>
      <c r="D7057" s="9">
        <f>(C7057-B7057)*24</f>
        <v/>
      </c>
      <c r="E7057" s="10">
        <f>IF(AND(HOUR(B7057)&gt;=6,HOUR(B7057)&lt;18),"Day Shift","Night Shift")</f>
        <v/>
      </c>
      <c r="F7057" s="11">
        <f>INT(B7057)</f>
        <v/>
      </c>
      <c r="G7057" s="11">
        <f>INT(C7057)</f>
        <v/>
      </c>
    </row>
    <row r="7058">
      <c r="A7058" s="2" t="inlineStr">
        <is>
          <t>EXD60</t>
        </is>
      </c>
      <c r="B7058" s="3" t="n">
        <v>46134.25</v>
      </c>
      <c r="C7058" s="3" t="n">
        <v>46134.75</v>
      </c>
      <c r="D7058" s="4">
        <f>(C7058-B7058)*24</f>
        <v/>
      </c>
      <c r="E7058" s="5">
        <f>IF(AND(HOUR(B7058)&gt;=6,HOUR(B7058)&lt;18),"Day Shift","Night Shift")</f>
        <v/>
      </c>
      <c r="F7058" s="6">
        <f>INT(B7058)</f>
        <v/>
      </c>
      <c r="G7058" s="6">
        <f>INT(C7058)</f>
        <v/>
      </c>
    </row>
    <row r="7059">
      <c r="A7059" s="7" t="inlineStr">
        <is>
          <t>EXD60</t>
        </is>
      </c>
      <c r="B7059" s="8" t="n">
        <v>46134.75</v>
      </c>
      <c r="C7059" s="8" t="n">
        <v>46135.25</v>
      </c>
      <c r="D7059" s="9">
        <f>(C7059-B7059)*24</f>
        <v/>
      </c>
      <c r="E7059" s="10">
        <f>IF(AND(HOUR(B7059)&gt;=6,HOUR(B7059)&lt;18),"Day Shift","Night Shift")</f>
        <v/>
      </c>
      <c r="F7059" s="11">
        <f>INT(B7059)</f>
        <v/>
      </c>
      <c r="G7059" s="11">
        <f>INT(C7059)</f>
        <v/>
      </c>
    </row>
    <row r="7060">
      <c r="A7060" s="2" t="inlineStr">
        <is>
          <t>EXD60</t>
        </is>
      </c>
      <c r="B7060" s="3" t="n">
        <v>46135.25</v>
      </c>
      <c r="C7060" s="3" t="n">
        <v>46135.7409375</v>
      </c>
      <c r="D7060" s="4">
        <f>(C7060-B7060)*24</f>
        <v/>
      </c>
      <c r="E7060" s="5">
        <f>IF(AND(HOUR(B7060)&gt;=6,HOUR(B7060)&lt;18),"Day Shift","Night Shift")</f>
        <v/>
      </c>
      <c r="F7060" s="6">
        <f>INT(B7060)</f>
        <v/>
      </c>
      <c r="G7060" s="6">
        <f>INT(C7060)</f>
        <v/>
      </c>
    </row>
    <row r="7061">
      <c r="A7061" s="7" t="inlineStr">
        <is>
          <t>EDD175;EDD1932;EDD2134;EDD2541;EDD812;Sprint 1</t>
        </is>
      </c>
      <c r="B7061" s="8" t="n">
        <v>46134.23486111111</v>
      </c>
      <c r="C7061" s="8" t="n">
        <v>46134.25</v>
      </c>
      <c r="D7061" s="9">
        <f>(C7061-B7061)*24</f>
        <v/>
      </c>
      <c r="E7061" s="10">
        <f>IF(AND(HOUR(B7061)&gt;=6,HOUR(B7061)&lt;18),"Day Shift","Night Shift")</f>
        <v/>
      </c>
      <c r="F7061" s="11">
        <f>INT(B7061)</f>
        <v/>
      </c>
      <c r="G7061" s="11">
        <f>INT(C7061)</f>
        <v/>
      </c>
    </row>
    <row r="7062">
      <c r="A7062" s="2" t="inlineStr">
        <is>
          <t>EDD175;EDD1932;EDD2134;EDD2541;EDD812;Sprint 1</t>
        </is>
      </c>
      <c r="B7062" s="3" t="n">
        <v>46134.25</v>
      </c>
      <c r="C7062" s="3" t="n">
        <v>46134.33197916667</v>
      </c>
      <c r="D7062" s="4">
        <f>(C7062-B7062)*24</f>
        <v/>
      </c>
      <c r="E7062" s="5">
        <f>IF(AND(HOUR(B7062)&gt;=6,HOUR(B7062)&lt;18),"Day Shift","Night Shift")</f>
        <v/>
      </c>
      <c r="F7062" s="6">
        <f>INT(B7062)</f>
        <v/>
      </c>
      <c r="G7062" s="6">
        <f>INT(C7062)</f>
        <v/>
      </c>
    </row>
    <row r="7063">
      <c r="A7063" s="2" t="inlineStr">
        <is>
          <t>SHE36</t>
        </is>
      </c>
      <c r="B7063" s="3" t="n">
        <v>46134.31143518518</v>
      </c>
      <c r="C7063" s="3" t="n">
        <v>46134.75</v>
      </c>
      <c r="D7063" s="4">
        <f>(C7063-B7063)*24</f>
        <v/>
      </c>
      <c r="E7063" s="5">
        <f>IF(AND(HOUR(B7063)&gt;=6,HOUR(B7063)&lt;18),"Day Shift","Night Shift")</f>
        <v/>
      </c>
      <c r="F7063" s="6">
        <f>INT(B7063)</f>
        <v/>
      </c>
      <c r="G7063" s="6">
        <f>INT(C7063)</f>
        <v/>
      </c>
    </row>
    <row r="7064">
      <c r="A7064" s="7" t="inlineStr">
        <is>
          <t>SHE36</t>
        </is>
      </c>
      <c r="B7064" s="8" t="n">
        <v>46134.75</v>
      </c>
      <c r="C7064" s="8" t="n">
        <v>46135.12765046296</v>
      </c>
      <c r="D7064" s="9">
        <f>(C7064-B7064)*24</f>
        <v/>
      </c>
      <c r="E7064" s="10">
        <f>IF(AND(HOUR(B7064)&gt;=6,HOUR(B7064)&lt;18),"Day Shift","Night Shift")</f>
        <v/>
      </c>
      <c r="F7064" s="11">
        <f>INT(B7064)</f>
        <v/>
      </c>
      <c r="G7064" s="11">
        <f>INT(C7064)</f>
        <v/>
      </c>
    </row>
    <row r="7065">
      <c r="A7065" s="2" t="inlineStr">
        <is>
          <t>EDD175;EDD1932;EDD2134;EDD2541;EDD812;Sprint 1</t>
        </is>
      </c>
      <c r="B7065" s="3" t="n">
        <v>46134.33197916667</v>
      </c>
      <c r="C7065" s="3" t="n">
        <v>46134.44123842593</v>
      </c>
      <c r="D7065" s="4">
        <f>(C7065-B7065)*24</f>
        <v/>
      </c>
      <c r="E7065" s="5">
        <f>IF(AND(HOUR(B7065)&gt;=6,HOUR(B7065)&lt;18),"Day Shift","Night Shift")</f>
        <v/>
      </c>
      <c r="F7065" s="6">
        <f>INT(B7065)</f>
        <v/>
      </c>
      <c r="G7065" s="6">
        <f>INT(C7065)</f>
        <v/>
      </c>
    </row>
    <row r="7066">
      <c r="A7066" s="2" t="inlineStr">
        <is>
          <t>EXD51</t>
        </is>
      </c>
      <c r="B7066" s="3" t="n">
        <v>46134.3671412037</v>
      </c>
      <c r="C7066" s="3" t="n">
        <v>46134.75</v>
      </c>
      <c r="D7066" s="4">
        <f>(C7066-B7066)*24</f>
        <v/>
      </c>
      <c r="E7066" s="5">
        <f>IF(AND(HOUR(B7066)&gt;=6,HOUR(B7066)&lt;18),"Day Shift","Night Shift")</f>
        <v/>
      </c>
      <c r="F7066" s="6">
        <f>INT(B7066)</f>
        <v/>
      </c>
      <c r="G7066" s="6">
        <f>INT(C7066)</f>
        <v/>
      </c>
    </row>
    <row r="7067">
      <c r="A7067" s="7" t="inlineStr">
        <is>
          <t>EXD51</t>
        </is>
      </c>
      <c r="B7067" s="8" t="n">
        <v>46134.75</v>
      </c>
      <c r="C7067" s="8" t="n">
        <v>46135.25</v>
      </c>
      <c r="D7067" s="9">
        <f>(C7067-B7067)*24</f>
        <v/>
      </c>
      <c r="E7067" s="10">
        <f>IF(AND(HOUR(B7067)&gt;=6,HOUR(B7067)&lt;18),"Day Shift","Night Shift")</f>
        <v/>
      </c>
      <c r="F7067" s="11">
        <f>INT(B7067)</f>
        <v/>
      </c>
      <c r="G7067" s="11">
        <f>INT(C7067)</f>
        <v/>
      </c>
    </row>
    <row r="7068">
      <c r="A7068" s="2" t="inlineStr">
        <is>
          <t>EXD51</t>
        </is>
      </c>
      <c r="B7068" s="3" t="n">
        <v>46135.25</v>
      </c>
      <c r="C7068" s="3" t="n">
        <v>46135.51255787037</v>
      </c>
      <c r="D7068" s="4">
        <f>(C7068-B7068)*24</f>
        <v/>
      </c>
      <c r="E7068" s="5">
        <f>IF(AND(HOUR(B7068)&gt;=6,HOUR(B7068)&lt;18),"Day Shift","Night Shift")</f>
        <v/>
      </c>
      <c r="F7068" s="6">
        <f>INT(B7068)</f>
        <v/>
      </c>
      <c r="G7068" s="6">
        <f>INT(C7068)</f>
        <v/>
      </c>
    </row>
    <row r="7069">
      <c r="A7069" s="2" t="inlineStr">
        <is>
          <t>EXD61</t>
        </is>
      </c>
      <c r="B7069" s="3" t="n">
        <v>46134.37181712963</v>
      </c>
      <c r="C7069" s="3" t="n">
        <v>46134.75</v>
      </c>
      <c r="D7069" s="4">
        <f>(C7069-B7069)*24</f>
        <v/>
      </c>
      <c r="E7069" s="5">
        <f>IF(AND(HOUR(B7069)&gt;=6,HOUR(B7069)&lt;18),"Day Shift","Night Shift")</f>
        <v/>
      </c>
      <c r="F7069" s="6">
        <f>INT(B7069)</f>
        <v/>
      </c>
      <c r="G7069" s="6">
        <f>INT(C7069)</f>
        <v/>
      </c>
    </row>
    <row r="7070">
      <c r="A7070" s="7" t="inlineStr">
        <is>
          <t>EXD61</t>
        </is>
      </c>
      <c r="B7070" s="8" t="n">
        <v>46134.75</v>
      </c>
      <c r="C7070" s="8" t="n">
        <v>46135.10217592592</v>
      </c>
      <c r="D7070" s="9">
        <f>(C7070-B7070)*24</f>
        <v/>
      </c>
      <c r="E7070" s="10">
        <f>IF(AND(HOUR(B7070)&gt;=6,HOUR(B7070)&lt;18),"Day Shift","Night Shift")</f>
        <v/>
      </c>
      <c r="F7070" s="11">
        <f>INT(B7070)</f>
        <v/>
      </c>
      <c r="G7070" s="11">
        <f>INT(C7070)</f>
        <v/>
      </c>
    </row>
    <row r="7071">
      <c r="A7071" s="2" t="inlineStr">
        <is>
          <t>EDD175;EDD1932;EDD2134;EDD2541;EDD812;Sprint 1</t>
        </is>
      </c>
      <c r="B7071" s="3" t="n">
        <v>46134.44123842593</v>
      </c>
      <c r="C7071" s="3" t="n">
        <v>46134.55659722222</v>
      </c>
      <c r="D7071" s="4">
        <f>(C7071-B7071)*24</f>
        <v/>
      </c>
      <c r="E7071" s="5">
        <f>IF(AND(HOUR(B7071)&gt;=6,HOUR(B7071)&lt;18),"Day Shift","Night Shift")</f>
        <v/>
      </c>
      <c r="F7071" s="6">
        <f>INT(B7071)</f>
        <v/>
      </c>
      <c r="G7071" s="6">
        <f>INT(C7071)</f>
        <v/>
      </c>
    </row>
    <row r="7072">
      <c r="A7072" s="2" t="inlineStr">
        <is>
          <t>Blast Crew DS</t>
        </is>
      </c>
      <c r="B7072" s="3" t="n">
        <v>46134.47430555556</v>
      </c>
      <c r="C7072" s="3" t="n">
        <v>46134.75</v>
      </c>
      <c r="D7072" s="4">
        <f>(C7072-B7072)*24</f>
        <v/>
      </c>
      <c r="E7072" s="5">
        <f>IF(AND(HOUR(B7072)&gt;=6,HOUR(B7072)&lt;18),"Day Shift","Night Shift")</f>
        <v/>
      </c>
      <c r="F7072" s="6">
        <f>INT(B7072)</f>
        <v/>
      </c>
      <c r="G7072" s="6">
        <f>INT(C7072)</f>
        <v/>
      </c>
    </row>
    <row r="7073">
      <c r="A7073" s="7" t="inlineStr">
        <is>
          <t>Blast Crew DS</t>
        </is>
      </c>
      <c r="B7073" s="8" t="n">
        <v>46134.75</v>
      </c>
      <c r="C7073" s="8" t="n">
        <v>46135.25</v>
      </c>
      <c r="D7073" s="9">
        <f>(C7073-B7073)*24</f>
        <v/>
      </c>
      <c r="E7073" s="10">
        <f>IF(AND(HOUR(B7073)&gt;=6,HOUR(B7073)&lt;18),"Day Shift","Night Shift")</f>
        <v/>
      </c>
      <c r="F7073" s="11">
        <f>INT(B7073)</f>
        <v/>
      </c>
      <c r="G7073" s="11">
        <f>INT(C7073)</f>
        <v/>
      </c>
    </row>
    <row r="7074">
      <c r="A7074" s="2" t="inlineStr">
        <is>
          <t>Blast Crew DS</t>
        </is>
      </c>
      <c r="B7074" s="3" t="n">
        <v>46135.25</v>
      </c>
      <c r="C7074" s="3" t="n">
        <v>46135.38686342593</v>
      </c>
      <c r="D7074" s="4">
        <f>(C7074-B7074)*24</f>
        <v/>
      </c>
      <c r="E7074" s="5">
        <f>IF(AND(HOUR(B7074)&gt;=6,HOUR(B7074)&lt;18),"Day Shift","Night Shift")</f>
        <v/>
      </c>
      <c r="F7074" s="6">
        <f>INT(B7074)</f>
        <v/>
      </c>
      <c r="G7074" s="6">
        <f>INT(C7074)</f>
        <v/>
      </c>
    </row>
    <row r="7075">
      <c r="A7075" s="2" t="inlineStr">
        <is>
          <t>EXD100</t>
        </is>
      </c>
      <c r="B7075" s="3" t="n">
        <v>46134.50651620371</v>
      </c>
      <c r="C7075" s="3" t="n">
        <v>46134.70679398148</v>
      </c>
      <c r="D7075" s="4">
        <f>(C7075-B7075)*24</f>
        <v/>
      </c>
      <c r="E7075" s="5">
        <f>IF(AND(HOUR(B7075)&gt;=6,HOUR(B7075)&lt;18),"Day Shift","Night Shift")</f>
        <v/>
      </c>
      <c r="F7075" s="6">
        <f>INT(B7075)</f>
        <v/>
      </c>
      <c r="G7075" s="6">
        <f>INT(C7075)</f>
        <v/>
      </c>
    </row>
    <row r="7076">
      <c r="A7076" s="2" t="inlineStr">
        <is>
          <t>EDD175;EDD1932;EDD2134;EDD2541;EDD812;Sprint 1</t>
        </is>
      </c>
      <c r="B7076" s="3" t="n">
        <v>46134.55659722222</v>
      </c>
      <c r="C7076" s="3" t="n">
        <v>46134.66025462963</v>
      </c>
      <c r="D7076" s="4">
        <f>(C7076-B7076)*24</f>
        <v/>
      </c>
      <c r="E7076" s="5">
        <f>IF(AND(HOUR(B7076)&gt;=6,HOUR(B7076)&lt;18),"Day Shift","Night Shift")</f>
        <v/>
      </c>
      <c r="F7076" s="6">
        <f>INT(B7076)</f>
        <v/>
      </c>
      <c r="G7076" s="6">
        <f>INT(C7076)</f>
        <v/>
      </c>
    </row>
    <row r="7077">
      <c r="A7077" s="2" t="inlineStr">
        <is>
          <t>EXD98</t>
        </is>
      </c>
      <c r="B7077" s="3" t="n">
        <v>46134.57194444445</v>
      </c>
      <c r="C7077" s="3" t="n">
        <v>46134.75</v>
      </c>
      <c r="D7077" s="4">
        <f>(C7077-B7077)*24</f>
        <v/>
      </c>
      <c r="E7077" s="5">
        <f>IF(AND(HOUR(B7077)&gt;=6,HOUR(B7077)&lt;18),"Day Shift","Night Shift")</f>
        <v/>
      </c>
      <c r="F7077" s="6">
        <f>INT(B7077)</f>
        <v/>
      </c>
      <c r="G7077" s="6">
        <f>INT(C7077)</f>
        <v/>
      </c>
    </row>
    <row r="7078">
      <c r="A7078" s="7" t="inlineStr">
        <is>
          <t>EXD98</t>
        </is>
      </c>
      <c r="B7078" s="8" t="n">
        <v>46134.75</v>
      </c>
      <c r="C7078" s="8" t="n">
        <v>46135.25</v>
      </c>
      <c r="D7078" s="9">
        <f>(C7078-B7078)*24</f>
        <v/>
      </c>
      <c r="E7078" s="10">
        <f>IF(AND(HOUR(B7078)&gt;=6,HOUR(B7078)&lt;18),"Day Shift","Night Shift")</f>
        <v/>
      </c>
      <c r="F7078" s="11">
        <f>INT(B7078)</f>
        <v/>
      </c>
      <c r="G7078" s="11">
        <f>INT(C7078)</f>
        <v/>
      </c>
    </row>
    <row r="7079">
      <c r="A7079" s="2" t="inlineStr">
        <is>
          <t>EXD98</t>
        </is>
      </c>
      <c r="B7079" s="3" t="n">
        <v>46135.25</v>
      </c>
      <c r="C7079" s="3" t="n">
        <v>46135.31888888889</v>
      </c>
      <c r="D7079" s="4">
        <f>(C7079-B7079)*24</f>
        <v/>
      </c>
      <c r="E7079" s="5">
        <f>IF(AND(HOUR(B7079)&gt;=6,HOUR(B7079)&lt;18),"Day Shift","Night Shift")</f>
        <v/>
      </c>
      <c r="F7079" s="6">
        <f>INT(B7079)</f>
        <v/>
      </c>
      <c r="G7079" s="6">
        <f>INT(C7079)</f>
        <v/>
      </c>
    </row>
    <row r="7080">
      <c r="A7080" s="2" t="inlineStr">
        <is>
          <t>EXD408</t>
        </is>
      </c>
      <c r="B7080" s="3" t="n">
        <v>46134.65928240741</v>
      </c>
      <c r="C7080" s="3" t="n">
        <v>46134.75</v>
      </c>
      <c r="D7080" s="4">
        <f>(C7080-B7080)*24</f>
        <v/>
      </c>
      <c r="E7080" s="5">
        <f>IF(AND(HOUR(B7080)&gt;=6,HOUR(B7080)&lt;18),"Day Shift","Night Shift")</f>
        <v/>
      </c>
      <c r="F7080" s="6">
        <f>INT(B7080)</f>
        <v/>
      </c>
      <c r="G7080" s="6">
        <f>INT(C7080)</f>
        <v/>
      </c>
    </row>
    <row r="7081">
      <c r="A7081" s="7" t="inlineStr">
        <is>
          <t>EXD408</t>
        </is>
      </c>
      <c r="B7081" s="8" t="n">
        <v>46134.75</v>
      </c>
      <c r="C7081" s="8" t="n">
        <v>46135.25</v>
      </c>
      <c r="D7081" s="9">
        <f>(C7081-B7081)*24</f>
        <v/>
      </c>
      <c r="E7081" s="10">
        <f>IF(AND(HOUR(B7081)&gt;=6,HOUR(B7081)&lt;18),"Day Shift","Night Shift")</f>
        <v/>
      </c>
      <c r="F7081" s="11">
        <f>INT(B7081)</f>
        <v/>
      </c>
      <c r="G7081" s="11">
        <f>INT(C7081)</f>
        <v/>
      </c>
    </row>
    <row r="7082">
      <c r="A7082" s="2" t="inlineStr">
        <is>
          <t>EXD408</t>
        </is>
      </c>
      <c r="B7082" s="3" t="n">
        <v>46135.25</v>
      </c>
      <c r="C7082" s="3" t="n">
        <v>46135.75</v>
      </c>
      <c r="D7082" s="4">
        <f>(C7082-B7082)*24</f>
        <v/>
      </c>
      <c r="E7082" s="5">
        <f>IF(AND(HOUR(B7082)&gt;=6,HOUR(B7082)&lt;18),"Day Shift","Night Shift")</f>
        <v/>
      </c>
      <c r="F7082" s="6">
        <f>INT(B7082)</f>
        <v/>
      </c>
      <c r="G7082" s="6">
        <f>INT(C7082)</f>
        <v/>
      </c>
    </row>
    <row r="7083">
      <c r="A7083" s="7" t="inlineStr">
        <is>
          <t>EXD408</t>
        </is>
      </c>
      <c r="B7083" s="8" t="n">
        <v>46135.75</v>
      </c>
      <c r="C7083" s="8" t="n">
        <v>46136.04456018518</v>
      </c>
      <c r="D7083" s="9">
        <f>(C7083-B7083)*24</f>
        <v/>
      </c>
      <c r="E7083" s="10">
        <f>IF(AND(HOUR(B7083)&gt;=6,HOUR(B7083)&lt;18),"Day Shift","Night Shift")</f>
        <v/>
      </c>
      <c r="F7083" s="11">
        <f>INT(B7083)</f>
        <v/>
      </c>
      <c r="G7083" s="11">
        <f>INT(C7083)</f>
        <v/>
      </c>
    </row>
    <row r="7084">
      <c r="A7084" s="2" t="inlineStr">
        <is>
          <t>EDD175;EDD1932;EDD2134;EDD2541;EDD812;Sprint 1</t>
        </is>
      </c>
      <c r="B7084" s="3" t="n">
        <v>46134.66025462963</v>
      </c>
      <c r="C7084" s="3" t="n">
        <v>46134.75</v>
      </c>
      <c r="D7084" s="4">
        <f>(C7084-B7084)*24</f>
        <v/>
      </c>
      <c r="E7084" s="5">
        <f>IF(AND(HOUR(B7084)&gt;=6,HOUR(B7084)&lt;18),"Day Shift","Night Shift")</f>
        <v/>
      </c>
      <c r="F7084" s="6">
        <f>INT(B7084)</f>
        <v/>
      </c>
      <c r="G7084" s="6">
        <f>INT(C7084)</f>
        <v/>
      </c>
    </row>
    <row r="7085">
      <c r="A7085" s="7" t="inlineStr">
        <is>
          <t>EDD175;EDD1932;EDD2134;EDD2541;EDD812;Sprint 1</t>
        </is>
      </c>
      <c r="B7085" s="8" t="n">
        <v>46134.75</v>
      </c>
      <c r="C7085" s="8" t="n">
        <v>46134.76155092593</v>
      </c>
      <c r="D7085" s="9">
        <f>(C7085-B7085)*24</f>
        <v/>
      </c>
      <c r="E7085" s="10">
        <f>IF(AND(HOUR(B7085)&gt;=6,HOUR(B7085)&lt;18),"Day Shift","Night Shift")</f>
        <v/>
      </c>
      <c r="F7085" s="11">
        <f>INT(B7085)</f>
        <v/>
      </c>
      <c r="G7085" s="11">
        <f>INT(C7085)</f>
        <v/>
      </c>
    </row>
    <row r="7086">
      <c r="A7086" s="2" t="inlineStr">
        <is>
          <t>EXD100</t>
        </is>
      </c>
      <c r="B7086" s="3" t="n">
        <v>46134.70679398148</v>
      </c>
      <c r="C7086" s="3" t="n">
        <v>46134.75</v>
      </c>
      <c r="D7086" s="4">
        <f>(C7086-B7086)*24</f>
        <v/>
      </c>
      <c r="E7086" s="5">
        <f>IF(AND(HOUR(B7086)&gt;=6,HOUR(B7086)&lt;18),"Day Shift","Night Shift")</f>
        <v/>
      </c>
      <c r="F7086" s="6">
        <f>INT(B7086)</f>
        <v/>
      </c>
      <c r="G7086" s="6">
        <f>INT(C7086)</f>
        <v/>
      </c>
    </row>
    <row r="7087">
      <c r="A7087" s="7" t="inlineStr">
        <is>
          <t>EXD100</t>
        </is>
      </c>
      <c r="B7087" s="8" t="n">
        <v>46134.75</v>
      </c>
      <c r="C7087" s="8" t="n">
        <v>46135.25</v>
      </c>
      <c r="D7087" s="9">
        <f>(C7087-B7087)*24</f>
        <v/>
      </c>
      <c r="E7087" s="10">
        <f>IF(AND(HOUR(B7087)&gt;=6,HOUR(B7087)&lt;18),"Day Shift","Night Shift")</f>
        <v/>
      </c>
      <c r="F7087" s="11">
        <f>INT(B7087)</f>
        <v/>
      </c>
      <c r="G7087" s="11">
        <f>INT(C7087)</f>
        <v/>
      </c>
    </row>
    <row r="7088">
      <c r="A7088" s="2" t="inlineStr">
        <is>
          <t>EXD100</t>
        </is>
      </c>
      <c r="B7088" s="3" t="n">
        <v>46135.25</v>
      </c>
      <c r="C7088" s="3" t="n">
        <v>46135.66462962963</v>
      </c>
      <c r="D7088" s="4">
        <f>(C7088-B7088)*24</f>
        <v/>
      </c>
      <c r="E7088" s="5">
        <f>IF(AND(HOUR(B7088)&gt;=6,HOUR(B7088)&lt;18),"Day Shift","Night Shift")</f>
        <v/>
      </c>
      <c r="F7088" s="6">
        <f>INT(B7088)</f>
        <v/>
      </c>
      <c r="G7088" s="6">
        <f>INT(C7088)</f>
        <v/>
      </c>
    </row>
    <row r="7089">
      <c r="A7089" s="7" t="inlineStr">
        <is>
          <t>EXD101</t>
        </is>
      </c>
      <c r="B7089" s="8" t="n">
        <v>46134.75333333333</v>
      </c>
      <c r="C7089" s="8" t="n">
        <v>46135.04179398148</v>
      </c>
      <c r="D7089" s="9">
        <f>(C7089-B7089)*24</f>
        <v/>
      </c>
      <c r="E7089" s="10">
        <f>IF(AND(HOUR(B7089)&gt;=6,HOUR(B7089)&lt;18),"Day Shift","Night Shift")</f>
        <v/>
      </c>
      <c r="F7089" s="11">
        <f>INT(B7089)</f>
        <v/>
      </c>
      <c r="G7089" s="11">
        <f>INT(C7089)</f>
        <v/>
      </c>
    </row>
    <row r="7090">
      <c r="A7090" s="7" t="inlineStr">
        <is>
          <t>EDD175;EDD1932;EDD2134;EDD2541;EDD812;Sprint 1</t>
        </is>
      </c>
      <c r="B7090" s="8" t="n">
        <v>46134.76155092593</v>
      </c>
      <c r="C7090" s="8" t="n">
        <v>46134.86917824074</v>
      </c>
      <c r="D7090" s="9">
        <f>(C7090-B7090)*24</f>
        <v/>
      </c>
      <c r="E7090" s="10">
        <f>IF(AND(HOUR(B7090)&gt;=6,HOUR(B7090)&lt;18),"Day Shift","Night Shift")</f>
        <v/>
      </c>
      <c r="F7090" s="11">
        <f>INT(B7090)</f>
        <v/>
      </c>
      <c r="G7090" s="11">
        <f>INT(C7090)</f>
        <v/>
      </c>
    </row>
    <row r="7091">
      <c r="A7091" s="7" t="inlineStr">
        <is>
          <t>EDD175;EDD1932;EDD2134;EDD2541;EDD812;Sprint 1</t>
        </is>
      </c>
      <c r="B7091" s="8" t="n">
        <v>46134.86917824074</v>
      </c>
      <c r="C7091" s="8" t="n">
        <v>46134.97934027778</v>
      </c>
      <c r="D7091" s="9">
        <f>(C7091-B7091)*24</f>
        <v/>
      </c>
      <c r="E7091" s="10">
        <f>IF(AND(HOUR(B7091)&gt;=6,HOUR(B7091)&lt;18),"Day Shift","Night Shift")</f>
        <v/>
      </c>
      <c r="F7091" s="11">
        <f>INT(B7091)</f>
        <v/>
      </c>
      <c r="G7091" s="11">
        <f>INT(C7091)</f>
        <v/>
      </c>
    </row>
    <row r="7092">
      <c r="A7092" s="7" t="inlineStr">
        <is>
          <t>LDW262;LDW265</t>
        </is>
      </c>
      <c r="B7092" s="8" t="n">
        <v>46134.9424537037</v>
      </c>
      <c r="C7092" s="8" t="n">
        <v>46135.2202662037</v>
      </c>
      <c r="D7092" s="9">
        <f>(C7092-B7092)*24</f>
        <v/>
      </c>
      <c r="E7092" s="10">
        <f>IF(AND(HOUR(B7092)&gt;=6,HOUR(B7092)&lt;18),"Day Shift","Night Shift")</f>
        <v/>
      </c>
      <c r="F7092" s="11">
        <f>INT(B7092)</f>
        <v/>
      </c>
      <c r="G7092" s="11">
        <f>INT(C7092)</f>
        <v/>
      </c>
    </row>
    <row r="7093">
      <c r="A7093" s="7" t="inlineStr">
        <is>
          <t>EDD175;EDD1932;EDD2134;EDD2541;EDD812;Sprint 1</t>
        </is>
      </c>
      <c r="B7093" s="8" t="n">
        <v>46134.97934027778</v>
      </c>
      <c r="C7093" s="8" t="n">
        <v>46135.07935185185</v>
      </c>
      <c r="D7093" s="9">
        <f>(C7093-B7093)*24</f>
        <v/>
      </c>
      <c r="E7093" s="10">
        <f>IF(AND(HOUR(B7093)&gt;=6,HOUR(B7093)&lt;18),"Day Shift","Night Shift")</f>
        <v/>
      </c>
      <c r="F7093" s="11">
        <f>INT(B7093)</f>
        <v/>
      </c>
      <c r="G7093" s="11">
        <f>INT(C7093)</f>
        <v/>
      </c>
    </row>
    <row r="7094">
      <c r="A7094" s="7" t="inlineStr">
        <is>
          <t>EXD73</t>
        </is>
      </c>
      <c r="B7094" s="8" t="n">
        <v>46134.9828587963</v>
      </c>
      <c r="C7094" s="8" t="n">
        <v>46135.25</v>
      </c>
      <c r="D7094" s="9">
        <f>(C7094-B7094)*24</f>
        <v/>
      </c>
      <c r="E7094" s="10">
        <f>IF(AND(HOUR(B7094)&gt;=6,HOUR(B7094)&lt;18),"Day Shift","Night Shift")</f>
        <v/>
      </c>
      <c r="F7094" s="11">
        <f>INT(B7094)</f>
        <v/>
      </c>
      <c r="G7094" s="11">
        <f>INT(C7094)</f>
        <v/>
      </c>
    </row>
    <row r="7095">
      <c r="A7095" s="2" t="inlineStr">
        <is>
          <t>EXD73</t>
        </is>
      </c>
      <c r="B7095" s="3" t="n">
        <v>46135.25</v>
      </c>
      <c r="C7095" s="3" t="n">
        <v>46135.75</v>
      </c>
      <c r="D7095" s="4">
        <f>(C7095-B7095)*24</f>
        <v/>
      </c>
      <c r="E7095" s="5">
        <f>IF(AND(HOUR(B7095)&gt;=6,HOUR(B7095)&lt;18),"Day Shift","Night Shift")</f>
        <v/>
      </c>
      <c r="F7095" s="6">
        <f>INT(B7095)</f>
        <v/>
      </c>
      <c r="G7095" s="6">
        <f>INT(C7095)</f>
        <v/>
      </c>
    </row>
    <row r="7096">
      <c r="A7096" s="7" t="inlineStr">
        <is>
          <t>EXD73</t>
        </is>
      </c>
      <c r="B7096" s="8" t="n">
        <v>46135.75</v>
      </c>
      <c r="C7096" s="8" t="n">
        <v>46136.25</v>
      </c>
      <c r="D7096" s="9">
        <f>(C7096-B7096)*24</f>
        <v/>
      </c>
      <c r="E7096" s="10">
        <f>IF(AND(HOUR(B7096)&gt;=6,HOUR(B7096)&lt;18),"Day Shift","Night Shift")</f>
        <v/>
      </c>
      <c r="F7096" s="11">
        <f>INT(B7096)</f>
        <v/>
      </c>
      <c r="G7096" s="11">
        <f>INT(C7096)</f>
        <v/>
      </c>
    </row>
    <row r="7097">
      <c r="A7097" s="2" t="inlineStr">
        <is>
          <t>EXD73</t>
        </is>
      </c>
      <c r="B7097" s="3" t="n">
        <v>46136.25</v>
      </c>
      <c r="C7097" s="3" t="n">
        <v>46136.40923611111</v>
      </c>
      <c r="D7097" s="4">
        <f>(C7097-B7097)*24</f>
        <v/>
      </c>
      <c r="E7097" s="5">
        <f>IF(AND(HOUR(B7097)&gt;=6,HOUR(B7097)&lt;18),"Day Shift","Night Shift")</f>
        <v/>
      </c>
      <c r="F7097" s="6">
        <f>INT(B7097)</f>
        <v/>
      </c>
      <c r="G7097" s="6">
        <f>INT(C7097)</f>
        <v/>
      </c>
    </row>
    <row r="7098">
      <c r="A7098" s="7" t="inlineStr">
        <is>
          <t>EXD101</t>
        </is>
      </c>
      <c r="B7098" s="8" t="n">
        <v>46135.04179398148</v>
      </c>
      <c r="C7098" s="8" t="n">
        <v>46135.25</v>
      </c>
      <c r="D7098" s="9">
        <f>(C7098-B7098)*24</f>
        <v/>
      </c>
      <c r="E7098" s="10">
        <f>IF(AND(HOUR(B7098)&gt;=6,HOUR(B7098)&lt;18),"Day Shift","Night Shift")</f>
        <v/>
      </c>
      <c r="F7098" s="11">
        <f>INT(B7098)</f>
        <v/>
      </c>
      <c r="G7098" s="11">
        <f>INT(C7098)</f>
        <v/>
      </c>
    </row>
    <row r="7099">
      <c r="A7099" s="2" t="inlineStr">
        <is>
          <t>EXD101</t>
        </is>
      </c>
      <c r="B7099" s="3" t="n">
        <v>46135.25</v>
      </c>
      <c r="C7099" s="3" t="n">
        <v>46135.75</v>
      </c>
      <c r="D7099" s="4">
        <f>(C7099-B7099)*24</f>
        <v/>
      </c>
      <c r="E7099" s="5">
        <f>IF(AND(HOUR(B7099)&gt;=6,HOUR(B7099)&lt;18),"Day Shift","Night Shift")</f>
        <v/>
      </c>
      <c r="F7099" s="6">
        <f>INT(B7099)</f>
        <v/>
      </c>
      <c r="G7099" s="6">
        <f>INT(C7099)</f>
        <v/>
      </c>
    </row>
    <row r="7100">
      <c r="A7100" s="7" t="inlineStr">
        <is>
          <t>EXD101</t>
        </is>
      </c>
      <c r="B7100" s="8" t="n">
        <v>46135.75</v>
      </c>
      <c r="C7100" s="8" t="n">
        <v>46136.25</v>
      </c>
      <c r="D7100" s="9">
        <f>(C7100-B7100)*24</f>
        <v/>
      </c>
      <c r="E7100" s="10">
        <f>IF(AND(HOUR(B7100)&gt;=6,HOUR(B7100)&lt;18),"Day Shift","Night Shift")</f>
        <v/>
      </c>
      <c r="F7100" s="11">
        <f>INT(B7100)</f>
        <v/>
      </c>
      <c r="G7100" s="11">
        <f>INT(C7100)</f>
        <v/>
      </c>
    </row>
    <row r="7101">
      <c r="A7101" s="2" t="inlineStr">
        <is>
          <t>EXD101</t>
        </is>
      </c>
      <c r="B7101" s="3" t="n">
        <v>46136.25</v>
      </c>
      <c r="C7101" s="3" t="n">
        <v>46136.75</v>
      </c>
      <c r="D7101" s="4">
        <f>(C7101-B7101)*24</f>
        <v/>
      </c>
      <c r="E7101" s="5">
        <f>IF(AND(HOUR(B7101)&gt;=6,HOUR(B7101)&lt;18),"Day Shift","Night Shift")</f>
        <v/>
      </c>
      <c r="F7101" s="6">
        <f>INT(B7101)</f>
        <v/>
      </c>
      <c r="G7101" s="6">
        <f>INT(C7101)</f>
        <v/>
      </c>
    </row>
    <row r="7102">
      <c r="A7102" s="7" t="inlineStr">
        <is>
          <t>EXD101</t>
        </is>
      </c>
      <c r="B7102" s="8" t="n">
        <v>46136.75</v>
      </c>
      <c r="C7102" s="8" t="n">
        <v>46137.25</v>
      </c>
      <c r="D7102" s="9">
        <f>(C7102-B7102)*24</f>
        <v/>
      </c>
      <c r="E7102" s="10">
        <f>IF(AND(HOUR(B7102)&gt;=6,HOUR(B7102)&lt;18),"Day Shift","Night Shift")</f>
        <v/>
      </c>
      <c r="F7102" s="11">
        <f>INT(B7102)</f>
        <v/>
      </c>
      <c r="G7102" s="11">
        <f>INT(C7102)</f>
        <v/>
      </c>
    </row>
    <row r="7103">
      <c r="A7103" s="2" t="inlineStr">
        <is>
          <t>EXD101</t>
        </is>
      </c>
      <c r="B7103" s="3" t="n">
        <v>46137.25</v>
      </c>
      <c r="C7103" s="3" t="n">
        <v>46137.51828703703</v>
      </c>
      <c r="D7103" s="4">
        <f>(C7103-B7103)*24</f>
        <v/>
      </c>
      <c r="E7103" s="5">
        <f>IF(AND(HOUR(B7103)&gt;=6,HOUR(B7103)&lt;18),"Day Shift","Night Shift")</f>
        <v/>
      </c>
      <c r="F7103" s="6">
        <f>INT(B7103)</f>
        <v/>
      </c>
      <c r="G7103" s="6">
        <f>INT(C7103)</f>
        <v/>
      </c>
    </row>
    <row r="7104">
      <c r="A7104" s="7" t="inlineStr">
        <is>
          <t>EDD175;EDD1932;EDD2134;EDD2541;EDD812;Sprint 1</t>
        </is>
      </c>
      <c r="B7104" s="8" t="n">
        <v>46135.07935185185</v>
      </c>
      <c r="C7104" s="8" t="n">
        <v>46135.12141203704</v>
      </c>
      <c r="D7104" s="9">
        <f>(C7104-B7104)*24</f>
        <v/>
      </c>
      <c r="E7104" s="10">
        <f>IF(AND(HOUR(B7104)&gt;=6,HOUR(B7104)&lt;18),"Day Shift","Night Shift")</f>
        <v/>
      </c>
      <c r="F7104" s="11">
        <f>INT(B7104)</f>
        <v/>
      </c>
      <c r="G7104" s="11">
        <f>INT(C7104)</f>
        <v/>
      </c>
    </row>
    <row r="7105">
      <c r="A7105" s="7" t="inlineStr">
        <is>
          <t>EXD56</t>
        </is>
      </c>
      <c r="B7105" s="8" t="n">
        <v>46135.09037037037</v>
      </c>
      <c r="C7105" s="8" t="n">
        <v>46135.25</v>
      </c>
      <c r="D7105" s="9">
        <f>(C7105-B7105)*24</f>
        <v/>
      </c>
      <c r="E7105" s="10">
        <f>IF(AND(HOUR(B7105)&gt;=6,HOUR(B7105)&lt;18),"Day Shift","Night Shift")</f>
        <v/>
      </c>
      <c r="F7105" s="11">
        <f>INT(B7105)</f>
        <v/>
      </c>
      <c r="G7105" s="11">
        <f>INT(C7105)</f>
        <v/>
      </c>
    </row>
    <row r="7106">
      <c r="A7106" s="2" t="inlineStr">
        <is>
          <t>EXD56</t>
        </is>
      </c>
      <c r="B7106" s="3" t="n">
        <v>46135.25</v>
      </c>
      <c r="C7106" s="3" t="n">
        <v>46135.75</v>
      </c>
      <c r="D7106" s="4">
        <f>(C7106-B7106)*24</f>
        <v/>
      </c>
      <c r="E7106" s="5">
        <f>IF(AND(HOUR(B7106)&gt;=6,HOUR(B7106)&lt;18),"Day Shift","Night Shift")</f>
        <v/>
      </c>
      <c r="F7106" s="6">
        <f>INT(B7106)</f>
        <v/>
      </c>
      <c r="G7106" s="6">
        <f>INT(C7106)</f>
        <v/>
      </c>
    </row>
    <row r="7107">
      <c r="A7107" s="7" t="inlineStr">
        <is>
          <t>EXD56</t>
        </is>
      </c>
      <c r="B7107" s="8" t="n">
        <v>46135.75</v>
      </c>
      <c r="C7107" s="8" t="n">
        <v>46136.25</v>
      </c>
      <c r="D7107" s="9">
        <f>(C7107-B7107)*24</f>
        <v/>
      </c>
      <c r="E7107" s="10">
        <f>IF(AND(HOUR(B7107)&gt;=6,HOUR(B7107)&lt;18),"Day Shift","Night Shift")</f>
        <v/>
      </c>
      <c r="F7107" s="11">
        <f>INT(B7107)</f>
        <v/>
      </c>
      <c r="G7107" s="11">
        <f>INT(C7107)</f>
        <v/>
      </c>
    </row>
    <row r="7108">
      <c r="A7108" s="2" t="inlineStr">
        <is>
          <t>EXD56</t>
        </is>
      </c>
      <c r="B7108" s="3" t="n">
        <v>46136.25</v>
      </c>
      <c r="C7108" s="3" t="n">
        <v>46136.75</v>
      </c>
      <c r="D7108" s="4">
        <f>(C7108-B7108)*24</f>
        <v/>
      </c>
      <c r="E7108" s="5">
        <f>IF(AND(HOUR(B7108)&gt;=6,HOUR(B7108)&lt;18),"Day Shift","Night Shift")</f>
        <v/>
      </c>
      <c r="F7108" s="6">
        <f>INT(B7108)</f>
        <v/>
      </c>
      <c r="G7108" s="6">
        <f>INT(C7108)</f>
        <v/>
      </c>
    </row>
    <row r="7109">
      <c r="A7109" s="7" t="inlineStr">
        <is>
          <t>EXD56</t>
        </is>
      </c>
      <c r="B7109" s="8" t="n">
        <v>46136.75</v>
      </c>
      <c r="C7109" s="8" t="n">
        <v>46137.25</v>
      </c>
      <c r="D7109" s="9">
        <f>(C7109-B7109)*24</f>
        <v/>
      </c>
      <c r="E7109" s="10">
        <f>IF(AND(HOUR(B7109)&gt;=6,HOUR(B7109)&lt;18),"Day Shift","Night Shift")</f>
        <v/>
      </c>
      <c r="F7109" s="11">
        <f>INT(B7109)</f>
        <v/>
      </c>
      <c r="G7109" s="11">
        <f>INT(C7109)</f>
        <v/>
      </c>
    </row>
    <row r="7110">
      <c r="A7110" s="2" t="inlineStr">
        <is>
          <t>EXD56</t>
        </is>
      </c>
      <c r="B7110" s="3" t="n">
        <v>46137.25</v>
      </c>
      <c r="C7110" s="3" t="n">
        <v>46137.505625</v>
      </c>
      <c r="D7110" s="4">
        <f>(C7110-B7110)*24</f>
        <v/>
      </c>
      <c r="E7110" s="5">
        <f>IF(AND(HOUR(B7110)&gt;=6,HOUR(B7110)&lt;18),"Day Shift","Night Shift")</f>
        <v/>
      </c>
      <c r="F7110" s="6">
        <f>INT(B7110)</f>
        <v/>
      </c>
      <c r="G7110" s="6">
        <f>INT(C7110)</f>
        <v/>
      </c>
    </row>
    <row r="7111">
      <c r="A7111" s="7" t="inlineStr">
        <is>
          <t>EXD61</t>
        </is>
      </c>
      <c r="B7111" s="8" t="n">
        <v>46135.10217592592</v>
      </c>
      <c r="C7111" s="8" t="n">
        <v>46135.25</v>
      </c>
      <c r="D7111" s="9">
        <f>(C7111-B7111)*24</f>
        <v/>
      </c>
      <c r="E7111" s="10">
        <f>IF(AND(HOUR(B7111)&gt;=6,HOUR(B7111)&lt;18),"Day Shift","Night Shift")</f>
        <v/>
      </c>
      <c r="F7111" s="11">
        <f>INT(B7111)</f>
        <v/>
      </c>
      <c r="G7111" s="11">
        <f>INT(C7111)</f>
        <v/>
      </c>
    </row>
    <row r="7112">
      <c r="A7112" s="2" t="inlineStr">
        <is>
          <t>EXD61</t>
        </is>
      </c>
      <c r="B7112" s="3" t="n">
        <v>46135.25</v>
      </c>
      <c r="C7112" s="3" t="n">
        <v>46135.5509837963</v>
      </c>
      <c r="D7112" s="4">
        <f>(C7112-B7112)*24</f>
        <v/>
      </c>
      <c r="E7112" s="5">
        <f>IF(AND(HOUR(B7112)&gt;=6,HOUR(B7112)&lt;18),"Day Shift","Night Shift")</f>
        <v/>
      </c>
      <c r="F7112" s="6">
        <f>INT(B7112)</f>
        <v/>
      </c>
      <c r="G7112" s="6">
        <f>INT(C7112)</f>
        <v/>
      </c>
    </row>
    <row r="7113">
      <c r="A7113" s="7" t="inlineStr">
        <is>
          <t>EDD175;EDD1932;EDD2134;EDD2541;EDD812;Sprint 1</t>
        </is>
      </c>
      <c r="B7113" s="8" t="n">
        <v>46135.12407407408</v>
      </c>
      <c r="C7113" s="8" t="n">
        <v>46135.17142361111</v>
      </c>
      <c r="D7113" s="9">
        <f>(C7113-B7113)*24</f>
        <v/>
      </c>
      <c r="E7113" s="10">
        <f>IF(AND(HOUR(B7113)&gt;=6,HOUR(B7113)&lt;18),"Day Shift","Night Shift")</f>
        <v/>
      </c>
      <c r="F7113" s="11">
        <f>INT(B7113)</f>
        <v/>
      </c>
      <c r="G7113" s="11">
        <f>INT(C7113)</f>
        <v/>
      </c>
    </row>
    <row r="7114">
      <c r="A7114" s="7" t="inlineStr">
        <is>
          <t>SHE36</t>
        </is>
      </c>
      <c r="B7114" s="8" t="n">
        <v>46135.12765046296</v>
      </c>
      <c r="C7114" s="8" t="n">
        <v>46135.25</v>
      </c>
      <c r="D7114" s="9">
        <f>(C7114-B7114)*24</f>
        <v/>
      </c>
      <c r="E7114" s="10">
        <f>IF(AND(HOUR(B7114)&gt;=6,HOUR(B7114)&lt;18),"Day Shift","Night Shift")</f>
        <v/>
      </c>
      <c r="F7114" s="11">
        <f>INT(B7114)</f>
        <v/>
      </c>
      <c r="G7114" s="11">
        <f>INT(C7114)</f>
        <v/>
      </c>
    </row>
    <row r="7115">
      <c r="A7115" s="2" t="inlineStr">
        <is>
          <t>SHE36</t>
        </is>
      </c>
      <c r="B7115" s="3" t="n">
        <v>46135.25</v>
      </c>
      <c r="C7115" s="3" t="n">
        <v>46135.64043981482</v>
      </c>
      <c r="D7115" s="4">
        <f>(C7115-B7115)*24</f>
        <v/>
      </c>
      <c r="E7115" s="5">
        <f>IF(AND(HOUR(B7115)&gt;=6,HOUR(B7115)&lt;18),"Day Shift","Night Shift")</f>
        <v/>
      </c>
      <c r="F7115" s="6">
        <f>INT(B7115)</f>
        <v/>
      </c>
      <c r="G7115" s="6">
        <f>INT(C7115)</f>
        <v/>
      </c>
    </row>
    <row r="7116">
      <c r="A7116" s="7" t="inlineStr">
        <is>
          <t>EDD175;EDD1932;EDD2134;EDD2541;EDD812;Sprint 1</t>
        </is>
      </c>
      <c r="B7116" s="8" t="n">
        <v>46135.17142361111</v>
      </c>
      <c r="C7116" s="8" t="n">
        <v>46135.25</v>
      </c>
      <c r="D7116" s="9">
        <f>(C7116-B7116)*24</f>
        <v/>
      </c>
      <c r="E7116" s="10">
        <f>IF(AND(HOUR(B7116)&gt;=6,HOUR(B7116)&lt;18),"Day Shift","Night Shift")</f>
        <v/>
      </c>
      <c r="F7116" s="11">
        <f>INT(B7116)</f>
        <v/>
      </c>
      <c r="G7116" s="11">
        <f>INT(C7116)</f>
        <v/>
      </c>
    </row>
    <row r="7117">
      <c r="A7117" s="2" t="inlineStr">
        <is>
          <t>EDD175;EDD1932;EDD2134;EDD2541;EDD812;Sprint 1</t>
        </is>
      </c>
      <c r="B7117" s="3" t="n">
        <v>46135.25</v>
      </c>
      <c r="C7117" s="3" t="n">
        <v>46135.26849537037</v>
      </c>
      <c r="D7117" s="4">
        <f>(C7117-B7117)*24</f>
        <v/>
      </c>
      <c r="E7117" s="5">
        <f>IF(AND(HOUR(B7117)&gt;=6,HOUR(B7117)&lt;18),"Day Shift","Night Shift")</f>
        <v/>
      </c>
      <c r="F7117" s="6">
        <f>INT(B7117)</f>
        <v/>
      </c>
      <c r="G7117" s="6">
        <f>INT(C7117)</f>
        <v/>
      </c>
    </row>
    <row r="7118">
      <c r="A7118" s="7" t="inlineStr">
        <is>
          <t>LDW262;LDW265</t>
        </is>
      </c>
      <c r="B7118" s="8" t="n">
        <v>46135.2202662037</v>
      </c>
      <c r="C7118" s="8" t="n">
        <v>46135.25</v>
      </c>
      <c r="D7118" s="9">
        <f>(C7118-B7118)*24</f>
        <v/>
      </c>
      <c r="E7118" s="10">
        <f>IF(AND(HOUR(B7118)&gt;=6,HOUR(B7118)&lt;18),"Day Shift","Night Shift")</f>
        <v/>
      </c>
      <c r="F7118" s="11">
        <f>INT(B7118)</f>
        <v/>
      </c>
      <c r="G7118" s="11">
        <f>INT(C7118)</f>
        <v/>
      </c>
    </row>
    <row r="7119">
      <c r="A7119" s="2" t="inlineStr">
        <is>
          <t>LDW262;LDW265</t>
        </is>
      </c>
      <c r="B7119" s="3" t="n">
        <v>46135.25</v>
      </c>
      <c r="C7119" s="3" t="n">
        <v>46135.75</v>
      </c>
      <c r="D7119" s="4">
        <f>(C7119-B7119)*24</f>
        <v/>
      </c>
      <c r="E7119" s="5">
        <f>IF(AND(HOUR(B7119)&gt;=6,HOUR(B7119)&lt;18),"Day Shift","Night Shift")</f>
        <v/>
      </c>
      <c r="F7119" s="6">
        <f>INT(B7119)</f>
        <v/>
      </c>
      <c r="G7119" s="6">
        <f>INT(C7119)</f>
        <v/>
      </c>
    </row>
    <row r="7120">
      <c r="A7120" s="7" t="inlineStr">
        <is>
          <t>LDW262;LDW265</t>
        </is>
      </c>
      <c r="B7120" s="8" t="n">
        <v>46135.75</v>
      </c>
      <c r="C7120" s="8" t="n">
        <v>46136.25</v>
      </c>
      <c r="D7120" s="9">
        <f>(C7120-B7120)*24</f>
        <v/>
      </c>
      <c r="E7120" s="10">
        <f>IF(AND(HOUR(B7120)&gt;=6,HOUR(B7120)&lt;18),"Day Shift","Night Shift")</f>
        <v/>
      </c>
      <c r="F7120" s="11">
        <f>INT(B7120)</f>
        <v/>
      </c>
      <c r="G7120" s="11">
        <f>INT(C7120)</f>
        <v/>
      </c>
    </row>
    <row r="7121">
      <c r="A7121" s="2" t="inlineStr">
        <is>
          <t>LDW262;LDW265</t>
        </is>
      </c>
      <c r="B7121" s="3" t="n">
        <v>46136.25</v>
      </c>
      <c r="C7121" s="3" t="n">
        <v>46136.37950231481</v>
      </c>
      <c r="D7121" s="4">
        <f>(C7121-B7121)*24</f>
        <v/>
      </c>
      <c r="E7121" s="5">
        <f>IF(AND(HOUR(B7121)&gt;=6,HOUR(B7121)&lt;18),"Day Shift","Night Shift")</f>
        <v/>
      </c>
      <c r="F7121" s="6">
        <f>INT(B7121)</f>
        <v/>
      </c>
      <c r="G7121" s="6">
        <f>INT(C7121)</f>
        <v/>
      </c>
    </row>
    <row r="7122">
      <c r="A7122" s="2" t="inlineStr">
        <is>
          <t>EDD175;EDD1932;EDD2134;EDD812;Sprint 1</t>
        </is>
      </c>
      <c r="B7122" s="3" t="n">
        <v>46135.26849537037</v>
      </c>
      <c r="C7122" s="3" t="n">
        <v>46135.3865162037</v>
      </c>
      <c r="D7122" s="4">
        <f>(C7122-B7122)*24</f>
        <v/>
      </c>
      <c r="E7122" s="5">
        <f>IF(AND(HOUR(B7122)&gt;=6,HOUR(B7122)&lt;18),"Day Shift","Night Shift")</f>
        <v/>
      </c>
      <c r="F7122" s="6">
        <f>INT(B7122)</f>
        <v/>
      </c>
      <c r="G7122" s="6">
        <f>INT(C7122)</f>
        <v/>
      </c>
    </row>
    <row r="7123">
      <c r="A7123" s="2" t="inlineStr">
        <is>
          <t>EXD98</t>
        </is>
      </c>
      <c r="B7123" s="3" t="n">
        <v>46135.31888888889</v>
      </c>
      <c r="C7123" s="3" t="n">
        <v>46135.75</v>
      </c>
      <c r="D7123" s="4">
        <f>(C7123-B7123)*24</f>
        <v/>
      </c>
      <c r="E7123" s="5">
        <f>IF(AND(HOUR(B7123)&gt;=6,HOUR(B7123)&lt;18),"Day Shift","Night Shift")</f>
        <v/>
      </c>
      <c r="F7123" s="6">
        <f>INT(B7123)</f>
        <v/>
      </c>
      <c r="G7123" s="6">
        <f>INT(C7123)</f>
        <v/>
      </c>
    </row>
    <row r="7124">
      <c r="A7124" s="7" t="inlineStr">
        <is>
          <t>EXD98</t>
        </is>
      </c>
      <c r="B7124" s="8" t="n">
        <v>46135.75</v>
      </c>
      <c r="C7124" s="8" t="n">
        <v>46136.05631944445</v>
      </c>
      <c r="D7124" s="9">
        <f>(C7124-B7124)*24</f>
        <v/>
      </c>
      <c r="E7124" s="10">
        <f>IF(AND(HOUR(B7124)&gt;=6,HOUR(B7124)&lt;18),"Day Shift","Night Shift")</f>
        <v/>
      </c>
      <c r="F7124" s="11">
        <f>INT(B7124)</f>
        <v/>
      </c>
      <c r="G7124" s="11">
        <f>INT(C7124)</f>
        <v/>
      </c>
    </row>
    <row r="7125">
      <c r="A7125" s="2" t="inlineStr">
        <is>
          <t>EDD175;EDD1932;EDD2134;EDD812;Sprint 1;EDD2541</t>
        </is>
      </c>
      <c r="B7125" s="3" t="n">
        <v>46135.3865162037</v>
      </c>
      <c r="C7125" s="3" t="n">
        <v>46135.75</v>
      </c>
      <c r="D7125" s="4">
        <f>(C7125-B7125)*24</f>
        <v/>
      </c>
      <c r="E7125" s="5">
        <f>IF(AND(HOUR(B7125)&gt;=6,HOUR(B7125)&lt;18),"Day Shift","Night Shift")</f>
        <v/>
      </c>
      <c r="F7125" s="6">
        <f>INT(B7125)</f>
        <v/>
      </c>
      <c r="G7125" s="6">
        <f>INT(C7125)</f>
        <v/>
      </c>
    </row>
    <row r="7126">
      <c r="A7126" s="7" t="inlineStr">
        <is>
          <t>EDD175;EDD1932;EDD2134;EDD812;Sprint 1;EDD2541</t>
        </is>
      </c>
      <c r="B7126" s="8" t="n">
        <v>46135.75</v>
      </c>
      <c r="C7126" s="8" t="n">
        <v>46136.25</v>
      </c>
      <c r="D7126" s="9">
        <f>(C7126-B7126)*24</f>
        <v/>
      </c>
      <c r="E7126" s="10">
        <f>IF(AND(HOUR(B7126)&gt;=6,HOUR(B7126)&lt;18),"Day Shift","Night Shift")</f>
        <v/>
      </c>
      <c r="F7126" s="11">
        <f>INT(B7126)</f>
        <v/>
      </c>
      <c r="G7126" s="11">
        <f>INT(C7126)</f>
        <v/>
      </c>
    </row>
    <row r="7127">
      <c r="A7127" s="2" t="inlineStr">
        <is>
          <t>EDD175;EDD1932;EDD2134;EDD812;Sprint 1;EDD2541</t>
        </is>
      </c>
      <c r="B7127" s="3" t="n">
        <v>46136.25</v>
      </c>
      <c r="C7127" s="3" t="n">
        <v>46136.75</v>
      </c>
      <c r="D7127" s="4">
        <f>(C7127-B7127)*24</f>
        <v/>
      </c>
      <c r="E7127" s="5">
        <f>IF(AND(HOUR(B7127)&gt;=6,HOUR(B7127)&lt;18),"Day Shift","Night Shift")</f>
        <v/>
      </c>
      <c r="F7127" s="6">
        <f>INT(B7127)</f>
        <v/>
      </c>
      <c r="G7127" s="6">
        <f>INT(C7127)</f>
        <v/>
      </c>
    </row>
    <row r="7128">
      <c r="A7128" s="7" t="inlineStr">
        <is>
          <t>EDD175;EDD1932;EDD2134;EDD812;Sprint 1;EDD2541</t>
        </is>
      </c>
      <c r="B7128" s="8" t="n">
        <v>46136.75</v>
      </c>
      <c r="C7128" s="8" t="n">
        <v>46137.25</v>
      </c>
      <c r="D7128" s="9">
        <f>(C7128-B7128)*24</f>
        <v/>
      </c>
      <c r="E7128" s="10">
        <f>IF(AND(HOUR(B7128)&gt;=6,HOUR(B7128)&lt;18),"Day Shift","Night Shift")</f>
        <v/>
      </c>
      <c r="F7128" s="11">
        <f>INT(B7128)</f>
        <v/>
      </c>
      <c r="G7128" s="11">
        <f>INT(C7128)</f>
        <v/>
      </c>
    </row>
    <row r="7129">
      <c r="A7129" s="2" t="inlineStr">
        <is>
          <t>EDD175;EDD1932;EDD2134;EDD812;Sprint 1;EDD2541</t>
        </is>
      </c>
      <c r="B7129" s="3" t="n">
        <v>46137.25</v>
      </c>
      <c r="C7129" s="3" t="n">
        <v>46137.75</v>
      </c>
      <c r="D7129" s="4">
        <f>(C7129-B7129)*24</f>
        <v/>
      </c>
      <c r="E7129" s="5">
        <f>IF(AND(HOUR(B7129)&gt;=6,HOUR(B7129)&lt;18),"Day Shift","Night Shift")</f>
        <v/>
      </c>
      <c r="F7129" s="6">
        <f>INT(B7129)</f>
        <v/>
      </c>
      <c r="G7129" s="6">
        <f>INT(C7129)</f>
        <v/>
      </c>
    </row>
    <row r="7130">
      <c r="A7130" s="7" t="inlineStr">
        <is>
          <t>EDD175;EDD1932;EDD2134;EDD812;Sprint 1;EDD2541</t>
        </is>
      </c>
      <c r="B7130" s="8" t="n">
        <v>46137.75</v>
      </c>
      <c r="C7130" s="8" t="n">
        <v>46138.25</v>
      </c>
      <c r="D7130" s="9">
        <f>(C7130-B7130)*24</f>
        <v/>
      </c>
      <c r="E7130" s="10">
        <f>IF(AND(HOUR(B7130)&gt;=6,HOUR(B7130)&lt;18),"Day Shift","Night Shift")</f>
        <v/>
      </c>
      <c r="F7130" s="11">
        <f>INT(B7130)</f>
        <v/>
      </c>
      <c r="G7130" s="11">
        <f>INT(C7130)</f>
        <v/>
      </c>
    </row>
    <row r="7131">
      <c r="A7131" s="2" t="inlineStr">
        <is>
          <t>EDD175;EDD1932;EDD2134;EDD812;Sprint 1;EDD2541</t>
        </is>
      </c>
      <c r="B7131" s="3" t="n">
        <v>46138.25</v>
      </c>
      <c r="C7131" s="3" t="n">
        <v>46138.75</v>
      </c>
      <c r="D7131" s="4">
        <f>(C7131-B7131)*24</f>
        <v/>
      </c>
      <c r="E7131" s="5">
        <f>IF(AND(HOUR(B7131)&gt;=6,HOUR(B7131)&lt;18),"Day Shift","Night Shift")</f>
        <v/>
      </c>
      <c r="F7131" s="6">
        <f>INT(B7131)</f>
        <v/>
      </c>
      <c r="G7131" s="6">
        <f>INT(C7131)</f>
        <v/>
      </c>
    </row>
    <row r="7132">
      <c r="A7132" s="7" t="inlineStr">
        <is>
          <t>EDD175;EDD1932;EDD2134;EDD812;Sprint 1;EDD2541</t>
        </is>
      </c>
      <c r="B7132" s="8" t="n">
        <v>46138.75</v>
      </c>
      <c r="C7132" s="8" t="n">
        <v>46139.25</v>
      </c>
      <c r="D7132" s="9">
        <f>(C7132-B7132)*24</f>
        <v/>
      </c>
      <c r="E7132" s="10">
        <f>IF(AND(HOUR(B7132)&gt;=6,HOUR(B7132)&lt;18),"Day Shift","Night Shift")</f>
        <v/>
      </c>
      <c r="F7132" s="11">
        <f>INT(B7132)</f>
        <v/>
      </c>
      <c r="G7132" s="11">
        <f>INT(C7132)</f>
        <v/>
      </c>
    </row>
    <row r="7133">
      <c r="A7133" s="2" t="inlineStr">
        <is>
          <t>EDD175;EDD1932;EDD2134;EDD812;Sprint 1;EDD2541</t>
        </is>
      </c>
      <c r="B7133" s="3" t="n">
        <v>46139.25</v>
      </c>
      <c r="C7133" s="3" t="n">
        <v>46139.75</v>
      </c>
      <c r="D7133" s="4">
        <f>(C7133-B7133)*24</f>
        <v/>
      </c>
      <c r="E7133" s="5">
        <f>IF(AND(HOUR(B7133)&gt;=6,HOUR(B7133)&lt;18),"Day Shift","Night Shift")</f>
        <v/>
      </c>
      <c r="F7133" s="6">
        <f>INT(B7133)</f>
        <v/>
      </c>
      <c r="G7133" s="6">
        <f>INT(C7133)</f>
        <v/>
      </c>
    </row>
    <row r="7134">
      <c r="A7134" s="7" t="inlineStr">
        <is>
          <t>EDD175;EDD1932;EDD2134;EDD812;Sprint 1;EDD2541</t>
        </is>
      </c>
      <c r="B7134" s="8" t="n">
        <v>46139.75</v>
      </c>
      <c r="C7134" s="8" t="n">
        <v>46140.25</v>
      </c>
      <c r="D7134" s="9">
        <f>(C7134-B7134)*24</f>
        <v/>
      </c>
      <c r="E7134" s="10">
        <f>IF(AND(HOUR(B7134)&gt;=6,HOUR(B7134)&lt;18),"Day Shift","Night Shift")</f>
        <v/>
      </c>
      <c r="F7134" s="11">
        <f>INT(B7134)</f>
        <v/>
      </c>
      <c r="G7134" s="11">
        <f>INT(C7134)</f>
        <v/>
      </c>
    </row>
    <row r="7135">
      <c r="A7135" s="2" t="inlineStr">
        <is>
          <t>EDD175;EDD1932;EDD2134;EDD812;Sprint 1;EDD2541</t>
        </is>
      </c>
      <c r="B7135" s="3" t="n">
        <v>46140.25</v>
      </c>
      <c r="C7135" s="3" t="n">
        <v>46140.75</v>
      </c>
      <c r="D7135" s="4">
        <f>(C7135-B7135)*24</f>
        <v/>
      </c>
      <c r="E7135" s="5">
        <f>IF(AND(HOUR(B7135)&gt;=6,HOUR(B7135)&lt;18),"Day Shift","Night Shift")</f>
        <v/>
      </c>
      <c r="F7135" s="6">
        <f>INT(B7135)</f>
        <v/>
      </c>
      <c r="G7135" s="6">
        <f>INT(C7135)</f>
        <v/>
      </c>
    </row>
    <row r="7136">
      <c r="A7136" s="7" t="inlineStr">
        <is>
          <t>EDD175;EDD1932;EDD2134;EDD812;Sprint 1;EDD2541</t>
        </is>
      </c>
      <c r="B7136" s="8" t="n">
        <v>46140.75</v>
      </c>
      <c r="C7136" s="8" t="n">
        <v>46141.17399305556</v>
      </c>
      <c r="D7136" s="9">
        <f>(C7136-B7136)*24</f>
        <v/>
      </c>
      <c r="E7136" s="10">
        <f>IF(AND(HOUR(B7136)&gt;=6,HOUR(B7136)&lt;18),"Day Shift","Night Shift")</f>
        <v/>
      </c>
      <c r="F7136" s="11">
        <f>INT(B7136)</f>
        <v/>
      </c>
      <c r="G7136" s="11">
        <f>INT(C7136)</f>
        <v/>
      </c>
    </row>
    <row r="7137">
      <c r="A7137" s="2" t="inlineStr">
        <is>
          <t>Blast Crew DS</t>
        </is>
      </c>
      <c r="B7137" s="3" t="n">
        <v>46135.38686342593</v>
      </c>
      <c r="C7137" s="3" t="n">
        <v>46135.75</v>
      </c>
      <c r="D7137" s="4">
        <f>(C7137-B7137)*24</f>
        <v/>
      </c>
      <c r="E7137" s="5">
        <f>IF(AND(HOUR(B7137)&gt;=6,HOUR(B7137)&lt;18),"Day Shift","Night Shift")</f>
        <v/>
      </c>
      <c r="F7137" s="6">
        <f>INT(B7137)</f>
        <v/>
      </c>
      <c r="G7137" s="6">
        <f>INT(C7137)</f>
        <v/>
      </c>
    </row>
    <row r="7138">
      <c r="A7138" s="7" t="inlineStr">
        <is>
          <t>Blast Crew DS</t>
        </is>
      </c>
      <c r="B7138" s="8" t="n">
        <v>46135.75</v>
      </c>
      <c r="C7138" s="8" t="n">
        <v>46136.25</v>
      </c>
      <c r="D7138" s="9">
        <f>(C7138-B7138)*24</f>
        <v/>
      </c>
      <c r="E7138" s="10">
        <f>IF(AND(HOUR(B7138)&gt;=6,HOUR(B7138)&lt;18),"Day Shift","Night Shift")</f>
        <v/>
      </c>
      <c r="F7138" s="11">
        <f>INT(B7138)</f>
        <v/>
      </c>
      <c r="G7138" s="11">
        <f>INT(C7138)</f>
        <v/>
      </c>
    </row>
    <row r="7139">
      <c r="A7139" s="2" t="inlineStr">
        <is>
          <t>Blast Crew DS</t>
        </is>
      </c>
      <c r="B7139" s="3" t="n">
        <v>46136.25</v>
      </c>
      <c r="C7139" s="3" t="n">
        <v>46136.39284722223</v>
      </c>
      <c r="D7139" s="4">
        <f>(C7139-B7139)*24</f>
        <v/>
      </c>
      <c r="E7139" s="5">
        <f>IF(AND(HOUR(B7139)&gt;=6,HOUR(B7139)&lt;18),"Day Shift","Night Shift")</f>
        <v/>
      </c>
      <c r="F7139" s="6">
        <f>INT(B7139)</f>
        <v/>
      </c>
      <c r="G7139" s="6">
        <f>INT(C7139)</f>
        <v/>
      </c>
    </row>
    <row r="7140">
      <c r="A7140" s="2" t="inlineStr">
        <is>
          <t>EXD407;EXD409</t>
        </is>
      </c>
      <c r="B7140" s="3" t="n">
        <v>46135.38991898148</v>
      </c>
      <c r="C7140" s="3" t="n">
        <v>46135.75</v>
      </c>
      <c r="D7140" s="4">
        <f>(C7140-B7140)*24</f>
        <v/>
      </c>
      <c r="E7140" s="5">
        <f>IF(AND(HOUR(B7140)&gt;=6,HOUR(B7140)&lt;18),"Day Shift","Night Shift")</f>
        <v/>
      </c>
      <c r="F7140" s="6">
        <f>INT(B7140)</f>
        <v/>
      </c>
      <c r="G7140" s="6">
        <f>INT(C7140)</f>
        <v/>
      </c>
    </row>
    <row r="7141">
      <c r="A7141" s="7" t="inlineStr">
        <is>
          <t>EXD407;EXD409</t>
        </is>
      </c>
      <c r="B7141" s="8" t="n">
        <v>46135.75</v>
      </c>
      <c r="C7141" s="8" t="n">
        <v>46136.25</v>
      </c>
      <c r="D7141" s="9">
        <f>(C7141-B7141)*24</f>
        <v/>
      </c>
      <c r="E7141" s="10">
        <f>IF(AND(HOUR(B7141)&gt;=6,HOUR(B7141)&lt;18),"Day Shift","Night Shift")</f>
        <v/>
      </c>
      <c r="F7141" s="11">
        <f>INT(B7141)</f>
        <v/>
      </c>
      <c r="G7141" s="11">
        <f>INT(C7141)</f>
        <v/>
      </c>
    </row>
    <row r="7142">
      <c r="A7142" s="2" t="inlineStr">
        <is>
          <t>EXD407;EXD409</t>
        </is>
      </c>
      <c r="B7142" s="3" t="n">
        <v>46136.25</v>
      </c>
      <c r="C7142" s="3" t="n">
        <v>46136.75</v>
      </c>
      <c r="D7142" s="4">
        <f>(C7142-B7142)*24</f>
        <v/>
      </c>
      <c r="E7142" s="5">
        <f>IF(AND(HOUR(B7142)&gt;=6,HOUR(B7142)&lt;18),"Day Shift","Night Shift")</f>
        <v/>
      </c>
      <c r="F7142" s="6">
        <f>INT(B7142)</f>
        <v/>
      </c>
      <c r="G7142" s="6">
        <f>INT(C7142)</f>
        <v/>
      </c>
    </row>
    <row r="7143">
      <c r="A7143" s="7" t="inlineStr">
        <is>
          <t>EXD407;EXD409</t>
        </is>
      </c>
      <c r="B7143" s="8" t="n">
        <v>46136.75</v>
      </c>
      <c r="C7143" s="8" t="n">
        <v>46137.25</v>
      </c>
      <c r="D7143" s="9">
        <f>(C7143-B7143)*24</f>
        <v/>
      </c>
      <c r="E7143" s="10">
        <f>IF(AND(HOUR(B7143)&gt;=6,HOUR(B7143)&lt;18),"Day Shift","Night Shift")</f>
        <v/>
      </c>
      <c r="F7143" s="11">
        <f>INT(B7143)</f>
        <v/>
      </c>
      <c r="G7143" s="11">
        <f>INT(C7143)</f>
        <v/>
      </c>
    </row>
    <row r="7144">
      <c r="A7144" s="2" t="inlineStr">
        <is>
          <t>EXD407;EXD409</t>
        </is>
      </c>
      <c r="B7144" s="3" t="n">
        <v>46137.25</v>
      </c>
      <c r="C7144" s="3" t="n">
        <v>46137.75</v>
      </c>
      <c r="D7144" s="4">
        <f>(C7144-B7144)*24</f>
        <v/>
      </c>
      <c r="E7144" s="5">
        <f>IF(AND(HOUR(B7144)&gt;=6,HOUR(B7144)&lt;18),"Day Shift","Night Shift")</f>
        <v/>
      </c>
      <c r="F7144" s="6">
        <f>INT(B7144)</f>
        <v/>
      </c>
      <c r="G7144" s="6">
        <f>INT(C7144)</f>
        <v/>
      </c>
    </row>
    <row r="7145">
      <c r="A7145" s="7" t="inlineStr">
        <is>
          <t>EXD407;EXD409</t>
        </is>
      </c>
      <c r="B7145" s="8" t="n">
        <v>46137.75</v>
      </c>
      <c r="C7145" s="8" t="n">
        <v>46138.25</v>
      </c>
      <c r="D7145" s="9">
        <f>(C7145-B7145)*24</f>
        <v/>
      </c>
      <c r="E7145" s="10">
        <f>IF(AND(HOUR(B7145)&gt;=6,HOUR(B7145)&lt;18),"Day Shift","Night Shift")</f>
        <v/>
      </c>
      <c r="F7145" s="11">
        <f>INT(B7145)</f>
        <v/>
      </c>
      <c r="G7145" s="11">
        <f>INT(C7145)</f>
        <v/>
      </c>
    </row>
    <row r="7146">
      <c r="A7146" s="2" t="inlineStr">
        <is>
          <t>EXD407;EXD409</t>
        </is>
      </c>
      <c r="B7146" s="3" t="n">
        <v>46138.25</v>
      </c>
      <c r="C7146" s="3" t="n">
        <v>46138.75</v>
      </c>
      <c r="D7146" s="4">
        <f>(C7146-B7146)*24</f>
        <v/>
      </c>
      <c r="E7146" s="5">
        <f>IF(AND(HOUR(B7146)&gt;=6,HOUR(B7146)&lt;18),"Day Shift","Night Shift")</f>
        <v/>
      </c>
      <c r="F7146" s="6">
        <f>INT(B7146)</f>
        <v/>
      </c>
      <c r="G7146" s="6">
        <f>INT(C7146)</f>
        <v/>
      </c>
    </row>
    <row r="7147">
      <c r="A7147" s="7" t="inlineStr">
        <is>
          <t>EXD407;EXD409</t>
        </is>
      </c>
      <c r="B7147" s="8" t="n">
        <v>46138.75</v>
      </c>
      <c r="C7147" s="8" t="n">
        <v>46139.25</v>
      </c>
      <c r="D7147" s="9">
        <f>(C7147-B7147)*24</f>
        <v/>
      </c>
      <c r="E7147" s="10">
        <f>IF(AND(HOUR(B7147)&gt;=6,HOUR(B7147)&lt;18),"Day Shift","Night Shift")</f>
        <v/>
      </c>
      <c r="F7147" s="11">
        <f>INT(B7147)</f>
        <v/>
      </c>
      <c r="G7147" s="11">
        <f>INT(C7147)</f>
        <v/>
      </c>
    </row>
    <row r="7148">
      <c r="A7148" s="2" t="inlineStr">
        <is>
          <t>EXD407;EXD409</t>
        </is>
      </c>
      <c r="B7148" s="3" t="n">
        <v>46139.25</v>
      </c>
      <c r="C7148" s="3" t="n">
        <v>46139.75</v>
      </c>
      <c r="D7148" s="4">
        <f>(C7148-B7148)*24</f>
        <v/>
      </c>
      <c r="E7148" s="5">
        <f>IF(AND(HOUR(B7148)&gt;=6,HOUR(B7148)&lt;18),"Day Shift","Night Shift")</f>
        <v/>
      </c>
      <c r="F7148" s="6">
        <f>INT(B7148)</f>
        <v/>
      </c>
      <c r="G7148" s="6">
        <f>INT(C7148)</f>
        <v/>
      </c>
    </row>
    <row r="7149">
      <c r="A7149" s="7" t="inlineStr">
        <is>
          <t>EXD407;EXD409</t>
        </is>
      </c>
      <c r="B7149" s="8" t="n">
        <v>46139.75</v>
      </c>
      <c r="C7149" s="8" t="n">
        <v>46140.25</v>
      </c>
      <c r="D7149" s="9">
        <f>(C7149-B7149)*24</f>
        <v/>
      </c>
      <c r="E7149" s="10">
        <f>IF(AND(HOUR(B7149)&gt;=6,HOUR(B7149)&lt;18),"Day Shift","Night Shift")</f>
        <v/>
      </c>
      <c r="F7149" s="11">
        <f>INT(B7149)</f>
        <v/>
      </c>
      <c r="G7149" s="11">
        <f>INT(C7149)</f>
        <v/>
      </c>
    </row>
    <row r="7150">
      <c r="A7150" s="2" t="inlineStr">
        <is>
          <t>EXD407;EXD409</t>
        </is>
      </c>
      <c r="B7150" s="3" t="n">
        <v>46140.25</v>
      </c>
      <c r="C7150" s="3" t="n">
        <v>46140.75</v>
      </c>
      <c r="D7150" s="4">
        <f>(C7150-B7150)*24</f>
        <v/>
      </c>
      <c r="E7150" s="5">
        <f>IF(AND(HOUR(B7150)&gt;=6,HOUR(B7150)&lt;18),"Day Shift","Night Shift")</f>
        <v/>
      </c>
      <c r="F7150" s="6">
        <f>INT(B7150)</f>
        <v/>
      </c>
      <c r="G7150" s="6">
        <f>INT(C7150)</f>
        <v/>
      </c>
    </row>
    <row r="7151">
      <c r="A7151" s="7" t="inlineStr">
        <is>
          <t>EXD407;EXD409</t>
        </is>
      </c>
      <c r="B7151" s="8" t="n">
        <v>46140.75</v>
      </c>
      <c r="C7151" s="8" t="n">
        <v>46141.25</v>
      </c>
      <c r="D7151" s="9">
        <f>(C7151-B7151)*24</f>
        <v/>
      </c>
      <c r="E7151" s="10">
        <f>IF(AND(HOUR(B7151)&gt;=6,HOUR(B7151)&lt;18),"Day Shift","Night Shift")</f>
        <v/>
      </c>
      <c r="F7151" s="11">
        <f>INT(B7151)</f>
        <v/>
      </c>
      <c r="G7151" s="11">
        <f>INT(C7151)</f>
        <v/>
      </c>
    </row>
    <row r="7152">
      <c r="A7152" s="2" t="inlineStr">
        <is>
          <t>EXD407;EXD409</t>
        </is>
      </c>
      <c r="B7152" s="3" t="n">
        <v>46141.25</v>
      </c>
      <c r="C7152" s="3" t="n">
        <v>46141.75</v>
      </c>
      <c r="D7152" s="4">
        <f>(C7152-B7152)*24</f>
        <v/>
      </c>
      <c r="E7152" s="5">
        <f>IF(AND(HOUR(B7152)&gt;=6,HOUR(B7152)&lt;18),"Day Shift","Night Shift")</f>
        <v/>
      </c>
      <c r="F7152" s="6">
        <f>INT(B7152)</f>
        <v/>
      </c>
      <c r="G7152" s="6">
        <f>INT(C7152)</f>
        <v/>
      </c>
    </row>
    <row r="7153">
      <c r="A7153" s="7" t="inlineStr">
        <is>
          <t>EXD407;EXD409</t>
        </is>
      </c>
      <c r="B7153" s="8" t="n">
        <v>46141.75</v>
      </c>
      <c r="C7153" s="8" t="n">
        <v>46142.25</v>
      </c>
      <c r="D7153" s="9">
        <f>(C7153-B7153)*24</f>
        <v/>
      </c>
      <c r="E7153" s="10">
        <f>IF(AND(HOUR(B7153)&gt;=6,HOUR(B7153)&lt;18),"Day Shift","Night Shift")</f>
        <v/>
      </c>
      <c r="F7153" s="11">
        <f>INT(B7153)</f>
        <v/>
      </c>
      <c r="G7153" s="11">
        <f>INT(C7153)</f>
        <v/>
      </c>
    </row>
    <row r="7154">
      <c r="A7154" s="2" t="inlineStr">
        <is>
          <t>EXD407;EXD409</t>
        </is>
      </c>
      <c r="B7154" s="3" t="n">
        <v>46142.25</v>
      </c>
      <c r="C7154" s="3" t="n">
        <v>46142.75</v>
      </c>
      <c r="D7154" s="4">
        <f>(C7154-B7154)*24</f>
        <v/>
      </c>
      <c r="E7154" s="5">
        <f>IF(AND(HOUR(B7154)&gt;=6,HOUR(B7154)&lt;18),"Day Shift","Night Shift")</f>
        <v/>
      </c>
      <c r="F7154" s="6">
        <f>INT(B7154)</f>
        <v/>
      </c>
      <c r="G7154" s="6">
        <f>INT(C7154)</f>
        <v/>
      </c>
    </row>
    <row r="7155">
      <c r="A7155" s="7" t="inlineStr">
        <is>
          <t>EXD407;EXD409</t>
        </is>
      </c>
      <c r="B7155" s="8" t="n">
        <v>46142.75</v>
      </c>
      <c r="C7155" s="8" t="n">
        <v>46143.25</v>
      </c>
      <c r="D7155" s="9">
        <f>(C7155-B7155)*24</f>
        <v/>
      </c>
      <c r="E7155" s="10">
        <f>IF(AND(HOUR(B7155)&gt;=6,HOUR(B7155)&lt;18),"Day Shift","Night Shift")</f>
        <v/>
      </c>
      <c r="F7155" s="11">
        <f>INT(B7155)</f>
        <v/>
      </c>
      <c r="G7155" s="11">
        <f>INT(C7155)</f>
        <v/>
      </c>
    </row>
    <row r="7156">
      <c r="A7156" s="2" t="inlineStr">
        <is>
          <t>EXD407;EXD409</t>
        </is>
      </c>
      <c r="B7156" s="3" t="n">
        <v>46143.25</v>
      </c>
      <c r="C7156" s="3" t="n">
        <v>46143.75</v>
      </c>
      <c r="D7156" s="4">
        <f>(C7156-B7156)*24</f>
        <v/>
      </c>
      <c r="E7156" s="5">
        <f>IF(AND(HOUR(B7156)&gt;=6,HOUR(B7156)&lt;18),"Day Shift","Night Shift")</f>
        <v/>
      </c>
      <c r="F7156" s="6">
        <f>INT(B7156)</f>
        <v/>
      </c>
      <c r="G7156" s="6">
        <f>INT(C7156)</f>
        <v/>
      </c>
    </row>
    <row r="7157">
      <c r="A7157" s="7" t="inlineStr">
        <is>
          <t>EXD407;EXD409</t>
        </is>
      </c>
      <c r="B7157" s="8" t="n">
        <v>46143.75</v>
      </c>
      <c r="C7157" s="8" t="n">
        <v>46144.25</v>
      </c>
      <c r="D7157" s="9">
        <f>(C7157-B7157)*24</f>
        <v/>
      </c>
      <c r="E7157" s="10">
        <f>IF(AND(HOUR(B7157)&gt;=6,HOUR(B7157)&lt;18),"Day Shift","Night Shift")</f>
        <v/>
      </c>
      <c r="F7157" s="11">
        <f>INT(B7157)</f>
        <v/>
      </c>
      <c r="G7157" s="11">
        <f>INT(C7157)</f>
        <v/>
      </c>
    </row>
    <row r="7158">
      <c r="A7158" s="2" t="inlineStr">
        <is>
          <t>EXD407;EXD409</t>
        </is>
      </c>
      <c r="B7158" s="3" t="n">
        <v>46144.25</v>
      </c>
      <c r="C7158" s="3" t="n">
        <v>46144.75</v>
      </c>
      <c r="D7158" s="4">
        <f>(C7158-B7158)*24</f>
        <v/>
      </c>
      <c r="E7158" s="5">
        <f>IF(AND(HOUR(B7158)&gt;=6,HOUR(B7158)&lt;18),"Day Shift","Night Shift")</f>
        <v/>
      </c>
      <c r="F7158" s="6">
        <f>INT(B7158)</f>
        <v/>
      </c>
      <c r="G7158" s="6">
        <f>INT(C7158)</f>
        <v/>
      </c>
    </row>
    <row r="7159">
      <c r="A7159" s="7" t="inlineStr">
        <is>
          <t>EXD407;EXD409</t>
        </is>
      </c>
      <c r="B7159" s="8" t="n">
        <v>46144.75</v>
      </c>
      <c r="C7159" s="8" t="n">
        <v>46145.25</v>
      </c>
      <c r="D7159" s="9">
        <f>(C7159-B7159)*24</f>
        <v/>
      </c>
      <c r="E7159" s="10">
        <f>IF(AND(HOUR(B7159)&gt;=6,HOUR(B7159)&lt;18),"Day Shift","Night Shift")</f>
        <v/>
      </c>
      <c r="F7159" s="11">
        <f>INT(B7159)</f>
        <v/>
      </c>
      <c r="G7159" s="11">
        <f>INT(C7159)</f>
        <v/>
      </c>
    </row>
    <row r="7160">
      <c r="A7160" s="2" t="inlineStr">
        <is>
          <t>EXD407;EXD409</t>
        </is>
      </c>
      <c r="B7160" s="3" t="n">
        <v>46145.25</v>
      </c>
      <c r="C7160" s="3" t="n">
        <v>46145.75</v>
      </c>
      <c r="D7160" s="4">
        <f>(C7160-B7160)*24</f>
        <v/>
      </c>
      <c r="E7160" s="5">
        <f>IF(AND(HOUR(B7160)&gt;=6,HOUR(B7160)&lt;18),"Day Shift","Night Shift")</f>
        <v/>
      </c>
      <c r="F7160" s="6">
        <f>INT(B7160)</f>
        <v/>
      </c>
      <c r="G7160" s="6">
        <f>INT(C7160)</f>
        <v/>
      </c>
    </row>
    <row r="7161">
      <c r="A7161" s="7" t="inlineStr">
        <is>
          <t>EXD407;EXD409</t>
        </is>
      </c>
      <c r="B7161" s="8" t="n">
        <v>46145.75</v>
      </c>
      <c r="C7161" s="8" t="n">
        <v>46146.25</v>
      </c>
      <c r="D7161" s="9">
        <f>(C7161-B7161)*24</f>
        <v/>
      </c>
      <c r="E7161" s="10">
        <f>IF(AND(HOUR(B7161)&gt;=6,HOUR(B7161)&lt;18),"Day Shift","Night Shift")</f>
        <v/>
      </c>
      <c r="F7161" s="11">
        <f>INT(B7161)</f>
        <v/>
      </c>
      <c r="G7161" s="11">
        <f>INT(C7161)</f>
        <v/>
      </c>
    </row>
    <row r="7162">
      <c r="A7162" s="2" t="inlineStr">
        <is>
          <t>EXD407;EXD409</t>
        </is>
      </c>
      <c r="B7162" s="3" t="n">
        <v>46146.25</v>
      </c>
      <c r="C7162" s="3" t="n">
        <v>46146.75</v>
      </c>
      <c r="D7162" s="4">
        <f>(C7162-B7162)*24</f>
        <v/>
      </c>
      <c r="E7162" s="5">
        <f>IF(AND(HOUR(B7162)&gt;=6,HOUR(B7162)&lt;18),"Day Shift","Night Shift")</f>
        <v/>
      </c>
      <c r="F7162" s="6">
        <f>INT(B7162)</f>
        <v/>
      </c>
      <c r="G7162" s="6">
        <f>INT(C7162)</f>
        <v/>
      </c>
    </row>
    <row r="7163">
      <c r="A7163" s="7" t="inlineStr">
        <is>
          <t>EXD407;EXD409</t>
        </is>
      </c>
      <c r="B7163" s="8" t="n">
        <v>46146.75</v>
      </c>
      <c r="C7163" s="8" t="n">
        <v>46147.25</v>
      </c>
      <c r="D7163" s="9">
        <f>(C7163-B7163)*24</f>
        <v/>
      </c>
      <c r="E7163" s="10">
        <f>IF(AND(HOUR(B7163)&gt;=6,HOUR(B7163)&lt;18),"Day Shift","Night Shift")</f>
        <v/>
      </c>
      <c r="F7163" s="11">
        <f>INT(B7163)</f>
        <v/>
      </c>
      <c r="G7163" s="11">
        <f>INT(C7163)</f>
        <v/>
      </c>
    </row>
    <row r="7164">
      <c r="A7164" s="2" t="inlineStr">
        <is>
          <t>EXD407;EXD409</t>
        </is>
      </c>
      <c r="B7164" s="3" t="n">
        <v>46147.25</v>
      </c>
      <c r="C7164" s="3" t="n">
        <v>46147.75</v>
      </c>
      <c r="D7164" s="4">
        <f>(C7164-B7164)*24</f>
        <v/>
      </c>
      <c r="E7164" s="5">
        <f>IF(AND(HOUR(B7164)&gt;=6,HOUR(B7164)&lt;18),"Day Shift","Night Shift")</f>
        <v/>
      </c>
      <c r="F7164" s="6">
        <f>INT(B7164)</f>
        <v/>
      </c>
      <c r="G7164" s="6">
        <f>INT(C7164)</f>
        <v/>
      </c>
    </row>
    <row r="7165">
      <c r="A7165" s="7" t="inlineStr">
        <is>
          <t>EXD407;EXD409</t>
        </is>
      </c>
      <c r="B7165" s="8" t="n">
        <v>46147.75</v>
      </c>
      <c r="C7165" s="8" t="n">
        <v>46148.25</v>
      </c>
      <c r="D7165" s="9">
        <f>(C7165-B7165)*24</f>
        <v/>
      </c>
      <c r="E7165" s="10">
        <f>IF(AND(HOUR(B7165)&gt;=6,HOUR(B7165)&lt;18),"Day Shift","Night Shift")</f>
        <v/>
      </c>
      <c r="F7165" s="11">
        <f>INT(B7165)</f>
        <v/>
      </c>
      <c r="G7165" s="11">
        <f>INT(C7165)</f>
        <v/>
      </c>
    </row>
    <row r="7166">
      <c r="A7166" s="2" t="inlineStr">
        <is>
          <t>EXD407;EXD409</t>
        </is>
      </c>
      <c r="B7166" s="3" t="n">
        <v>46148.25</v>
      </c>
      <c r="C7166" s="3" t="n">
        <v>46148.75</v>
      </c>
      <c r="D7166" s="4">
        <f>(C7166-B7166)*24</f>
        <v/>
      </c>
      <c r="E7166" s="5">
        <f>IF(AND(HOUR(B7166)&gt;=6,HOUR(B7166)&lt;18),"Day Shift","Night Shift")</f>
        <v/>
      </c>
      <c r="F7166" s="6">
        <f>INT(B7166)</f>
        <v/>
      </c>
      <c r="G7166" s="6">
        <f>INT(C7166)</f>
        <v/>
      </c>
    </row>
    <row r="7167">
      <c r="A7167" s="7" t="inlineStr">
        <is>
          <t>EXD407;EXD409</t>
        </is>
      </c>
      <c r="B7167" s="8" t="n">
        <v>46148.75</v>
      </c>
      <c r="C7167" s="8" t="n">
        <v>46149.25</v>
      </c>
      <c r="D7167" s="9">
        <f>(C7167-B7167)*24</f>
        <v/>
      </c>
      <c r="E7167" s="10">
        <f>IF(AND(HOUR(B7167)&gt;=6,HOUR(B7167)&lt;18),"Day Shift","Night Shift")</f>
        <v/>
      </c>
      <c r="F7167" s="11">
        <f>INT(B7167)</f>
        <v/>
      </c>
      <c r="G7167" s="11">
        <f>INT(C7167)</f>
        <v/>
      </c>
    </row>
    <row r="7168">
      <c r="A7168" s="2" t="inlineStr">
        <is>
          <t>EXD407;EXD409</t>
        </is>
      </c>
      <c r="B7168" s="3" t="n">
        <v>46149.25</v>
      </c>
      <c r="C7168" s="3" t="n">
        <v>46149.75</v>
      </c>
      <c r="D7168" s="4">
        <f>(C7168-B7168)*24</f>
        <v/>
      </c>
      <c r="E7168" s="5">
        <f>IF(AND(HOUR(B7168)&gt;=6,HOUR(B7168)&lt;18),"Day Shift","Night Shift")</f>
        <v/>
      </c>
      <c r="F7168" s="6">
        <f>INT(B7168)</f>
        <v/>
      </c>
      <c r="G7168" s="6">
        <f>INT(C7168)</f>
        <v/>
      </c>
    </row>
    <row r="7169">
      <c r="A7169" s="7" t="inlineStr">
        <is>
          <t>EXD407;EXD409</t>
        </is>
      </c>
      <c r="B7169" s="8" t="n">
        <v>46149.75</v>
      </c>
      <c r="C7169" s="8" t="n">
        <v>46150.25</v>
      </c>
      <c r="D7169" s="9">
        <f>(C7169-B7169)*24</f>
        <v/>
      </c>
      <c r="E7169" s="10">
        <f>IF(AND(HOUR(B7169)&gt;=6,HOUR(B7169)&lt;18),"Day Shift","Night Shift")</f>
        <v/>
      </c>
      <c r="F7169" s="11">
        <f>INT(B7169)</f>
        <v/>
      </c>
      <c r="G7169" s="11">
        <f>INT(C7169)</f>
        <v/>
      </c>
    </row>
    <row r="7170">
      <c r="A7170" s="2" t="inlineStr">
        <is>
          <t>EXD407;EXD409</t>
        </is>
      </c>
      <c r="B7170" s="3" t="n">
        <v>46150.25</v>
      </c>
      <c r="C7170" s="3" t="n">
        <v>46150.75</v>
      </c>
      <c r="D7170" s="4">
        <f>(C7170-B7170)*24</f>
        <v/>
      </c>
      <c r="E7170" s="5">
        <f>IF(AND(HOUR(B7170)&gt;=6,HOUR(B7170)&lt;18),"Day Shift","Night Shift")</f>
        <v/>
      </c>
      <c r="F7170" s="6">
        <f>INT(B7170)</f>
        <v/>
      </c>
      <c r="G7170" s="6">
        <f>INT(C7170)</f>
        <v/>
      </c>
    </row>
    <row r="7171">
      <c r="A7171" s="7" t="inlineStr">
        <is>
          <t>EXD407;EXD409</t>
        </is>
      </c>
      <c r="B7171" s="8" t="n">
        <v>46150.75</v>
      </c>
      <c r="C7171" s="8" t="n">
        <v>46151.25</v>
      </c>
      <c r="D7171" s="9">
        <f>(C7171-B7171)*24</f>
        <v/>
      </c>
      <c r="E7171" s="10">
        <f>IF(AND(HOUR(B7171)&gt;=6,HOUR(B7171)&lt;18),"Day Shift","Night Shift")</f>
        <v/>
      </c>
      <c r="F7171" s="11">
        <f>INT(B7171)</f>
        <v/>
      </c>
      <c r="G7171" s="11">
        <f>INT(C7171)</f>
        <v/>
      </c>
    </row>
    <row r="7172">
      <c r="A7172" s="2" t="inlineStr">
        <is>
          <t>EXD407;EXD409</t>
        </is>
      </c>
      <c r="B7172" s="3" t="n">
        <v>46151.25</v>
      </c>
      <c r="C7172" s="3" t="n">
        <v>46151.75</v>
      </c>
      <c r="D7172" s="4">
        <f>(C7172-B7172)*24</f>
        <v/>
      </c>
      <c r="E7172" s="5">
        <f>IF(AND(HOUR(B7172)&gt;=6,HOUR(B7172)&lt;18),"Day Shift","Night Shift")</f>
        <v/>
      </c>
      <c r="F7172" s="6">
        <f>INT(B7172)</f>
        <v/>
      </c>
      <c r="G7172" s="6">
        <f>INT(C7172)</f>
        <v/>
      </c>
    </row>
    <row r="7173">
      <c r="A7173" s="7" t="inlineStr">
        <is>
          <t>EXD407;EXD409</t>
        </is>
      </c>
      <c r="B7173" s="8" t="n">
        <v>46151.75</v>
      </c>
      <c r="C7173" s="8" t="n">
        <v>46152.25</v>
      </c>
      <c r="D7173" s="9">
        <f>(C7173-B7173)*24</f>
        <v/>
      </c>
      <c r="E7173" s="10">
        <f>IF(AND(HOUR(B7173)&gt;=6,HOUR(B7173)&lt;18),"Day Shift","Night Shift")</f>
        <v/>
      </c>
      <c r="F7173" s="11">
        <f>INT(B7173)</f>
        <v/>
      </c>
      <c r="G7173" s="11">
        <f>INT(C7173)</f>
        <v/>
      </c>
    </row>
    <row r="7174">
      <c r="A7174" s="2" t="inlineStr">
        <is>
          <t>EXD407;EXD409</t>
        </is>
      </c>
      <c r="B7174" s="3" t="n">
        <v>46152.25</v>
      </c>
      <c r="C7174" s="3" t="n">
        <v>46152.75</v>
      </c>
      <c r="D7174" s="4">
        <f>(C7174-B7174)*24</f>
        <v/>
      </c>
      <c r="E7174" s="5">
        <f>IF(AND(HOUR(B7174)&gt;=6,HOUR(B7174)&lt;18),"Day Shift","Night Shift")</f>
        <v/>
      </c>
      <c r="F7174" s="6">
        <f>INT(B7174)</f>
        <v/>
      </c>
      <c r="G7174" s="6">
        <f>INT(C7174)</f>
        <v/>
      </c>
    </row>
    <row r="7175">
      <c r="A7175" s="7" t="inlineStr">
        <is>
          <t>EXD407;EXD409</t>
        </is>
      </c>
      <c r="B7175" s="8" t="n">
        <v>46152.75</v>
      </c>
      <c r="C7175" s="8" t="n">
        <v>46153.25</v>
      </c>
      <c r="D7175" s="9">
        <f>(C7175-B7175)*24</f>
        <v/>
      </c>
      <c r="E7175" s="10">
        <f>IF(AND(HOUR(B7175)&gt;=6,HOUR(B7175)&lt;18),"Day Shift","Night Shift")</f>
        <v/>
      </c>
      <c r="F7175" s="11">
        <f>INT(B7175)</f>
        <v/>
      </c>
      <c r="G7175" s="11">
        <f>INT(C7175)</f>
        <v/>
      </c>
    </row>
    <row r="7176">
      <c r="A7176" s="2" t="inlineStr">
        <is>
          <t>EXD407;EXD409</t>
        </is>
      </c>
      <c r="B7176" s="3" t="n">
        <v>46153.25</v>
      </c>
      <c r="C7176" s="3" t="n">
        <v>46153.75</v>
      </c>
      <c r="D7176" s="4">
        <f>(C7176-B7176)*24</f>
        <v/>
      </c>
      <c r="E7176" s="5">
        <f>IF(AND(HOUR(B7176)&gt;=6,HOUR(B7176)&lt;18),"Day Shift","Night Shift")</f>
        <v/>
      </c>
      <c r="F7176" s="6">
        <f>INT(B7176)</f>
        <v/>
      </c>
      <c r="G7176" s="6">
        <f>INT(C7176)</f>
        <v/>
      </c>
    </row>
    <row r="7177">
      <c r="A7177" s="7" t="inlineStr">
        <is>
          <t>EXD407;EXD409</t>
        </is>
      </c>
      <c r="B7177" s="8" t="n">
        <v>46153.75</v>
      </c>
      <c r="C7177" s="8" t="n">
        <v>46154.25</v>
      </c>
      <c r="D7177" s="9">
        <f>(C7177-B7177)*24</f>
        <v/>
      </c>
      <c r="E7177" s="10">
        <f>IF(AND(HOUR(B7177)&gt;=6,HOUR(B7177)&lt;18),"Day Shift","Night Shift")</f>
        <v/>
      </c>
      <c r="F7177" s="11">
        <f>INT(B7177)</f>
        <v/>
      </c>
      <c r="G7177" s="11">
        <f>INT(C7177)</f>
        <v/>
      </c>
    </row>
    <row r="7178">
      <c r="A7178" s="2" t="inlineStr">
        <is>
          <t>EXD407;EXD409</t>
        </is>
      </c>
      <c r="B7178" s="3" t="n">
        <v>46154.25</v>
      </c>
      <c r="C7178" s="3" t="n">
        <v>46154.75</v>
      </c>
      <c r="D7178" s="4">
        <f>(C7178-B7178)*24</f>
        <v/>
      </c>
      <c r="E7178" s="5">
        <f>IF(AND(HOUR(B7178)&gt;=6,HOUR(B7178)&lt;18),"Day Shift","Night Shift")</f>
        <v/>
      </c>
      <c r="F7178" s="6">
        <f>INT(B7178)</f>
        <v/>
      </c>
      <c r="G7178" s="6">
        <f>INT(C7178)</f>
        <v/>
      </c>
    </row>
    <row r="7179">
      <c r="A7179" s="7" t="inlineStr">
        <is>
          <t>EXD407;EXD409</t>
        </is>
      </c>
      <c r="B7179" s="8" t="n">
        <v>46154.75</v>
      </c>
      <c r="C7179" s="8" t="n">
        <v>46155.25</v>
      </c>
      <c r="D7179" s="9">
        <f>(C7179-B7179)*24</f>
        <v/>
      </c>
      <c r="E7179" s="10">
        <f>IF(AND(HOUR(B7179)&gt;=6,HOUR(B7179)&lt;18),"Day Shift","Night Shift")</f>
        <v/>
      </c>
      <c r="F7179" s="11">
        <f>INT(B7179)</f>
        <v/>
      </c>
      <c r="G7179" s="11">
        <f>INT(C7179)</f>
        <v/>
      </c>
    </row>
    <row r="7180">
      <c r="A7180" s="2" t="inlineStr">
        <is>
          <t>EXD407;EXD409</t>
        </is>
      </c>
      <c r="B7180" s="3" t="n">
        <v>46155.25</v>
      </c>
      <c r="C7180" s="3" t="n">
        <v>46155.75</v>
      </c>
      <c r="D7180" s="4">
        <f>(C7180-B7180)*24</f>
        <v/>
      </c>
      <c r="E7180" s="5">
        <f>IF(AND(HOUR(B7180)&gt;=6,HOUR(B7180)&lt;18),"Day Shift","Night Shift")</f>
        <v/>
      </c>
      <c r="F7180" s="6">
        <f>INT(B7180)</f>
        <v/>
      </c>
      <c r="G7180" s="6">
        <f>INT(C7180)</f>
        <v/>
      </c>
    </row>
    <row r="7181">
      <c r="A7181" s="7" t="inlineStr">
        <is>
          <t>EXD407;EXD409</t>
        </is>
      </c>
      <c r="B7181" s="8" t="n">
        <v>46155.75</v>
      </c>
      <c r="C7181" s="8" t="n">
        <v>46156.25</v>
      </c>
      <c r="D7181" s="9">
        <f>(C7181-B7181)*24</f>
        <v/>
      </c>
      <c r="E7181" s="10">
        <f>IF(AND(HOUR(B7181)&gt;=6,HOUR(B7181)&lt;18),"Day Shift","Night Shift")</f>
        <v/>
      </c>
      <c r="F7181" s="11">
        <f>INT(B7181)</f>
        <v/>
      </c>
      <c r="G7181" s="11">
        <f>INT(C7181)</f>
        <v/>
      </c>
    </row>
    <row r="7182">
      <c r="A7182" s="2" t="inlineStr">
        <is>
          <t>EXD407;EXD409</t>
        </is>
      </c>
      <c r="B7182" s="3" t="n">
        <v>46156.25</v>
      </c>
      <c r="C7182" s="3" t="n">
        <v>46156.75</v>
      </c>
      <c r="D7182" s="4">
        <f>(C7182-B7182)*24</f>
        <v/>
      </c>
      <c r="E7182" s="5">
        <f>IF(AND(HOUR(B7182)&gt;=6,HOUR(B7182)&lt;18),"Day Shift","Night Shift")</f>
        <v/>
      </c>
      <c r="F7182" s="6">
        <f>INT(B7182)</f>
        <v/>
      </c>
      <c r="G7182" s="6">
        <f>INT(C7182)</f>
        <v/>
      </c>
    </row>
    <row r="7183">
      <c r="A7183" s="7" t="inlineStr">
        <is>
          <t>EXD407;EXD409</t>
        </is>
      </c>
      <c r="B7183" s="8" t="n">
        <v>46156.75</v>
      </c>
      <c r="C7183" s="8" t="n">
        <v>46157.25</v>
      </c>
      <c r="D7183" s="9">
        <f>(C7183-B7183)*24</f>
        <v/>
      </c>
      <c r="E7183" s="10">
        <f>IF(AND(HOUR(B7183)&gt;=6,HOUR(B7183)&lt;18),"Day Shift","Night Shift")</f>
        <v/>
      </c>
      <c r="F7183" s="11">
        <f>INT(B7183)</f>
        <v/>
      </c>
      <c r="G7183" s="11">
        <f>INT(C7183)</f>
        <v/>
      </c>
    </row>
    <row r="7184">
      <c r="A7184" s="2" t="inlineStr">
        <is>
          <t>EXD407;EXD409</t>
        </is>
      </c>
      <c r="B7184" s="3" t="n">
        <v>46157.25</v>
      </c>
      <c r="C7184" s="3" t="n">
        <v>46157.75</v>
      </c>
      <c r="D7184" s="4">
        <f>(C7184-B7184)*24</f>
        <v/>
      </c>
      <c r="E7184" s="5">
        <f>IF(AND(HOUR(B7184)&gt;=6,HOUR(B7184)&lt;18),"Day Shift","Night Shift")</f>
        <v/>
      </c>
      <c r="F7184" s="6">
        <f>INT(B7184)</f>
        <v/>
      </c>
      <c r="G7184" s="6">
        <f>INT(C7184)</f>
        <v/>
      </c>
    </row>
    <row r="7185">
      <c r="A7185" s="7" t="inlineStr">
        <is>
          <t>EXD407;EXD409</t>
        </is>
      </c>
      <c r="B7185" s="8" t="n">
        <v>46157.75</v>
      </c>
      <c r="C7185" s="8" t="n">
        <v>46158.25</v>
      </c>
      <c r="D7185" s="9">
        <f>(C7185-B7185)*24</f>
        <v/>
      </c>
      <c r="E7185" s="10">
        <f>IF(AND(HOUR(B7185)&gt;=6,HOUR(B7185)&lt;18),"Day Shift","Night Shift")</f>
        <v/>
      </c>
      <c r="F7185" s="11">
        <f>INT(B7185)</f>
        <v/>
      </c>
      <c r="G7185" s="11">
        <f>INT(C7185)</f>
        <v/>
      </c>
    </row>
    <row r="7186">
      <c r="A7186" s="2" t="inlineStr">
        <is>
          <t>EXD407;EXD409</t>
        </is>
      </c>
      <c r="B7186" s="3" t="n">
        <v>46158.25</v>
      </c>
      <c r="C7186" s="3" t="n">
        <v>46158.75</v>
      </c>
      <c r="D7186" s="4">
        <f>(C7186-B7186)*24</f>
        <v/>
      </c>
      <c r="E7186" s="5">
        <f>IF(AND(HOUR(B7186)&gt;=6,HOUR(B7186)&lt;18),"Day Shift","Night Shift")</f>
        <v/>
      </c>
      <c r="F7186" s="6">
        <f>INT(B7186)</f>
        <v/>
      </c>
      <c r="G7186" s="6">
        <f>INT(C7186)</f>
        <v/>
      </c>
    </row>
    <row r="7187">
      <c r="A7187" s="7" t="inlineStr">
        <is>
          <t>EXD407;EXD409</t>
        </is>
      </c>
      <c r="B7187" s="8" t="n">
        <v>46158.75</v>
      </c>
      <c r="C7187" s="8" t="n">
        <v>46159.25</v>
      </c>
      <c r="D7187" s="9">
        <f>(C7187-B7187)*24</f>
        <v/>
      </c>
      <c r="E7187" s="10">
        <f>IF(AND(HOUR(B7187)&gt;=6,HOUR(B7187)&lt;18),"Day Shift","Night Shift")</f>
        <v/>
      </c>
      <c r="F7187" s="11">
        <f>INT(B7187)</f>
        <v/>
      </c>
      <c r="G7187" s="11">
        <f>INT(C7187)</f>
        <v/>
      </c>
    </row>
    <row r="7188">
      <c r="A7188" s="2" t="inlineStr">
        <is>
          <t>EXD407;EXD409</t>
        </is>
      </c>
      <c r="B7188" s="3" t="n">
        <v>46159.25</v>
      </c>
      <c r="C7188" s="3" t="n">
        <v>46159.75</v>
      </c>
      <c r="D7188" s="4">
        <f>(C7188-B7188)*24</f>
        <v/>
      </c>
      <c r="E7188" s="5">
        <f>IF(AND(HOUR(B7188)&gt;=6,HOUR(B7188)&lt;18),"Day Shift","Night Shift")</f>
        <v/>
      </c>
      <c r="F7188" s="6">
        <f>INT(B7188)</f>
        <v/>
      </c>
      <c r="G7188" s="6">
        <f>INT(C7188)</f>
        <v/>
      </c>
    </row>
    <row r="7189">
      <c r="A7189" s="7" t="inlineStr">
        <is>
          <t>EXD407;EXD409</t>
        </is>
      </c>
      <c r="B7189" s="8" t="n">
        <v>46159.75</v>
      </c>
      <c r="C7189" s="8" t="n">
        <v>46160.25</v>
      </c>
      <c r="D7189" s="9">
        <f>(C7189-B7189)*24</f>
        <v/>
      </c>
      <c r="E7189" s="10">
        <f>IF(AND(HOUR(B7189)&gt;=6,HOUR(B7189)&lt;18),"Day Shift","Night Shift")</f>
        <v/>
      </c>
      <c r="F7189" s="11">
        <f>INT(B7189)</f>
        <v/>
      </c>
      <c r="G7189" s="11">
        <f>INT(C7189)</f>
        <v/>
      </c>
    </row>
    <row r="7190">
      <c r="A7190" s="2" t="inlineStr">
        <is>
          <t>EXD407;EXD409</t>
        </is>
      </c>
      <c r="B7190" s="3" t="n">
        <v>46160.25</v>
      </c>
      <c r="C7190" s="3" t="n">
        <v>46160.75</v>
      </c>
      <c r="D7190" s="4">
        <f>(C7190-B7190)*24</f>
        <v/>
      </c>
      <c r="E7190" s="5">
        <f>IF(AND(HOUR(B7190)&gt;=6,HOUR(B7190)&lt;18),"Day Shift","Night Shift")</f>
        <v/>
      </c>
      <c r="F7190" s="6">
        <f>INT(B7190)</f>
        <v/>
      </c>
      <c r="G7190" s="6">
        <f>INT(C7190)</f>
        <v/>
      </c>
    </row>
    <row r="7191">
      <c r="A7191" s="7" t="inlineStr">
        <is>
          <t>EXD407;EXD409</t>
        </is>
      </c>
      <c r="B7191" s="8" t="n">
        <v>46160.75</v>
      </c>
      <c r="C7191" s="8" t="n">
        <v>46161.25</v>
      </c>
      <c r="D7191" s="9">
        <f>(C7191-B7191)*24</f>
        <v/>
      </c>
      <c r="E7191" s="10">
        <f>IF(AND(HOUR(B7191)&gt;=6,HOUR(B7191)&lt;18),"Day Shift","Night Shift")</f>
        <v/>
      </c>
      <c r="F7191" s="11">
        <f>INT(B7191)</f>
        <v/>
      </c>
      <c r="G7191" s="11">
        <f>INT(C7191)</f>
        <v/>
      </c>
    </row>
    <row r="7192">
      <c r="A7192" s="2" t="inlineStr">
        <is>
          <t>EXD407;EXD409</t>
        </is>
      </c>
      <c r="B7192" s="3" t="n">
        <v>46161.25</v>
      </c>
      <c r="C7192" s="3" t="n">
        <v>46161.75</v>
      </c>
      <c r="D7192" s="4">
        <f>(C7192-B7192)*24</f>
        <v/>
      </c>
      <c r="E7192" s="5">
        <f>IF(AND(HOUR(B7192)&gt;=6,HOUR(B7192)&lt;18),"Day Shift","Night Shift")</f>
        <v/>
      </c>
      <c r="F7192" s="6">
        <f>INT(B7192)</f>
        <v/>
      </c>
      <c r="G7192" s="6">
        <f>INT(C7192)</f>
        <v/>
      </c>
    </row>
    <row r="7193">
      <c r="A7193" s="7" t="inlineStr">
        <is>
          <t>EXD407;EXD409</t>
        </is>
      </c>
      <c r="B7193" s="8" t="n">
        <v>46161.75</v>
      </c>
      <c r="C7193" s="8" t="n">
        <v>46162.25</v>
      </c>
      <c r="D7193" s="9">
        <f>(C7193-B7193)*24</f>
        <v/>
      </c>
      <c r="E7193" s="10">
        <f>IF(AND(HOUR(B7193)&gt;=6,HOUR(B7193)&lt;18),"Day Shift","Night Shift")</f>
        <v/>
      </c>
      <c r="F7193" s="11">
        <f>INT(B7193)</f>
        <v/>
      </c>
      <c r="G7193" s="11">
        <f>INT(C7193)</f>
        <v/>
      </c>
    </row>
    <row r="7194">
      <c r="A7194" s="2" t="inlineStr">
        <is>
          <t>EXD407;EXD409</t>
        </is>
      </c>
      <c r="B7194" s="3" t="n">
        <v>46162.25</v>
      </c>
      <c r="C7194" s="3" t="n">
        <v>46162.27332175926</v>
      </c>
      <c r="D7194" s="4">
        <f>(C7194-B7194)*24</f>
        <v/>
      </c>
      <c r="E7194" s="5">
        <f>IF(AND(HOUR(B7194)&gt;=6,HOUR(B7194)&lt;18),"Day Shift","Night Shift")</f>
        <v/>
      </c>
      <c r="F7194" s="6">
        <f>INT(B7194)</f>
        <v/>
      </c>
      <c r="G7194" s="6">
        <f>INT(C7194)</f>
        <v/>
      </c>
    </row>
    <row r="7195">
      <c r="A7195" s="2" t="inlineStr">
        <is>
          <t>EDD175;EDD1932;EDD2134;EDD812;Sprint 1;EDD2541</t>
        </is>
      </c>
      <c r="B7195" s="3" t="n">
        <v>46135.45833333334</v>
      </c>
      <c r="C7195" s="3" t="n">
        <v>46135.75</v>
      </c>
      <c r="D7195" s="4">
        <f>(C7195-B7195)*24</f>
        <v/>
      </c>
      <c r="E7195" s="5">
        <f>IF(AND(HOUR(B7195)&gt;=6,HOUR(B7195)&lt;18),"Day Shift","Night Shift")</f>
        <v/>
      </c>
      <c r="F7195" s="6">
        <f>INT(B7195)</f>
        <v/>
      </c>
      <c r="G7195" s="6">
        <f>INT(C7195)</f>
        <v/>
      </c>
    </row>
    <row r="7196">
      <c r="A7196" s="7" t="inlineStr">
        <is>
          <t>EDD175;EDD1932;EDD2134;EDD812;Sprint 1;EDD2541</t>
        </is>
      </c>
      <c r="B7196" s="8" t="n">
        <v>46135.75</v>
      </c>
      <c r="C7196" s="8" t="n">
        <v>46136.10421296296</v>
      </c>
      <c r="D7196" s="9">
        <f>(C7196-B7196)*24</f>
        <v/>
      </c>
      <c r="E7196" s="10">
        <f>IF(AND(HOUR(B7196)&gt;=6,HOUR(B7196)&lt;18),"Day Shift","Night Shift")</f>
        <v/>
      </c>
      <c r="F7196" s="11">
        <f>INT(B7196)</f>
        <v/>
      </c>
      <c r="G7196" s="11">
        <f>INT(C7196)</f>
        <v/>
      </c>
    </row>
    <row r="7197">
      <c r="A7197" s="2" t="inlineStr">
        <is>
          <t>EXD51</t>
        </is>
      </c>
      <c r="B7197" s="3" t="n">
        <v>46135.51255787037</v>
      </c>
      <c r="C7197" s="3" t="n">
        <v>46135.75</v>
      </c>
      <c r="D7197" s="4">
        <f>(C7197-B7197)*24</f>
        <v/>
      </c>
      <c r="E7197" s="5">
        <f>IF(AND(HOUR(B7197)&gt;=6,HOUR(B7197)&lt;18),"Day Shift","Night Shift")</f>
        <v/>
      </c>
      <c r="F7197" s="6">
        <f>INT(B7197)</f>
        <v/>
      </c>
      <c r="G7197" s="6">
        <f>INT(C7197)</f>
        <v/>
      </c>
    </row>
    <row r="7198">
      <c r="A7198" s="7" t="inlineStr">
        <is>
          <t>EXD51</t>
        </is>
      </c>
      <c r="B7198" s="8" t="n">
        <v>46135.75</v>
      </c>
      <c r="C7198" s="8" t="n">
        <v>46136.25</v>
      </c>
      <c r="D7198" s="9">
        <f>(C7198-B7198)*24</f>
        <v/>
      </c>
      <c r="E7198" s="10">
        <f>IF(AND(HOUR(B7198)&gt;=6,HOUR(B7198)&lt;18),"Day Shift","Night Shift")</f>
        <v/>
      </c>
      <c r="F7198" s="11">
        <f>INT(B7198)</f>
        <v/>
      </c>
      <c r="G7198" s="11">
        <f>INT(C7198)</f>
        <v/>
      </c>
    </row>
    <row r="7199">
      <c r="A7199" s="2" t="inlineStr">
        <is>
          <t>EXD51</t>
        </is>
      </c>
      <c r="B7199" s="3" t="n">
        <v>46136.25</v>
      </c>
      <c r="C7199" s="3" t="n">
        <v>46136.63006944444</v>
      </c>
      <c r="D7199" s="4">
        <f>(C7199-B7199)*24</f>
        <v/>
      </c>
      <c r="E7199" s="5">
        <f>IF(AND(HOUR(B7199)&gt;=6,HOUR(B7199)&lt;18),"Day Shift","Night Shift")</f>
        <v/>
      </c>
      <c r="F7199" s="6">
        <f>INT(B7199)</f>
        <v/>
      </c>
      <c r="G7199" s="6">
        <f>INT(C7199)</f>
        <v/>
      </c>
    </row>
    <row r="7200">
      <c r="A7200" s="2" t="inlineStr">
        <is>
          <t>EXD61</t>
        </is>
      </c>
      <c r="B7200" s="3" t="n">
        <v>46135.5509837963</v>
      </c>
      <c r="C7200" s="3" t="n">
        <v>46135.75</v>
      </c>
      <c r="D7200" s="4">
        <f>(C7200-B7200)*24</f>
        <v/>
      </c>
      <c r="E7200" s="5">
        <f>IF(AND(HOUR(B7200)&gt;=6,HOUR(B7200)&lt;18),"Day Shift","Night Shift")</f>
        <v/>
      </c>
      <c r="F7200" s="6">
        <f>INT(B7200)</f>
        <v/>
      </c>
      <c r="G7200" s="6">
        <f>INT(C7200)</f>
        <v/>
      </c>
    </row>
    <row r="7201">
      <c r="A7201" s="7" t="inlineStr">
        <is>
          <t>EXD61</t>
        </is>
      </c>
      <c r="B7201" s="8" t="n">
        <v>46135.75</v>
      </c>
      <c r="C7201" s="8" t="n">
        <v>46136.03787037037</v>
      </c>
      <c r="D7201" s="9">
        <f>(C7201-B7201)*24</f>
        <v/>
      </c>
      <c r="E7201" s="10">
        <f>IF(AND(HOUR(B7201)&gt;=6,HOUR(B7201)&lt;18),"Day Shift","Night Shift")</f>
        <v/>
      </c>
      <c r="F7201" s="11">
        <f>INT(B7201)</f>
        <v/>
      </c>
      <c r="G7201" s="11">
        <f>INT(C7201)</f>
        <v/>
      </c>
    </row>
    <row r="7202">
      <c r="A7202" s="2" t="inlineStr">
        <is>
          <t>SHE36</t>
        </is>
      </c>
      <c r="B7202" s="3" t="n">
        <v>46135.64043981482</v>
      </c>
      <c r="C7202" s="3" t="n">
        <v>46135.75</v>
      </c>
      <c r="D7202" s="4">
        <f>(C7202-B7202)*24</f>
        <v/>
      </c>
      <c r="E7202" s="5">
        <f>IF(AND(HOUR(B7202)&gt;=6,HOUR(B7202)&lt;18),"Day Shift","Night Shift")</f>
        <v/>
      </c>
      <c r="F7202" s="6">
        <f>INT(B7202)</f>
        <v/>
      </c>
      <c r="G7202" s="6">
        <f>INT(C7202)</f>
        <v/>
      </c>
    </row>
    <row r="7203">
      <c r="A7203" s="7" t="inlineStr">
        <is>
          <t>SHE36</t>
        </is>
      </c>
      <c r="B7203" s="8" t="n">
        <v>46135.75</v>
      </c>
      <c r="C7203" s="8" t="n">
        <v>46136.25</v>
      </c>
      <c r="D7203" s="9">
        <f>(C7203-B7203)*24</f>
        <v/>
      </c>
      <c r="E7203" s="10">
        <f>IF(AND(HOUR(B7203)&gt;=6,HOUR(B7203)&lt;18),"Day Shift","Night Shift")</f>
        <v/>
      </c>
      <c r="F7203" s="11">
        <f>INT(B7203)</f>
        <v/>
      </c>
      <c r="G7203" s="11">
        <f>INT(C7203)</f>
        <v/>
      </c>
    </row>
    <row r="7204">
      <c r="A7204" s="2" t="inlineStr">
        <is>
          <t>SHE36</t>
        </is>
      </c>
      <c r="B7204" s="3" t="n">
        <v>46136.25</v>
      </c>
      <c r="C7204" s="3" t="n">
        <v>46136.61121527778</v>
      </c>
      <c r="D7204" s="4">
        <f>(C7204-B7204)*24</f>
        <v/>
      </c>
      <c r="E7204" s="5">
        <f>IF(AND(HOUR(B7204)&gt;=6,HOUR(B7204)&lt;18),"Day Shift","Night Shift")</f>
        <v/>
      </c>
      <c r="F7204" s="6">
        <f>INT(B7204)</f>
        <v/>
      </c>
      <c r="G7204" s="6">
        <f>INT(C7204)</f>
        <v/>
      </c>
    </row>
    <row r="7205">
      <c r="A7205" s="2" t="inlineStr">
        <is>
          <t>EXD100</t>
        </is>
      </c>
      <c r="B7205" s="3" t="n">
        <v>46135.66462962963</v>
      </c>
      <c r="C7205" s="3" t="n">
        <v>46135.75</v>
      </c>
      <c r="D7205" s="4">
        <f>(C7205-B7205)*24</f>
        <v/>
      </c>
      <c r="E7205" s="5">
        <f>IF(AND(HOUR(B7205)&gt;=6,HOUR(B7205)&lt;18),"Day Shift","Night Shift")</f>
        <v/>
      </c>
      <c r="F7205" s="6">
        <f>INT(B7205)</f>
        <v/>
      </c>
      <c r="G7205" s="6">
        <f>INT(C7205)</f>
        <v/>
      </c>
    </row>
    <row r="7206">
      <c r="A7206" s="7" t="inlineStr">
        <is>
          <t>EXD100</t>
        </is>
      </c>
      <c r="B7206" s="8" t="n">
        <v>46135.75</v>
      </c>
      <c r="C7206" s="8" t="n">
        <v>46136.25</v>
      </c>
      <c r="D7206" s="9">
        <f>(C7206-B7206)*24</f>
        <v/>
      </c>
      <c r="E7206" s="10">
        <f>IF(AND(HOUR(B7206)&gt;=6,HOUR(B7206)&lt;18),"Day Shift","Night Shift")</f>
        <v/>
      </c>
      <c r="F7206" s="11">
        <f>INT(B7206)</f>
        <v/>
      </c>
      <c r="G7206" s="11">
        <f>INT(C7206)</f>
        <v/>
      </c>
    </row>
    <row r="7207">
      <c r="A7207" s="2" t="inlineStr">
        <is>
          <t>EXD100</t>
        </is>
      </c>
      <c r="B7207" s="3" t="n">
        <v>46136.25</v>
      </c>
      <c r="C7207" s="3" t="n">
        <v>46136.58797453704</v>
      </c>
      <c r="D7207" s="4">
        <f>(C7207-B7207)*24</f>
        <v/>
      </c>
      <c r="E7207" s="5">
        <f>IF(AND(HOUR(B7207)&gt;=6,HOUR(B7207)&lt;18),"Day Shift","Night Shift")</f>
        <v/>
      </c>
      <c r="F7207" s="6">
        <f>INT(B7207)</f>
        <v/>
      </c>
      <c r="G7207" s="6">
        <f>INT(C7207)</f>
        <v/>
      </c>
    </row>
    <row r="7208">
      <c r="A7208" s="7" t="inlineStr">
        <is>
          <t>EXD409</t>
        </is>
      </c>
      <c r="B7208" s="8" t="n">
        <v>46135.84142361111</v>
      </c>
      <c r="C7208" s="8" t="n">
        <v>46136.19855324074</v>
      </c>
      <c r="D7208" s="9">
        <f>(C7208-B7208)*24</f>
        <v/>
      </c>
      <c r="E7208" s="10">
        <f>IF(AND(HOUR(B7208)&gt;=6,HOUR(B7208)&lt;18),"Day Shift","Night Shift")</f>
        <v/>
      </c>
      <c r="F7208" s="11">
        <f>INT(B7208)</f>
        <v/>
      </c>
      <c r="G7208" s="11">
        <f>INT(C7208)</f>
        <v/>
      </c>
    </row>
    <row r="7209">
      <c r="A7209" s="7" t="inlineStr">
        <is>
          <t>EXD60</t>
        </is>
      </c>
      <c r="B7209" s="8" t="n">
        <v>46135.87170138889</v>
      </c>
      <c r="C7209" s="8" t="n">
        <v>46136.25</v>
      </c>
      <c r="D7209" s="9">
        <f>(C7209-B7209)*24</f>
        <v/>
      </c>
      <c r="E7209" s="10">
        <f>IF(AND(HOUR(B7209)&gt;=6,HOUR(B7209)&lt;18),"Day Shift","Night Shift")</f>
        <v/>
      </c>
      <c r="F7209" s="11">
        <f>INT(B7209)</f>
        <v/>
      </c>
      <c r="G7209" s="11">
        <f>INT(C7209)</f>
        <v/>
      </c>
    </row>
    <row r="7210">
      <c r="A7210" s="2" t="inlineStr">
        <is>
          <t>EXD60</t>
        </is>
      </c>
      <c r="B7210" s="3" t="n">
        <v>46136.25</v>
      </c>
      <c r="C7210" s="3" t="n">
        <v>46136.25103009259</v>
      </c>
      <c r="D7210" s="4">
        <f>(C7210-B7210)*24</f>
        <v/>
      </c>
      <c r="E7210" s="5">
        <f>IF(AND(HOUR(B7210)&gt;=6,HOUR(B7210)&lt;18),"Day Shift","Night Shift")</f>
        <v/>
      </c>
      <c r="F7210" s="6">
        <f>INT(B7210)</f>
        <v/>
      </c>
      <c r="G7210" s="6">
        <f>INT(C7210)</f>
        <v/>
      </c>
    </row>
    <row r="7211">
      <c r="A7211" s="7" t="inlineStr">
        <is>
          <t>EXD61</t>
        </is>
      </c>
      <c r="B7211" s="8" t="n">
        <v>46136.03787037037</v>
      </c>
      <c r="C7211" s="8" t="n">
        <v>46136.25</v>
      </c>
      <c r="D7211" s="9">
        <f>(C7211-B7211)*24</f>
        <v/>
      </c>
      <c r="E7211" s="10">
        <f>IF(AND(HOUR(B7211)&gt;=6,HOUR(B7211)&lt;18),"Day Shift","Night Shift")</f>
        <v/>
      </c>
      <c r="F7211" s="11">
        <f>INT(B7211)</f>
        <v/>
      </c>
      <c r="G7211" s="11">
        <f>INT(C7211)</f>
        <v/>
      </c>
    </row>
    <row r="7212">
      <c r="A7212" s="2" t="inlineStr">
        <is>
          <t>EXD61</t>
        </is>
      </c>
      <c r="B7212" s="3" t="n">
        <v>46136.25</v>
      </c>
      <c r="C7212" s="3" t="n">
        <v>46136.59746527778</v>
      </c>
      <c r="D7212" s="4">
        <f>(C7212-B7212)*24</f>
        <v/>
      </c>
      <c r="E7212" s="5">
        <f>IF(AND(HOUR(B7212)&gt;=6,HOUR(B7212)&lt;18),"Day Shift","Night Shift")</f>
        <v/>
      </c>
      <c r="F7212" s="6">
        <f>INT(B7212)</f>
        <v/>
      </c>
      <c r="G7212" s="6">
        <f>INT(C7212)</f>
        <v/>
      </c>
    </row>
    <row r="7213">
      <c r="A7213" s="7" t="inlineStr">
        <is>
          <t>EXD408</t>
        </is>
      </c>
      <c r="B7213" s="8" t="n">
        <v>46136.04456018518</v>
      </c>
      <c r="C7213" s="8" t="n">
        <v>46136.25</v>
      </c>
      <c r="D7213" s="9">
        <f>(C7213-B7213)*24</f>
        <v/>
      </c>
      <c r="E7213" s="10">
        <f>IF(AND(HOUR(B7213)&gt;=6,HOUR(B7213)&lt;18),"Day Shift","Night Shift")</f>
        <v/>
      </c>
      <c r="F7213" s="11">
        <f>INT(B7213)</f>
        <v/>
      </c>
      <c r="G7213" s="11">
        <f>INT(C7213)</f>
        <v/>
      </c>
    </row>
    <row r="7214">
      <c r="A7214" s="2" t="inlineStr">
        <is>
          <t>EXD408</t>
        </is>
      </c>
      <c r="B7214" s="3" t="n">
        <v>46136.25</v>
      </c>
      <c r="C7214" s="3" t="n">
        <v>46136.75</v>
      </c>
      <c r="D7214" s="4">
        <f>(C7214-B7214)*24</f>
        <v/>
      </c>
      <c r="E7214" s="5">
        <f>IF(AND(HOUR(B7214)&gt;=6,HOUR(B7214)&lt;18),"Day Shift","Night Shift")</f>
        <v/>
      </c>
      <c r="F7214" s="6">
        <f>INT(B7214)</f>
        <v/>
      </c>
      <c r="G7214" s="6">
        <f>INT(C7214)</f>
        <v/>
      </c>
    </row>
    <row r="7215">
      <c r="A7215" s="7" t="inlineStr">
        <is>
          <t>EXD408</t>
        </is>
      </c>
      <c r="B7215" s="8" t="n">
        <v>46136.75</v>
      </c>
      <c r="C7215" s="8" t="n">
        <v>46137.25</v>
      </c>
      <c r="D7215" s="9">
        <f>(C7215-B7215)*24</f>
        <v/>
      </c>
      <c r="E7215" s="10">
        <f>IF(AND(HOUR(B7215)&gt;=6,HOUR(B7215)&lt;18),"Day Shift","Night Shift")</f>
        <v/>
      </c>
      <c r="F7215" s="11">
        <f>INT(B7215)</f>
        <v/>
      </c>
      <c r="G7215" s="11">
        <f>INT(C7215)</f>
        <v/>
      </c>
    </row>
    <row r="7216">
      <c r="A7216" s="2" t="inlineStr">
        <is>
          <t>EXD408</t>
        </is>
      </c>
      <c r="B7216" s="3" t="n">
        <v>46137.25</v>
      </c>
      <c r="C7216" s="3" t="n">
        <v>46137.32399305556</v>
      </c>
      <c r="D7216" s="4">
        <f>(C7216-B7216)*24</f>
        <v/>
      </c>
      <c r="E7216" s="5">
        <f>IF(AND(HOUR(B7216)&gt;=6,HOUR(B7216)&lt;18),"Day Shift","Night Shift")</f>
        <v/>
      </c>
      <c r="F7216" s="6">
        <f>INT(B7216)</f>
        <v/>
      </c>
      <c r="G7216" s="6">
        <f>INT(C7216)</f>
        <v/>
      </c>
    </row>
    <row r="7217">
      <c r="A7217" s="7" t="inlineStr">
        <is>
          <t>EXD98</t>
        </is>
      </c>
      <c r="B7217" s="8" t="n">
        <v>46136.05631944445</v>
      </c>
      <c r="C7217" s="8" t="n">
        <v>46136.25</v>
      </c>
      <c r="D7217" s="9">
        <f>(C7217-B7217)*24</f>
        <v/>
      </c>
      <c r="E7217" s="10">
        <f>IF(AND(HOUR(B7217)&gt;=6,HOUR(B7217)&lt;18),"Day Shift","Night Shift")</f>
        <v/>
      </c>
      <c r="F7217" s="11">
        <f>INT(B7217)</f>
        <v/>
      </c>
      <c r="G7217" s="11">
        <f>INT(C7217)</f>
        <v/>
      </c>
    </row>
    <row r="7218">
      <c r="A7218" s="2" t="inlineStr">
        <is>
          <t>EXD98</t>
        </is>
      </c>
      <c r="B7218" s="3" t="n">
        <v>46136.25</v>
      </c>
      <c r="C7218" s="3" t="n">
        <v>46136.75</v>
      </c>
      <c r="D7218" s="4">
        <f>(C7218-B7218)*24</f>
        <v/>
      </c>
      <c r="E7218" s="5">
        <f>IF(AND(HOUR(B7218)&gt;=6,HOUR(B7218)&lt;18),"Day Shift","Night Shift")</f>
        <v/>
      </c>
      <c r="F7218" s="6">
        <f>INT(B7218)</f>
        <v/>
      </c>
      <c r="G7218" s="6">
        <f>INT(C7218)</f>
        <v/>
      </c>
    </row>
    <row r="7219">
      <c r="A7219" s="7" t="inlineStr">
        <is>
          <t>EXD98</t>
        </is>
      </c>
      <c r="B7219" s="8" t="n">
        <v>46136.75</v>
      </c>
      <c r="C7219" s="8" t="n">
        <v>46136.76570601852</v>
      </c>
      <c r="D7219" s="9">
        <f>(C7219-B7219)*24</f>
        <v/>
      </c>
      <c r="E7219" s="10">
        <f>IF(AND(HOUR(B7219)&gt;=6,HOUR(B7219)&lt;18),"Day Shift","Night Shift")</f>
        <v/>
      </c>
      <c r="F7219" s="11">
        <f>INT(B7219)</f>
        <v/>
      </c>
      <c r="G7219" s="11">
        <f>INT(C7219)</f>
        <v/>
      </c>
    </row>
    <row r="7220">
      <c r="A7220" s="7" t="inlineStr">
        <is>
          <t>EDD175;EDD1932;EDD2134;EDD2541;EDD812;Sprint 1</t>
        </is>
      </c>
      <c r="B7220" s="8" t="n">
        <v>46136.10421296296</v>
      </c>
      <c r="C7220" s="8" t="n">
        <v>46136.25</v>
      </c>
      <c r="D7220" s="9">
        <f>(C7220-B7220)*24</f>
        <v/>
      </c>
      <c r="E7220" s="10">
        <f>IF(AND(HOUR(B7220)&gt;=6,HOUR(B7220)&lt;18),"Day Shift","Night Shift")</f>
        <v/>
      </c>
      <c r="F7220" s="11">
        <f>INT(B7220)</f>
        <v/>
      </c>
      <c r="G7220" s="11">
        <f>INT(C7220)</f>
        <v/>
      </c>
    </row>
    <row r="7221">
      <c r="A7221" s="2" t="inlineStr">
        <is>
          <t>EDD175;EDD1932;EDD2134;EDD2541;EDD812;Sprint 1</t>
        </is>
      </c>
      <c r="B7221" s="3" t="n">
        <v>46136.25</v>
      </c>
      <c r="C7221" s="3" t="n">
        <v>46136.75</v>
      </c>
      <c r="D7221" s="4">
        <f>(C7221-B7221)*24</f>
        <v/>
      </c>
      <c r="E7221" s="5">
        <f>IF(AND(HOUR(B7221)&gt;=6,HOUR(B7221)&lt;18),"Day Shift","Night Shift")</f>
        <v/>
      </c>
      <c r="F7221" s="6">
        <f>INT(B7221)</f>
        <v/>
      </c>
      <c r="G7221" s="6">
        <f>INT(C7221)</f>
        <v/>
      </c>
    </row>
    <row r="7222">
      <c r="A7222" s="7" t="inlineStr">
        <is>
          <t>EDD175;EDD1932;EDD2134;EDD2541;EDD812;Sprint 1</t>
        </is>
      </c>
      <c r="B7222" s="8" t="n">
        <v>46136.75</v>
      </c>
      <c r="C7222" s="8" t="n">
        <v>46136.78724537037</v>
      </c>
      <c r="D7222" s="9">
        <f>(C7222-B7222)*24</f>
        <v/>
      </c>
      <c r="E7222" s="10">
        <f>IF(AND(HOUR(B7222)&gt;=6,HOUR(B7222)&lt;18),"Day Shift","Night Shift")</f>
        <v/>
      </c>
      <c r="F7222" s="11">
        <f>INT(B7222)</f>
        <v/>
      </c>
      <c r="G7222" s="11">
        <f>INT(C7222)</f>
        <v/>
      </c>
    </row>
    <row r="7223">
      <c r="A7223" s="7" t="inlineStr">
        <is>
          <t>EXD409</t>
        </is>
      </c>
      <c r="B7223" s="8" t="n">
        <v>46136.19855324074</v>
      </c>
      <c r="C7223" s="8" t="n">
        <v>46136.25</v>
      </c>
      <c r="D7223" s="9">
        <f>(C7223-B7223)*24</f>
        <v/>
      </c>
      <c r="E7223" s="10">
        <f>IF(AND(HOUR(B7223)&gt;=6,HOUR(B7223)&lt;18),"Day Shift","Night Shift")</f>
        <v/>
      </c>
      <c r="F7223" s="11">
        <f>INT(B7223)</f>
        <v/>
      </c>
      <c r="G7223" s="11">
        <f>INT(C7223)</f>
        <v/>
      </c>
    </row>
    <row r="7224">
      <c r="A7224" s="2" t="inlineStr">
        <is>
          <t>EXD409</t>
        </is>
      </c>
      <c r="B7224" s="3" t="n">
        <v>46136.25</v>
      </c>
      <c r="C7224" s="3" t="n">
        <v>46136.75</v>
      </c>
      <c r="D7224" s="4">
        <f>(C7224-B7224)*24</f>
        <v/>
      </c>
      <c r="E7224" s="5">
        <f>IF(AND(HOUR(B7224)&gt;=6,HOUR(B7224)&lt;18),"Day Shift","Night Shift")</f>
        <v/>
      </c>
      <c r="F7224" s="6">
        <f>INT(B7224)</f>
        <v/>
      </c>
      <c r="G7224" s="6">
        <f>INT(C7224)</f>
        <v/>
      </c>
    </row>
    <row r="7225">
      <c r="A7225" s="7" t="inlineStr">
        <is>
          <t>EXD409</t>
        </is>
      </c>
      <c r="B7225" s="8" t="n">
        <v>46136.75</v>
      </c>
      <c r="C7225" s="8" t="n">
        <v>46137.25</v>
      </c>
      <c r="D7225" s="9">
        <f>(C7225-B7225)*24</f>
        <v/>
      </c>
      <c r="E7225" s="10">
        <f>IF(AND(HOUR(B7225)&gt;=6,HOUR(B7225)&lt;18),"Day Shift","Night Shift")</f>
        <v/>
      </c>
      <c r="F7225" s="11">
        <f>INT(B7225)</f>
        <v/>
      </c>
      <c r="G7225" s="11">
        <f>INT(C7225)</f>
        <v/>
      </c>
    </row>
    <row r="7226">
      <c r="A7226" s="2" t="inlineStr">
        <is>
          <t>EXD409</t>
        </is>
      </c>
      <c r="B7226" s="3" t="n">
        <v>46137.25</v>
      </c>
      <c r="C7226" s="3" t="n">
        <v>46137.47138888889</v>
      </c>
      <c r="D7226" s="4">
        <f>(C7226-B7226)*24</f>
        <v/>
      </c>
      <c r="E7226" s="5">
        <f>IF(AND(HOUR(B7226)&gt;=6,HOUR(B7226)&lt;18),"Day Shift","Night Shift")</f>
        <v/>
      </c>
      <c r="F7226" s="6">
        <f>INT(B7226)</f>
        <v/>
      </c>
      <c r="G7226" s="6">
        <f>INT(C7226)</f>
        <v/>
      </c>
    </row>
    <row r="7227">
      <c r="A7227" s="2" t="inlineStr">
        <is>
          <t>EXD60</t>
        </is>
      </c>
      <c r="B7227" s="3" t="n">
        <v>46136.25134259259</v>
      </c>
      <c r="C7227" s="3" t="n">
        <v>46136.75</v>
      </c>
      <c r="D7227" s="4">
        <f>(C7227-B7227)*24</f>
        <v/>
      </c>
      <c r="E7227" s="5">
        <f>IF(AND(HOUR(B7227)&gt;=6,HOUR(B7227)&lt;18),"Day Shift","Night Shift")</f>
        <v/>
      </c>
      <c r="F7227" s="6">
        <f>INT(B7227)</f>
        <v/>
      </c>
      <c r="G7227" s="6">
        <f>INT(C7227)</f>
        <v/>
      </c>
    </row>
    <row r="7228">
      <c r="A7228" s="7" t="inlineStr">
        <is>
          <t>EXD60</t>
        </is>
      </c>
      <c r="B7228" s="8" t="n">
        <v>46136.75</v>
      </c>
      <c r="C7228" s="8" t="n">
        <v>46137.25</v>
      </c>
      <c r="D7228" s="9">
        <f>(C7228-B7228)*24</f>
        <v/>
      </c>
      <c r="E7228" s="10">
        <f>IF(AND(HOUR(B7228)&gt;=6,HOUR(B7228)&lt;18),"Day Shift","Night Shift")</f>
        <v/>
      </c>
      <c r="F7228" s="11">
        <f>INT(B7228)</f>
        <v/>
      </c>
      <c r="G7228" s="11">
        <f>INT(C7228)</f>
        <v/>
      </c>
    </row>
    <row r="7229">
      <c r="A7229" s="2" t="inlineStr">
        <is>
          <t>EXD60</t>
        </is>
      </c>
      <c r="B7229" s="3" t="n">
        <v>46137.25</v>
      </c>
      <c r="C7229" s="3" t="n">
        <v>46137.56871527778</v>
      </c>
      <c r="D7229" s="4">
        <f>(C7229-B7229)*24</f>
        <v/>
      </c>
      <c r="E7229" s="5">
        <f>IF(AND(HOUR(B7229)&gt;=6,HOUR(B7229)&lt;18),"Day Shift","Night Shift")</f>
        <v/>
      </c>
      <c r="F7229" s="6">
        <f>INT(B7229)</f>
        <v/>
      </c>
      <c r="G7229" s="6">
        <f>INT(C7229)</f>
        <v/>
      </c>
    </row>
    <row r="7230">
      <c r="A7230" s="2" t="inlineStr">
        <is>
          <t>Blast Crew DS</t>
        </is>
      </c>
      <c r="B7230" s="3" t="n">
        <v>46136.39284722223</v>
      </c>
      <c r="C7230" s="3" t="n">
        <v>46136.56005787037</v>
      </c>
      <c r="D7230" s="4">
        <f>(C7230-B7230)*24</f>
        <v/>
      </c>
      <c r="E7230" s="5">
        <f>IF(AND(HOUR(B7230)&gt;=6,HOUR(B7230)&lt;18),"Day Shift","Night Shift")</f>
        <v/>
      </c>
      <c r="F7230" s="6">
        <f>INT(B7230)</f>
        <v/>
      </c>
      <c r="G7230" s="6">
        <f>INT(C7230)</f>
        <v/>
      </c>
    </row>
    <row r="7231">
      <c r="A7231" s="2" t="inlineStr">
        <is>
          <t>EXD73</t>
        </is>
      </c>
      <c r="B7231" s="3" t="n">
        <v>46136.40923611111</v>
      </c>
      <c r="C7231" s="3" t="n">
        <v>46136.75</v>
      </c>
      <c r="D7231" s="4">
        <f>(C7231-B7231)*24</f>
        <v/>
      </c>
      <c r="E7231" s="5">
        <f>IF(AND(HOUR(B7231)&gt;=6,HOUR(B7231)&lt;18),"Day Shift","Night Shift")</f>
        <v/>
      </c>
      <c r="F7231" s="6">
        <f>INT(B7231)</f>
        <v/>
      </c>
      <c r="G7231" s="6">
        <f>INT(C7231)</f>
        <v/>
      </c>
    </row>
    <row r="7232">
      <c r="A7232" s="7" t="inlineStr">
        <is>
          <t>EXD73</t>
        </is>
      </c>
      <c r="B7232" s="8" t="n">
        <v>46136.75</v>
      </c>
      <c r="C7232" s="8" t="n">
        <v>46137.25</v>
      </c>
      <c r="D7232" s="9">
        <f>(C7232-B7232)*24</f>
        <v/>
      </c>
      <c r="E7232" s="10">
        <f>IF(AND(HOUR(B7232)&gt;=6,HOUR(B7232)&lt;18),"Day Shift","Night Shift")</f>
        <v/>
      </c>
      <c r="F7232" s="11">
        <f>INT(B7232)</f>
        <v/>
      </c>
      <c r="G7232" s="11">
        <f>INT(C7232)</f>
        <v/>
      </c>
    </row>
    <row r="7233">
      <c r="A7233" s="2" t="inlineStr">
        <is>
          <t>EXD73</t>
        </is>
      </c>
      <c r="B7233" s="3" t="n">
        <v>46137.25</v>
      </c>
      <c r="C7233" s="3" t="n">
        <v>46137.58590277778</v>
      </c>
      <c r="D7233" s="4">
        <f>(C7233-B7233)*24</f>
        <v/>
      </c>
      <c r="E7233" s="5">
        <f>IF(AND(HOUR(B7233)&gt;=6,HOUR(B7233)&lt;18),"Day Shift","Night Shift")</f>
        <v/>
      </c>
      <c r="F7233" s="6">
        <f>INT(B7233)</f>
        <v/>
      </c>
      <c r="G7233" s="6">
        <f>INT(C7233)</f>
        <v/>
      </c>
    </row>
    <row r="7234">
      <c r="A7234" s="2" t="inlineStr">
        <is>
          <t>LDW262;LDW265</t>
        </is>
      </c>
      <c r="B7234" s="3" t="n">
        <v>46136.44623842592</v>
      </c>
      <c r="C7234" s="3" t="n">
        <v>46136.75</v>
      </c>
      <c r="D7234" s="4">
        <f>(C7234-B7234)*24</f>
        <v/>
      </c>
      <c r="E7234" s="5">
        <f>IF(AND(HOUR(B7234)&gt;=6,HOUR(B7234)&lt;18),"Day Shift","Night Shift")</f>
        <v/>
      </c>
      <c r="F7234" s="6">
        <f>INT(B7234)</f>
        <v/>
      </c>
      <c r="G7234" s="6">
        <f>INT(C7234)</f>
        <v/>
      </c>
    </row>
    <row r="7235">
      <c r="A7235" s="7" t="inlineStr">
        <is>
          <t>LDW262;LDW265</t>
        </is>
      </c>
      <c r="B7235" s="8" t="n">
        <v>46136.75</v>
      </c>
      <c r="C7235" s="8" t="n">
        <v>46137.25</v>
      </c>
      <c r="D7235" s="9">
        <f>(C7235-B7235)*24</f>
        <v/>
      </c>
      <c r="E7235" s="10">
        <f>IF(AND(HOUR(B7235)&gt;=6,HOUR(B7235)&lt;18),"Day Shift","Night Shift")</f>
        <v/>
      </c>
      <c r="F7235" s="11">
        <f>INT(B7235)</f>
        <v/>
      </c>
      <c r="G7235" s="11">
        <f>INT(C7235)</f>
        <v/>
      </c>
    </row>
    <row r="7236">
      <c r="A7236" s="2" t="inlineStr">
        <is>
          <t>LDW262;LDW265</t>
        </is>
      </c>
      <c r="B7236" s="3" t="n">
        <v>46137.25</v>
      </c>
      <c r="C7236" s="3" t="n">
        <v>46137.75</v>
      </c>
      <c r="D7236" s="4">
        <f>(C7236-B7236)*24</f>
        <v/>
      </c>
      <c r="E7236" s="5">
        <f>IF(AND(HOUR(B7236)&gt;=6,HOUR(B7236)&lt;18),"Day Shift","Night Shift")</f>
        <v/>
      </c>
      <c r="F7236" s="6">
        <f>INT(B7236)</f>
        <v/>
      </c>
      <c r="G7236" s="6">
        <f>INT(C7236)</f>
        <v/>
      </c>
    </row>
    <row r="7237">
      <c r="A7237" s="7" t="inlineStr">
        <is>
          <t>LDW262;LDW265</t>
        </is>
      </c>
      <c r="B7237" s="8" t="n">
        <v>46137.75</v>
      </c>
      <c r="C7237" s="8" t="n">
        <v>46137.87767361111</v>
      </c>
      <c r="D7237" s="9">
        <f>(C7237-B7237)*24</f>
        <v/>
      </c>
      <c r="E7237" s="10">
        <f>IF(AND(HOUR(B7237)&gt;=6,HOUR(B7237)&lt;18),"Day Shift","Night Shift")</f>
        <v/>
      </c>
      <c r="F7237" s="11">
        <f>INT(B7237)</f>
        <v/>
      </c>
      <c r="G7237" s="11">
        <f>INT(C7237)</f>
        <v/>
      </c>
    </row>
    <row r="7238">
      <c r="A7238" s="2" t="inlineStr">
        <is>
          <t>Blast Crew DS</t>
        </is>
      </c>
      <c r="B7238" s="3" t="n">
        <v>46136.56005787037</v>
      </c>
      <c r="C7238" s="3" t="n">
        <v>46136.75</v>
      </c>
      <c r="D7238" s="4">
        <f>(C7238-B7238)*24</f>
        <v/>
      </c>
      <c r="E7238" s="5">
        <f>IF(AND(HOUR(B7238)&gt;=6,HOUR(B7238)&lt;18),"Day Shift","Night Shift")</f>
        <v/>
      </c>
      <c r="F7238" s="6">
        <f>INT(B7238)</f>
        <v/>
      </c>
      <c r="G7238" s="6">
        <f>INT(C7238)</f>
        <v/>
      </c>
    </row>
    <row r="7239">
      <c r="A7239" s="7" t="inlineStr">
        <is>
          <t>Blast Crew DS</t>
        </is>
      </c>
      <c r="B7239" s="8" t="n">
        <v>46136.75</v>
      </c>
      <c r="C7239" s="8" t="n">
        <v>46137.25</v>
      </c>
      <c r="D7239" s="9">
        <f>(C7239-B7239)*24</f>
        <v/>
      </c>
      <c r="E7239" s="10">
        <f>IF(AND(HOUR(B7239)&gt;=6,HOUR(B7239)&lt;18),"Day Shift","Night Shift")</f>
        <v/>
      </c>
      <c r="F7239" s="11">
        <f>INT(B7239)</f>
        <v/>
      </c>
      <c r="G7239" s="11">
        <f>INT(C7239)</f>
        <v/>
      </c>
    </row>
    <row r="7240">
      <c r="A7240" s="2" t="inlineStr">
        <is>
          <t>Blast Crew DS</t>
        </is>
      </c>
      <c r="B7240" s="3" t="n">
        <v>46137.25</v>
      </c>
      <c r="C7240" s="3" t="n">
        <v>46137.48883101852</v>
      </c>
      <c r="D7240" s="4">
        <f>(C7240-B7240)*24</f>
        <v/>
      </c>
      <c r="E7240" s="5">
        <f>IF(AND(HOUR(B7240)&gt;=6,HOUR(B7240)&lt;18),"Day Shift","Night Shift")</f>
        <v/>
      </c>
      <c r="F7240" s="6">
        <f>INT(B7240)</f>
        <v/>
      </c>
      <c r="G7240" s="6">
        <f>INT(C7240)</f>
        <v/>
      </c>
    </row>
    <row r="7241">
      <c r="A7241" s="2" t="inlineStr">
        <is>
          <t>EXD100</t>
        </is>
      </c>
      <c r="B7241" s="3" t="n">
        <v>46136.58797453704</v>
      </c>
      <c r="C7241" s="3" t="n">
        <v>46136.75</v>
      </c>
      <c r="D7241" s="4">
        <f>(C7241-B7241)*24</f>
        <v/>
      </c>
      <c r="E7241" s="5">
        <f>IF(AND(HOUR(B7241)&gt;=6,HOUR(B7241)&lt;18),"Day Shift","Night Shift")</f>
        <v/>
      </c>
      <c r="F7241" s="6">
        <f>INT(B7241)</f>
        <v/>
      </c>
      <c r="G7241" s="6">
        <f>INT(C7241)</f>
        <v/>
      </c>
    </row>
    <row r="7242">
      <c r="A7242" s="7" t="inlineStr">
        <is>
          <t>EXD100</t>
        </is>
      </c>
      <c r="B7242" s="8" t="n">
        <v>46136.75</v>
      </c>
      <c r="C7242" s="8" t="n">
        <v>46137.25</v>
      </c>
      <c r="D7242" s="9">
        <f>(C7242-B7242)*24</f>
        <v/>
      </c>
      <c r="E7242" s="10">
        <f>IF(AND(HOUR(B7242)&gt;=6,HOUR(B7242)&lt;18),"Day Shift","Night Shift")</f>
        <v/>
      </c>
      <c r="F7242" s="11">
        <f>INT(B7242)</f>
        <v/>
      </c>
      <c r="G7242" s="11">
        <f>INT(C7242)</f>
        <v/>
      </c>
    </row>
    <row r="7243">
      <c r="A7243" s="2" t="inlineStr">
        <is>
          <t>EXD100</t>
        </is>
      </c>
      <c r="B7243" s="3" t="n">
        <v>46137.25</v>
      </c>
      <c r="C7243" s="3" t="n">
        <v>46137.49865740741</v>
      </c>
      <c r="D7243" s="4">
        <f>(C7243-B7243)*24</f>
        <v/>
      </c>
      <c r="E7243" s="5">
        <f>IF(AND(HOUR(B7243)&gt;=6,HOUR(B7243)&lt;18),"Day Shift","Night Shift")</f>
        <v/>
      </c>
      <c r="F7243" s="6">
        <f>INT(B7243)</f>
        <v/>
      </c>
      <c r="G7243" s="6">
        <f>INT(C7243)</f>
        <v/>
      </c>
    </row>
    <row r="7244">
      <c r="A7244" s="2" t="inlineStr">
        <is>
          <t>EXD61</t>
        </is>
      </c>
      <c r="B7244" s="3" t="n">
        <v>46136.59746527778</v>
      </c>
      <c r="C7244" s="3" t="n">
        <v>46136.75</v>
      </c>
      <c r="D7244" s="4">
        <f>(C7244-B7244)*24</f>
        <v/>
      </c>
      <c r="E7244" s="5">
        <f>IF(AND(HOUR(B7244)&gt;=6,HOUR(B7244)&lt;18),"Day Shift","Night Shift")</f>
        <v/>
      </c>
      <c r="F7244" s="6">
        <f>INT(B7244)</f>
        <v/>
      </c>
      <c r="G7244" s="6">
        <f>INT(C7244)</f>
        <v/>
      </c>
    </row>
    <row r="7245">
      <c r="A7245" s="7" t="inlineStr">
        <is>
          <t>EXD61</t>
        </is>
      </c>
      <c r="B7245" s="8" t="n">
        <v>46136.75</v>
      </c>
      <c r="C7245" s="8" t="n">
        <v>46136.9638425926</v>
      </c>
      <c r="D7245" s="9">
        <f>(C7245-B7245)*24</f>
        <v/>
      </c>
      <c r="E7245" s="10">
        <f>IF(AND(HOUR(B7245)&gt;=6,HOUR(B7245)&lt;18),"Day Shift","Night Shift")</f>
        <v/>
      </c>
      <c r="F7245" s="11">
        <f>INT(B7245)</f>
        <v/>
      </c>
      <c r="G7245" s="11">
        <f>INT(C7245)</f>
        <v/>
      </c>
    </row>
    <row r="7246">
      <c r="A7246" s="2" t="inlineStr">
        <is>
          <t>SHE36</t>
        </is>
      </c>
      <c r="B7246" s="3" t="n">
        <v>46136.61121527778</v>
      </c>
      <c r="C7246" s="3" t="n">
        <v>46136.75</v>
      </c>
      <c r="D7246" s="4">
        <f>(C7246-B7246)*24</f>
        <v/>
      </c>
      <c r="E7246" s="5">
        <f>IF(AND(HOUR(B7246)&gt;=6,HOUR(B7246)&lt;18),"Day Shift","Night Shift")</f>
        <v/>
      </c>
      <c r="F7246" s="6">
        <f>INT(B7246)</f>
        <v/>
      </c>
      <c r="G7246" s="6">
        <f>INT(C7246)</f>
        <v/>
      </c>
    </row>
    <row r="7247">
      <c r="A7247" s="7" t="inlineStr">
        <is>
          <t>SHE36</t>
        </is>
      </c>
      <c r="B7247" s="8" t="n">
        <v>46136.75</v>
      </c>
      <c r="C7247" s="8" t="n">
        <v>46137.25</v>
      </c>
      <c r="D7247" s="9">
        <f>(C7247-B7247)*24</f>
        <v/>
      </c>
      <c r="E7247" s="10">
        <f>IF(AND(HOUR(B7247)&gt;=6,HOUR(B7247)&lt;18),"Day Shift","Night Shift")</f>
        <v/>
      </c>
      <c r="F7247" s="11">
        <f>INT(B7247)</f>
        <v/>
      </c>
      <c r="G7247" s="11">
        <f>INT(C7247)</f>
        <v/>
      </c>
    </row>
    <row r="7248">
      <c r="A7248" s="2" t="inlineStr">
        <is>
          <t>SHE36</t>
        </is>
      </c>
      <c r="B7248" s="3" t="n">
        <v>46137.25</v>
      </c>
      <c r="C7248" s="3" t="n">
        <v>46137.29905092593</v>
      </c>
      <c r="D7248" s="4">
        <f>(C7248-B7248)*24</f>
        <v/>
      </c>
      <c r="E7248" s="5">
        <f>IF(AND(HOUR(B7248)&gt;=6,HOUR(B7248)&lt;18),"Day Shift","Night Shift")</f>
        <v/>
      </c>
      <c r="F7248" s="6">
        <f>INT(B7248)</f>
        <v/>
      </c>
      <c r="G7248" s="6">
        <f>INT(C7248)</f>
        <v/>
      </c>
    </row>
    <row r="7249">
      <c r="A7249" s="2" t="inlineStr">
        <is>
          <t>EXD51</t>
        </is>
      </c>
      <c r="B7249" s="3" t="n">
        <v>46136.63006944444</v>
      </c>
      <c r="C7249" s="3" t="n">
        <v>46136.75</v>
      </c>
      <c r="D7249" s="4">
        <f>(C7249-B7249)*24</f>
        <v/>
      </c>
      <c r="E7249" s="5">
        <f>IF(AND(HOUR(B7249)&gt;=6,HOUR(B7249)&lt;18),"Day Shift","Night Shift")</f>
        <v/>
      </c>
      <c r="F7249" s="6">
        <f>INT(B7249)</f>
        <v/>
      </c>
      <c r="G7249" s="6">
        <f>INT(C7249)</f>
        <v/>
      </c>
    </row>
    <row r="7250">
      <c r="A7250" s="7" t="inlineStr">
        <is>
          <t>EXD51</t>
        </is>
      </c>
      <c r="B7250" s="8" t="n">
        <v>46136.75</v>
      </c>
      <c r="C7250" s="8" t="n">
        <v>46137.25</v>
      </c>
      <c r="D7250" s="9">
        <f>(C7250-B7250)*24</f>
        <v/>
      </c>
      <c r="E7250" s="10">
        <f>IF(AND(HOUR(B7250)&gt;=6,HOUR(B7250)&lt;18),"Day Shift","Night Shift")</f>
        <v/>
      </c>
      <c r="F7250" s="11">
        <f>INT(B7250)</f>
        <v/>
      </c>
      <c r="G7250" s="11">
        <f>INT(C7250)</f>
        <v/>
      </c>
    </row>
    <row r="7251">
      <c r="A7251" s="2" t="inlineStr">
        <is>
          <t>EXD51</t>
        </is>
      </c>
      <c r="B7251" s="3" t="n">
        <v>46137.25</v>
      </c>
      <c r="C7251" s="3" t="n">
        <v>46137.75</v>
      </c>
      <c r="D7251" s="4">
        <f>(C7251-B7251)*24</f>
        <v/>
      </c>
      <c r="E7251" s="5">
        <f>IF(AND(HOUR(B7251)&gt;=6,HOUR(B7251)&lt;18),"Day Shift","Night Shift")</f>
        <v/>
      </c>
      <c r="F7251" s="6">
        <f>INT(B7251)</f>
        <v/>
      </c>
      <c r="G7251" s="6">
        <f>INT(C7251)</f>
        <v/>
      </c>
    </row>
    <row r="7252">
      <c r="A7252" s="7" t="inlineStr">
        <is>
          <t>EXD51</t>
        </is>
      </c>
      <c r="B7252" s="8" t="n">
        <v>46137.75</v>
      </c>
      <c r="C7252" s="8" t="n">
        <v>46137.75809027778</v>
      </c>
      <c r="D7252" s="9">
        <f>(C7252-B7252)*24</f>
        <v/>
      </c>
      <c r="E7252" s="10">
        <f>IF(AND(HOUR(B7252)&gt;=6,HOUR(B7252)&lt;18),"Day Shift","Night Shift")</f>
        <v/>
      </c>
      <c r="F7252" s="11">
        <f>INT(B7252)</f>
        <v/>
      </c>
      <c r="G7252" s="11">
        <f>INT(C7252)</f>
        <v/>
      </c>
    </row>
    <row r="7253">
      <c r="A7253" s="7" t="inlineStr">
        <is>
          <t>EXD98</t>
        </is>
      </c>
      <c r="B7253" s="8" t="n">
        <v>46136.76570601852</v>
      </c>
      <c r="C7253" s="8" t="n">
        <v>46137.25</v>
      </c>
      <c r="D7253" s="9">
        <f>(C7253-B7253)*24</f>
        <v/>
      </c>
      <c r="E7253" s="10">
        <f>IF(AND(HOUR(B7253)&gt;=6,HOUR(B7253)&lt;18),"Day Shift","Night Shift")</f>
        <v/>
      </c>
      <c r="F7253" s="11">
        <f>INT(B7253)</f>
        <v/>
      </c>
      <c r="G7253" s="11">
        <f>INT(C7253)</f>
        <v/>
      </c>
    </row>
    <row r="7254">
      <c r="A7254" s="2" t="inlineStr">
        <is>
          <t>EXD98</t>
        </is>
      </c>
      <c r="B7254" s="3" t="n">
        <v>46137.25</v>
      </c>
      <c r="C7254" s="3" t="n">
        <v>46137.55188657407</v>
      </c>
      <c r="D7254" s="4">
        <f>(C7254-B7254)*24</f>
        <v/>
      </c>
      <c r="E7254" s="5">
        <f>IF(AND(HOUR(B7254)&gt;=6,HOUR(B7254)&lt;18),"Day Shift","Night Shift")</f>
        <v/>
      </c>
      <c r="F7254" s="6">
        <f>INT(B7254)</f>
        <v/>
      </c>
      <c r="G7254" s="6">
        <f>INT(C7254)</f>
        <v/>
      </c>
    </row>
    <row r="7255">
      <c r="A7255" s="7" t="inlineStr">
        <is>
          <t>EDD175;EDD1932;EDD2134;EDD2541;EDD812;Sprint 1</t>
        </is>
      </c>
      <c r="B7255" s="8" t="n">
        <v>46136.78724537037</v>
      </c>
      <c r="C7255" s="8" t="n">
        <v>46137.25</v>
      </c>
      <c r="D7255" s="9">
        <f>(C7255-B7255)*24</f>
        <v/>
      </c>
      <c r="E7255" s="10">
        <f>IF(AND(HOUR(B7255)&gt;=6,HOUR(B7255)&lt;18),"Day Shift","Night Shift")</f>
        <v/>
      </c>
      <c r="F7255" s="11">
        <f>INT(B7255)</f>
        <v/>
      </c>
      <c r="G7255" s="11">
        <f>INT(C7255)</f>
        <v/>
      </c>
    </row>
    <row r="7256">
      <c r="A7256" s="2" t="inlineStr">
        <is>
          <t>EDD175;EDD1932;EDD2134;EDD2541;EDD812;Sprint 1</t>
        </is>
      </c>
      <c r="B7256" s="3" t="n">
        <v>46137.25</v>
      </c>
      <c r="C7256" s="3" t="n">
        <v>46137.27378472222</v>
      </c>
      <c r="D7256" s="4">
        <f>(C7256-B7256)*24</f>
        <v/>
      </c>
      <c r="E7256" s="5">
        <f>IF(AND(HOUR(B7256)&gt;=6,HOUR(B7256)&lt;18),"Day Shift","Night Shift")</f>
        <v/>
      </c>
      <c r="F7256" s="6">
        <f>INT(B7256)</f>
        <v/>
      </c>
      <c r="G7256" s="6">
        <f>INT(C7256)</f>
        <v/>
      </c>
    </row>
    <row r="7257">
      <c r="A7257" s="7" t="inlineStr">
        <is>
          <t>EXD407</t>
        </is>
      </c>
      <c r="B7257" s="8" t="n">
        <v>46136.98267361111</v>
      </c>
      <c r="C7257" s="8" t="n">
        <v>46137.25</v>
      </c>
      <c r="D7257" s="9">
        <f>(C7257-B7257)*24</f>
        <v/>
      </c>
      <c r="E7257" s="10">
        <f>IF(AND(HOUR(B7257)&gt;=6,HOUR(B7257)&lt;18),"Day Shift","Night Shift")</f>
        <v/>
      </c>
      <c r="F7257" s="11">
        <f>INT(B7257)</f>
        <v/>
      </c>
      <c r="G7257" s="11">
        <f>INT(C7257)</f>
        <v/>
      </c>
    </row>
    <row r="7258">
      <c r="A7258" s="2" t="inlineStr">
        <is>
          <t>EXD407</t>
        </is>
      </c>
      <c r="B7258" s="3" t="n">
        <v>46137.25</v>
      </c>
      <c r="C7258" s="3" t="n">
        <v>46137.75</v>
      </c>
      <c r="D7258" s="4">
        <f>(C7258-B7258)*24</f>
        <v/>
      </c>
      <c r="E7258" s="5">
        <f>IF(AND(HOUR(B7258)&gt;=6,HOUR(B7258)&lt;18),"Day Shift","Night Shift")</f>
        <v/>
      </c>
      <c r="F7258" s="6">
        <f>INT(B7258)</f>
        <v/>
      </c>
      <c r="G7258" s="6">
        <f>INT(C7258)</f>
        <v/>
      </c>
    </row>
    <row r="7259">
      <c r="A7259" s="7" t="inlineStr">
        <is>
          <t>EXD407</t>
        </is>
      </c>
      <c r="B7259" s="8" t="n">
        <v>46137.75</v>
      </c>
      <c r="C7259" s="8" t="n">
        <v>46138.11454861111</v>
      </c>
      <c r="D7259" s="9">
        <f>(C7259-B7259)*24</f>
        <v/>
      </c>
      <c r="E7259" s="10">
        <f>IF(AND(HOUR(B7259)&gt;=6,HOUR(B7259)&lt;18),"Day Shift","Night Shift")</f>
        <v/>
      </c>
      <c r="F7259" s="11">
        <f>INT(B7259)</f>
        <v/>
      </c>
      <c r="G7259" s="11">
        <f>INT(C7259)</f>
        <v/>
      </c>
    </row>
    <row r="7260">
      <c r="A7260" s="7" t="inlineStr">
        <is>
          <t>EXD61</t>
        </is>
      </c>
      <c r="B7260" s="8" t="n">
        <v>46137.02046296297</v>
      </c>
      <c r="C7260" s="8" t="n">
        <v>46137.25</v>
      </c>
      <c r="D7260" s="9">
        <f>(C7260-B7260)*24</f>
        <v/>
      </c>
      <c r="E7260" s="10">
        <f>IF(AND(HOUR(B7260)&gt;=6,HOUR(B7260)&lt;18),"Day Shift","Night Shift")</f>
        <v/>
      </c>
      <c r="F7260" s="11">
        <f>INT(B7260)</f>
        <v/>
      </c>
      <c r="G7260" s="11">
        <f>INT(C7260)</f>
        <v/>
      </c>
    </row>
    <row r="7261">
      <c r="A7261" s="2" t="inlineStr">
        <is>
          <t>EXD61</t>
        </is>
      </c>
      <c r="B7261" s="3" t="n">
        <v>46137.25</v>
      </c>
      <c r="C7261" s="3" t="n">
        <v>46137.75</v>
      </c>
      <c r="D7261" s="4">
        <f>(C7261-B7261)*24</f>
        <v/>
      </c>
      <c r="E7261" s="5">
        <f>IF(AND(HOUR(B7261)&gt;=6,HOUR(B7261)&lt;18),"Day Shift","Night Shift")</f>
        <v/>
      </c>
      <c r="F7261" s="6">
        <f>INT(B7261)</f>
        <v/>
      </c>
      <c r="G7261" s="6">
        <f>INT(C7261)</f>
        <v/>
      </c>
    </row>
    <row r="7262">
      <c r="A7262" s="7" t="inlineStr">
        <is>
          <t>EXD61</t>
        </is>
      </c>
      <c r="B7262" s="8" t="n">
        <v>46137.75</v>
      </c>
      <c r="C7262" s="8" t="n">
        <v>46137.90518518518</v>
      </c>
      <c r="D7262" s="9">
        <f>(C7262-B7262)*24</f>
        <v/>
      </c>
      <c r="E7262" s="10">
        <f>IF(AND(HOUR(B7262)&gt;=6,HOUR(B7262)&lt;18),"Day Shift","Night Shift")</f>
        <v/>
      </c>
      <c r="F7262" s="11">
        <f>INT(B7262)</f>
        <v/>
      </c>
      <c r="G7262" s="11">
        <f>INT(C7262)</f>
        <v/>
      </c>
    </row>
    <row r="7263">
      <c r="A7263" s="7" t="inlineStr">
        <is>
          <t>DRE12</t>
        </is>
      </c>
      <c r="B7263" s="8" t="n">
        <v>46137.18506944444</v>
      </c>
      <c r="C7263" s="8" t="n">
        <v>46137.25</v>
      </c>
      <c r="D7263" s="9">
        <f>(C7263-B7263)*24</f>
        <v/>
      </c>
      <c r="E7263" s="10">
        <f>IF(AND(HOUR(B7263)&gt;=6,HOUR(B7263)&lt;18),"Day Shift","Night Shift")</f>
        <v/>
      </c>
      <c r="F7263" s="11">
        <f>INT(B7263)</f>
        <v/>
      </c>
      <c r="G7263" s="11">
        <f>INT(C7263)</f>
        <v/>
      </c>
    </row>
    <row r="7264">
      <c r="A7264" s="2" t="inlineStr">
        <is>
          <t>DRE12</t>
        </is>
      </c>
      <c r="B7264" s="3" t="n">
        <v>46137.25</v>
      </c>
      <c r="C7264" s="3" t="n">
        <v>46137.75</v>
      </c>
      <c r="D7264" s="4">
        <f>(C7264-B7264)*24</f>
        <v/>
      </c>
      <c r="E7264" s="5">
        <f>IF(AND(HOUR(B7264)&gt;=6,HOUR(B7264)&lt;18),"Day Shift","Night Shift")</f>
        <v/>
      </c>
      <c r="F7264" s="6">
        <f>INT(B7264)</f>
        <v/>
      </c>
      <c r="G7264" s="6">
        <f>INT(C7264)</f>
        <v/>
      </c>
    </row>
    <row r="7265">
      <c r="A7265" s="7" t="inlineStr">
        <is>
          <t>DRE12</t>
        </is>
      </c>
      <c r="B7265" s="8" t="n">
        <v>46137.75</v>
      </c>
      <c r="C7265" s="8" t="n">
        <v>46138.25</v>
      </c>
      <c r="D7265" s="9">
        <f>(C7265-B7265)*24</f>
        <v/>
      </c>
      <c r="E7265" s="10">
        <f>IF(AND(HOUR(B7265)&gt;=6,HOUR(B7265)&lt;18),"Day Shift","Night Shift")</f>
        <v/>
      </c>
      <c r="F7265" s="11">
        <f>INT(B7265)</f>
        <v/>
      </c>
      <c r="G7265" s="11">
        <f>INT(C7265)</f>
        <v/>
      </c>
    </row>
    <row r="7266">
      <c r="A7266" s="2" t="inlineStr">
        <is>
          <t>DRE12</t>
        </is>
      </c>
      <c r="B7266" s="3" t="n">
        <v>46138.25</v>
      </c>
      <c r="C7266" s="3" t="n">
        <v>46138.75</v>
      </c>
      <c r="D7266" s="4">
        <f>(C7266-B7266)*24</f>
        <v/>
      </c>
      <c r="E7266" s="5">
        <f>IF(AND(HOUR(B7266)&gt;=6,HOUR(B7266)&lt;18),"Day Shift","Night Shift")</f>
        <v/>
      </c>
      <c r="F7266" s="6">
        <f>INT(B7266)</f>
        <v/>
      </c>
      <c r="G7266" s="6">
        <f>INT(C7266)</f>
        <v/>
      </c>
    </row>
    <row r="7267">
      <c r="A7267" s="7" t="inlineStr">
        <is>
          <t>DRE12</t>
        </is>
      </c>
      <c r="B7267" s="8" t="n">
        <v>46138.75</v>
      </c>
      <c r="C7267" s="8" t="n">
        <v>46139.25</v>
      </c>
      <c r="D7267" s="9">
        <f>(C7267-B7267)*24</f>
        <v/>
      </c>
      <c r="E7267" s="10">
        <f>IF(AND(HOUR(B7267)&gt;=6,HOUR(B7267)&lt;18),"Day Shift","Night Shift")</f>
        <v/>
      </c>
      <c r="F7267" s="11">
        <f>INT(B7267)</f>
        <v/>
      </c>
      <c r="G7267" s="11">
        <f>INT(C7267)</f>
        <v/>
      </c>
    </row>
    <row r="7268">
      <c r="A7268" s="2" t="inlineStr">
        <is>
          <t>DRE12</t>
        </is>
      </c>
      <c r="B7268" s="3" t="n">
        <v>46139.25</v>
      </c>
      <c r="C7268" s="3" t="n">
        <v>46139.75</v>
      </c>
      <c r="D7268" s="4">
        <f>(C7268-B7268)*24</f>
        <v/>
      </c>
      <c r="E7268" s="5">
        <f>IF(AND(HOUR(B7268)&gt;=6,HOUR(B7268)&lt;18),"Day Shift","Night Shift")</f>
        <v/>
      </c>
      <c r="F7268" s="6">
        <f>INT(B7268)</f>
        <v/>
      </c>
      <c r="G7268" s="6">
        <f>INT(C7268)</f>
        <v/>
      </c>
    </row>
    <row r="7269">
      <c r="A7269" s="7" t="inlineStr">
        <is>
          <t>DRE12</t>
        </is>
      </c>
      <c r="B7269" s="8" t="n">
        <v>46139.75</v>
      </c>
      <c r="C7269" s="8" t="n">
        <v>46140.25</v>
      </c>
      <c r="D7269" s="9">
        <f>(C7269-B7269)*24</f>
        <v/>
      </c>
      <c r="E7269" s="10">
        <f>IF(AND(HOUR(B7269)&gt;=6,HOUR(B7269)&lt;18),"Day Shift","Night Shift")</f>
        <v/>
      </c>
      <c r="F7269" s="11">
        <f>INT(B7269)</f>
        <v/>
      </c>
      <c r="G7269" s="11">
        <f>INT(C7269)</f>
        <v/>
      </c>
    </row>
    <row r="7270">
      <c r="A7270" s="2" t="inlineStr">
        <is>
          <t>DRE12</t>
        </is>
      </c>
      <c r="B7270" s="3" t="n">
        <v>46140.25</v>
      </c>
      <c r="C7270" s="3" t="n">
        <v>46140.75</v>
      </c>
      <c r="D7270" s="4">
        <f>(C7270-B7270)*24</f>
        <v/>
      </c>
      <c r="E7270" s="5">
        <f>IF(AND(HOUR(B7270)&gt;=6,HOUR(B7270)&lt;18),"Day Shift","Night Shift")</f>
        <v/>
      </c>
      <c r="F7270" s="6">
        <f>INT(B7270)</f>
        <v/>
      </c>
      <c r="G7270" s="6">
        <f>INT(C7270)</f>
        <v/>
      </c>
    </row>
    <row r="7271">
      <c r="A7271" s="7" t="inlineStr">
        <is>
          <t>DRE12</t>
        </is>
      </c>
      <c r="B7271" s="8" t="n">
        <v>46140.75</v>
      </c>
      <c r="C7271" s="8" t="n">
        <v>46141.25</v>
      </c>
      <c r="D7271" s="9">
        <f>(C7271-B7271)*24</f>
        <v/>
      </c>
      <c r="E7271" s="10">
        <f>IF(AND(HOUR(B7271)&gt;=6,HOUR(B7271)&lt;18),"Day Shift","Night Shift")</f>
        <v/>
      </c>
      <c r="F7271" s="11">
        <f>INT(B7271)</f>
        <v/>
      </c>
      <c r="G7271" s="11">
        <f>INT(C7271)</f>
        <v/>
      </c>
    </row>
    <row r="7272">
      <c r="A7272" s="2" t="inlineStr">
        <is>
          <t>DRE12</t>
        </is>
      </c>
      <c r="B7272" s="3" t="n">
        <v>46141.25</v>
      </c>
      <c r="C7272" s="3" t="n">
        <v>46141.2565625</v>
      </c>
      <c r="D7272" s="4">
        <f>(C7272-B7272)*24</f>
        <v/>
      </c>
      <c r="E7272" s="5">
        <f>IF(AND(HOUR(B7272)&gt;=6,HOUR(B7272)&lt;18),"Day Shift","Night Shift")</f>
        <v/>
      </c>
      <c r="F7272" s="6">
        <f>INT(B7272)</f>
        <v/>
      </c>
      <c r="G7272" s="6">
        <f>INT(C7272)</f>
        <v/>
      </c>
    </row>
    <row r="7273">
      <c r="A7273" s="2" t="inlineStr">
        <is>
          <t>EDD175;EDD1932;EDD2541;EDD812;Sprint 1;EDD2134</t>
        </is>
      </c>
      <c r="B7273" s="3" t="n">
        <v>46137.27378472222</v>
      </c>
      <c r="C7273" s="3" t="n">
        <v>46137.71767361111</v>
      </c>
      <c r="D7273" s="4">
        <f>(C7273-B7273)*24</f>
        <v/>
      </c>
      <c r="E7273" s="5">
        <f>IF(AND(HOUR(B7273)&gt;=6,HOUR(B7273)&lt;18),"Day Shift","Night Shift")</f>
        <v/>
      </c>
      <c r="F7273" s="6">
        <f>INT(B7273)</f>
        <v/>
      </c>
      <c r="G7273" s="6">
        <f>INT(C7273)</f>
        <v/>
      </c>
    </row>
    <row r="7274">
      <c r="A7274" s="2" t="inlineStr">
        <is>
          <t>SHE36</t>
        </is>
      </c>
      <c r="B7274" s="3" t="n">
        <v>46137.29905092593</v>
      </c>
      <c r="C7274" s="3" t="n">
        <v>46137.75</v>
      </c>
      <c r="D7274" s="4">
        <f>(C7274-B7274)*24</f>
        <v/>
      </c>
      <c r="E7274" s="5">
        <f>IF(AND(HOUR(B7274)&gt;=6,HOUR(B7274)&lt;18),"Day Shift","Night Shift")</f>
        <v/>
      </c>
      <c r="F7274" s="6">
        <f>INT(B7274)</f>
        <v/>
      </c>
      <c r="G7274" s="6">
        <f>INT(C7274)</f>
        <v/>
      </c>
    </row>
    <row r="7275">
      <c r="A7275" s="7" t="inlineStr">
        <is>
          <t>SHE36</t>
        </is>
      </c>
      <c r="B7275" s="8" t="n">
        <v>46137.75</v>
      </c>
      <c r="C7275" s="8" t="n">
        <v>46138.25</v>
      </c>
      <c r="D7275" s="9">
        <f>(C7275-B7275)*24</f>
        <v/>
      </c>
      <c r="E7275" s="10">
        <f>IF(AND(HOUR(B7275)&gt;=6,HOUR(B7275)&lt;18),"Day Shift","Night Shift")</f>
        <v/>
      </c>
      <c r="F7275" s="11">
        <f>INT(B7275)</f>
        <v/>
      </c>
      <c r="G7275" s="11">
        <f>INT(C7275)</f>
        <v/>
      </c>
    </row>
    <row r="7276">
      <c r="A7276" s="2" t="inlineStr">
        <is>
          <t>SHE36</t>
        </is>
      </c>
      <c r="B7276" s="3" t="n">
        <v>46138.25</v>
      </c>
      <c r="C7276" s="3" t="n">
        <v>46138.51056712963</v>
      </c>
      <c r="D7276" s="4">
        <f>(C7276-B7276)*24</f>
        <v/>
      </c>
      <c r="E7276" s="5">
        <f>IF(AND(HOUR(B7276)&gt;=6,HOUR(B7276)&lt;18),"Day Shift","Night Shift")</f>
        <v/>
      </c>
      <c r="F7276" s="6">
        <f>INT(B7276)</f>
        <v/>
      </c>
      <c r="G7276" s="6">
        <f>INT(C7276)</f>
        <v/>
      </c>
    </row>
    <row r="7277">
      <c r="A7277" s="2" t="inlineStr">
        <is>
          <t>EXD408</t>
        </is>
      </c>
      <c r="B7277" s="3" t="n">
        <v>46137.32399305556</v>
      </c>
      <c r="C7277" s="3" t="n">
        <v>46137.75</v>
      </c>
      <c r="D7277" s="4">
        <f>(C7277-B7277)*24</f>
        <v/>
      </c>
      <c r="E7277" s="5">
        <f>IF(AND(HOUR(B7277)&gt;=6,HOUR(B7277)&lt;18),"Day Shift","Night Shift")</f>
        <v/>
      </c>
      <c r="F7277" s="6">
        <f>INT(B7277)</f>
        <v/>
      </c>
      <c r="G7277" s="6">
        <f>INT(C7277)</f>
        <v/>
      </c>
    </row>
    <row r="7278">
      <c r="A7278" s="7" t="inlineStr">
        <is>
          <t>EXD408</t>
        </is>
      </c>
      <c r="B7278" s="8" t="n">
        <v>46137.75</v>
      </c>
      <c r="C7278" s="8" t="n">
        <v>46138.17167824074</v>
      </c>
      <c r="D7278" s="9">
        <f>(C7278-B7278)*24</f>
        <v/>
      </c>
      <c r="E7278" s="10">
        <f>IF(AND(HOUR(B7278)&gt;=6,HOUR(B7278)&lt;18),"Day Shift","Night Shift")</f>
        <v/>
      </c>
      <c r="F7278" s="11">
        <f>INT(B7278)</f>
        <v/>
      </c>
      <c r="G7278" s="11">
        <f>INT(C7278)</f>
        <v/>
      </c>
    </row>
    <row r="7279">
      <c r="A7279" s="2" t="inlineStr">
        <is>
          <t>EXD409</t>
        </is>
      </c>
      <c r="B7279" s="3" t="n">
        <v>46137.47138888889</v>
      </c>
      <c r="C7279" s="3" t="n">
        <v>46137.75</v>
      </c>
      <c r="D7279" s="4">
        <f>(C7279-B7279)*24</f>
        <v/>
      </c>
      <c r="E7279" s="5">
        <f>IF(AND(HOUR(B7279)&gt;=6,HOUR(B7279)&lt;18),"Day Shift","Night Shift")</f>
        <v/>
      </c>
      <c r="F7279" s="6">
        <f>INT(B7279)</f>
        <v/>
      </c>
      <c r="G7279" s="6">
        <f>INT(C7279)</f>
        <v/>
      </c>
    </row>
    <row r="7280">
      <c r="A7280" s="7" t="inlineStr">
        <is>
          <t>EXD409</t>
        </is>
      </c>
      <c r="B7280" s="8" t="n">
        <v>46137.75</v>
      </c>
      <c r="C7280" s="8" t="n">
        <v>46138.25</v>
      </c>
      <c r="D7280" s="9">
        <f>(C7280-B7280)*24</f>
        <v/>
      </c>
      <c r="E7280" s="10">
        <f>IF(AND(HOUR(B7280)&gt;=6,HOUR(B7280)&lt;18),"Day Shift","Night Shift")</f>
        <v/>
      </c>
      <c r="F7280" s="11">
        <f>INT(B7280)</f>
        <v/>
      </c>
      <c r="G7280" s="11">
        <f>INT(C7280)</f>
        <v/>
      </c>
    </row>
    <row r="7281">
      <c r="A7281" s="2" t="inlineStr">
        <is>
          <t>EXD409</t>
        </is>
      </c>
      <c r="B7281" s="3" t="n">
        <v>46138.25</v>
      </c>
      <c r="C7281" s="3" t="n">
        <v>46138.75</v>
      </c>
      <c r="D7281" s="4">
        <f>(C7281-B7281)*24</f>
        <v/>
      </c>
      <c r="E7281" s="5">
        <f>IF(AND(HOUR(B7281)&gt;=6,HOUR(B7281)&lt;18),"Day Shift","Night Shift")</f>
        <v/>
      </c>
      <c r="F7281" s="6">
        <f>INT(B7281)</f>
        <v/>
      </c>
      <c r="G7281" s="6">
        <f>INT(C7281)</f>
        <v/>
      </c>
    </row>
    <row r="7282">
      <c r="A7282" s="7" t="inlineStr">
        <is>
          <t>EXD409</t>
        </is>
      </c>
      <c r="B7282" s="8" t="n">
        <v>46138.75</v>
      </c>
      <c r="C7282" s="8" t="n">
        <v>46139.25</v>
      </c>
      <c r="D7282" s="9">
        <f>(C7282-B7282)*24</f>
        <v/>
      </c>
      <c r="E7282" s="10">
        <f>IF(AND(HOUR(B7282)&gt;=6,HOUR(B7282)&lt;18),"Day Shift","Night Shift")</f>
        <v/>
      </c>
      <c r="F7282" s="11">
        <f>INT(B7282)</f>
        <v/>
      </c>
      <c r="G7282" s="11">
        <f>INT(C7282)</f>
        <v/>
      </c>
    </row>
    <row r="7283">
      <c r="A7283" s="2" t="inlineStr">
        <is>
          <t>EXD409</t>
        </is>
      </c>
      <c r="B7283" s="3" t="n">
        <v>46139.25</v>
      </c>
      <c r="C7283" s="3" t="n">
        <v>46139.75</v>
      </c>
      <c r="D7283" s="4">
        <f>(C7283-B7283)*24</f>
        <v/>
      </c>
      <c r="E7283" s="5">
        <f>IF(AND(HOUR(B7283)&gt;=6,HOUR(B7283)&lt;18),"Day Shift","Night Shift")</f>
        <v/>
      </c>
      <c r="F7283" s="6">
        <f>INT(B7283)</f>
        <v/>
      </c>
      <c r="G7283" s="6">
        <f>INT(C7283)</f>
        <v/>
      </c>
    </row>
    <row r="7284">
      <c r="A7284" s="7" t="inlineStr">
        <is>
          <t>EXD409</t>
        </is>
      </c>
      <c r="B7284" s="8" t="n">
        <v>46139.75</v>
      </c>
      <c r="C7284" s="8" t="n">
        <v>46139.834375</v>
      </c>
      <c r="D7284" s="9">
        <f>(C7284-B7284)*24</f>
        <v/>
      </c>
      <c r="E7284" s="10">
        <f>IF(AND(HOUR(B7284)&gt;=6,HOUR(B7284)&lt;18),"Day Shift","Night Shift")</f>
        <v/>
      </c>
      <c r="F7284" s="11">
        <f>INT(B7284)</f>
        <v/>
      </c>
      <c r="G7284" s="11">
        <f>INT(C7284)</f>
        <v/>
      </c>
    </row>
    <row r="7285">
      <c r="A7285" s="2" t="inlineStr">
        <is>
          <t>Blast Crew DS</t>
        </is>
      </c>
      <c r="B7285" s="3" t="n">
        <v>46137.48883101852</v>
      </c>
      <c r="C7285" s="3" t="n">
        <v>46137.75</v>
      </c>
      <c r="D7285" s="4">
        <f>(C7285-B7285)*24</f>
        <v/>
      </c>
      <c r="E7285" s="5">
        <f>IF(AND(HOUR(B7285)&gt;=6,HOUR(B7285)&lt;18),"Day Shift","Night Shift")</f>
        <v/>
      </c>
      <c r="F7285" s="6">
        <f>INT(B7285)</f>
        <v/>
      </c>
      <c r="G7285" s="6">
        <f>INT(C7285)</f>
        <v/>
      </c>
    </row>
    <row r="7286">
      <c r="A7286" s="7" t="inlineStr">
        <is>
          <t>Blast Crew DS</t>
        </is>
      </c>
      <c r="B7286" s="8" t="n">
        <v>46137.75</v>
      </c>
      <c r="C7286" s="8" t="n">
        <v>46138.25</v>
      </c>
      <c r="D7286" s="9">
        <f>(C7286-B7286)*24</f>
        <v/>
      </c>
      <c r="E7286" s="10">
        <f>IF(AND(HOUR(B7286)&gt;=6,HOUR(B7286)&lt;18),"Day Shift","Night Shift")</f>
        <v/>
      </c>
      <c r="F7286" s="11">
        <f>INT(B7286)</f>
        <v/>
      </c>
      <c r="G7286" s="11">
        <f>INT(C7286)</f>
        <v/>
      </c>
    </row>
    <row r="7287">
      <c r="A7287" s="2" t="inlineStr">
        <is>
          <t>Blast Crew DS</t>
        </is>
      </c>
      <c r="B7287" s="3" t="n">
        <v>46138.25</v>
      </c>
      <c r="C7287" s="3" t="n">
        <v>46138.31261574074</v>
      </c>
      <c r="D7287" s="4">
        <f>(C7287-B7287)*24</f>
        <v/>
      </c>
      <c r="E7287" s="5">
        <f>IF(AND(HOUR(B7287)&gt;=6,HOUR(B7287)&lt;18),"Day Shift","Night Shift")</f>
        <v/>
      </c>
      <c r="F7287" s="6">
        <f>INT(B7287)</f>
        <v/>
      </c>
      <c r="G7287" s="6">
        <f>INT(C7287)</f>
        <v/>
      </c>
    </row>
    <row r="7288">
      <c r="A7288" s="2" t="inlineStr">
        <is>
          <t>EXD100</t>
        </is>
      </c>
      <c r="B7288" s="3" t="n">
        <v>46137.49865740741</v>
      </c>
      <c r="C7288" s="3" t="n">
        <v>46137.75</v>
      </c>
      <c r="D7288" s="4">
        <f>(C7288-B7288)*24</f>
        <v/>
      </c>
      <c r="E7288" s="5">
        <f>IF(AND(HOUR(B7288)&gt;=6,HOUR(B7288)&lt;18),"Day Shift","Night Shift")</f>
        <v/>
      </c>
      <c r="F7288" s="6">
        <f>INT(B7288)</f>
        <v/>
      </c>
      <c r="G7288" s="6">
        <f>INT(C7288)</f>
        <v/>
      </c>
    </row>
    <row r="7289">
      <c r="A7289" s="7" t="inlineStr">
        <is>
          <t>EXD100</t>
        </is>
      </c>
      <c r="B7289" s="8" t="n">
        <v>46137.75</v>
      </c>
      <c r="C7289" s="8" t="n">
        <v>46138.25</v>
      </c>
      <c r="D7289" s="9">
        <f>(C7289-B7289)*24</f>
        <v/>
      </c>
      <c r="E7289" s="10">
        <f>IF(AND(HOUR(B7289)&gt;=6,HOUR(B7289)&lt;18),"Day Shift","Night Shift")</f>
        <v/>
      </c>
      <c r="F7289" s="11">
        <f>INT(B7289)</f>
        <v/>
      </c>
      <c r="G7289" s="11">
        <f>INT(C7289)</f>
        <v/>
      </c>
    </row>
    <row r="7290">
      <c r="A7290" s="2" t="inlineStr">
        <is>
          <t>EXD100</t>
        </is>
      </c>
      <c r="B7290" s="3" t="n">
        <v>46138.25</v>
      </c>
      <c r="C7290" s="3" t="n">
        <v>46138.515</v>
      </c>
      <c r="D7290" s="4">
        <f>(C7290-B7290)*24</f>
        <v/>
      </c>
      <c r="E7290" s="5">
        <f>IF(AND(HOUR(B7290)&gt;=6,HOUR(B7290)&lt;18),"Day Shift","Night Shift")</f>
        <v/>
      </c>
      <c r="F7290" s="6">
        <f>INT(B7290)</f>
        <v/>
      </c>
      <c r="G7290" s="6">
        <f>INT(C7290)</f>
        <v/>
      </c>
    </row>
    <row r="7291">
      <c r="A7291" s="2" t="inlineStr">
        <is>
          <t>EXD56</t>
        </is>
      </c>
      <c r="B7291" s="3" t="n">
        <v>46137.505625</v>
      </c>
      <c r="C7291" s="3" t="n">
        <v>46137.67337962963</v>
      </c>
      <c r="D7291" s="4">
        <f>(C7291-B7291)*24</f>
        <v/>
      </c>
      <c r="E7291" s="5">
        <f>IF(AND(HOUR(B7291)&gt;=6,HOUR(B7291)&lt;18),"Day Shift","Night Shift")</f>
        <v/>
      </c>
      <c r="F7291" s="6">
        <f>INT(B7291)</f>
        <v/>
      </c>
      <c r="G7291" s="6">
        <f>INT(C7291)</f>
        <v/>
      </c>
    </row>
    <row r="7292">
      <c r="A7292" s="2" t="inlineStr">
        <is>
          <t>EXD101</t>
        </is>
      </c>
      <c r="B7292" s="3" t="n">
        <v>46137.51828703703</v>
      </c>
      <c r="C7292" s="3" t="n">
        <v>46137.73460648148</v>
      </c>
      <c r="D7292" s="4">
        <f>(C7292-B7292)*24</f>
        <v/>
      </c>
      <c r="E7292" s="5">
        <f>IF(AND(HOUR(B7292)&gt;=6,HOUR(B7292)&lt;18),"Day Shift","Night Shift")</f>
        <v/>
      </c>
      <c r="F7292" s="6">
        <f>INT(B7292)</f>
        <v/>
      </c>
      <c r="G7292" s="6">
        <f>INT(C7292)</f>
        <v/>
      </c>
    </row>
    <row r="7293">
      <c r="A7293" s="2" t="inlineStr">
        <is>
          <t>EXD98</t>
        </is>
      </c>
      <c r="B7293" s="3" t="n">
        <v>46137.55188657407</v>
      </c>
      <c r="C7293" s="3" t="n">
        <v>46137.75</v>
      </c>
      <c r="D7293" s="4">
        <f>(C7293-B7293)*24</f>
        <v/>
      </c>
      <c r="E7293" s="5">
        <f>IF(AND(HOUR(B7293)&gt;=6,HOUR(B7293)&lt;18),"Day Shift","Night Shift")</f>
        <v/>
      </c>
      <c r="F7293" s="6">
        <f>INT(B7293)</f>
        <v/>
      </c>
      <c r="G7293" s="6">
        <f>INT(C7293)</f>
        <v/>
      </c>
    </row>
    <row r="7294">
      <c r="A7294" s="7" t="inlineStr">
        <is>
          <t>EXD98</t>
        </is>
      </c>
      <c r="B7294" s="8" t="n">
        <v>46137.75</v>
      </c>
      <c r="C7294" s="8" t="n">
        <v>46138.25</v>
      </c>
      <c r="D7294" s="9">
        <f>(C7294-B7294)*24</f>
        <v/>
      </c>
      <c r="E7294" s="10">
        <f>IF(AND(HOUR(B7294)&gt;=6,HOUR(B7294)&lt;18),"Day Shift","Night Shift")</f>
        <v/>
      </c>
      <c r="F7294" s="11">
        <f>INT(B7294)</f>
        <v/>
      </c>
      <c r="G7294" s="11">
        <f>INT(C7294)</f>
        <v/>
      </c>
    </row>
    <row r="7295">
      <c r="A7295" s="2" t="inlineStr">
        <is>
          <t>EXD98</t>
        </is>
      </c>
      <c r="B7295" s="3" t="n">
        <v>46138.25</v>
      </c>
      <c r="C7295" s="3" t="n">
        <v>46138.32372685185</v>
      </c>
      <c r="D7295" s="4">
        <f>(C7295-B7295)*24</f>
        <v/>
      </c>
      <c r="E7295" s="5">
        <f>IF(AND(HOUR(B7295)&gt;=6,HOUR(B7295)&lt;18),"Day Shift","Night Shift")</f>
        <v/>
      </c>
      <c r="F7295" s="6">
        <f>INT(B7295)</f>
        <v/>
      </c>
      <c r="G7295" s="6">
        <f>INT(C7295)</f>
        <v/>
      </c>
    </row>
    <row r="7296">
      <c r="A7296" s="2" t="inlineStr">
        <is>
          <t>Blast</t>
        </is>
      </c>
      <c r="B7296" s="3" t="n">
        <v>46137.56631944444</v>
      </c>
      <c r="C7296" s="3" t="n">
        <v>46137.5664699074</v>
      </c>
      <c r="D7296" s="4">
        <f>(C7296-B7296)*24</f>
        <v/>
      </c>
      <c r="E7296" s="5">
        <f>IF(AND(HOUR(B7296)&gt;=6,HOUR(B7296)&lt;18),"Day Shift","Night Shift")</f>
        <v/>
      </c>
      <c r="F7296" s="6">
        <f>INT(B7296)</f>
        <v/>
      </c>
      <c r="G7296" s="6">
        <f>INT(C7296)</f>
        <v/>
      </c>
    </row>
    <row r="7297">
      <c r="A7297" s="2" t="inlineStr">
        <is>
          <t>Blast</t>
        </is>
      </c>
      <c r="B7297" s="3" t="n">
        <v>46137.5664699074</v>
      </c>
      <c r="C7297" s="3" t="n">
        <v>46137.56663194444</v>
      </c>
      <c r="D7297" s="4">
        <f>(C7297-B7297)*24</f>
        <v/>
      </c>
      <c r="E7297" s="5">
        <f>IF(AND(HOUR(B7297)&gt;=6,HOUR(B7297)&lt;18),"Day Shift","Night Shift")</f>
        <v/>
      </c>
      <c r="F7297" s="6">
        <f>INT(B7297)</f>
        <v/>
      </c>
      <c r="G7297" s="6">
        <f>INT(C7297)</f>
        <v/>
      </c>
    </row>
    <row r="7298">
      <c r="A7298" s="2" t="inlineStr">
        <is>
          <t>Blast</t>
        </is>
      </c>
      <c r="B7298" s="3" t="n">
        <v>46137.56663194444</v>
      </c>
      <c r="C7298" s="3" t="n">
        <v>46137.56679398148</v>
      </c>
      <c r="D7298" s="4">
        <f>(C7298-B7298)*24</f>
        <v/>
      </c>
      <c r="E7298" s="5">
        <f>IF(AND(HOUR(B7298)&gt;=6,HOUR(B7298)&lt;18),"Day Shift","Night Shift")</f>
        <v/>
      </c>
      <c r="F7298" s="6">
        <f>INT(B7298)</f>
        <v/>
      </c>
      <c r="G7298" s="6">
        <f>INT(C7298)</f>
        <v/>
      </c>
    </row>
    <row r="7299">
      <c r="A7299" s="2" t="inlineStr">
        <is>
          <t>Blast</t>
        </is>
      </c>
      <c r="B7299" s="3" t="n">
        <v>46137.56679398148</v>
      </c>
      <c r="C7299" s="3" t="n">
        <v>46137.56694444444</v>
      </c>
      <c r="D7299" s="4">
        <f>(C7299-B7299)*24</f>
        <v/>
      </c>
      <c r="E7299" s="5">
        <f>IF(AND(HOUR(B7299)&gt;=6,HOUR(B7299)&lt;18),"Day Shift","Night Shift")</f>
        <v/>
      </c>
      <c r="F7299" s="6">
        <f>INT(B7299)</f>
        <v/>
      </c>
      <c r="G7299" s="6">
        <f>INT(C7299)</f>
        <v/>
      </c>
    </row>
    <row r="7300">
      <c r="A7300" s="2" t="inlineStr">
        <is>
          <t>Blast</t>
        </is>
      </c>
      <c r="B7300" s="3" t="n">
        <v>46137.56694444444</v>
      </c>
      <c r="C7300" s="3" t="n">
        <v>46137.56710648148</v>
      </c>
      <c r="D7300" s="4">
        <f>(C7300-B7300)*24</f>
        <v/>
      </c>
      <c r="E7300" s="5">
        <f>IF(AND(HOUR(B7300)&gt;=6,HOUR(B7300)&lt;18),"Day Shift","Night Shift")</f>
        <v/>
      </c>
      <c r="F7300" s="6">
        <f>INT(B7300)</f>
        <v/>
      </c>
      <c r="G7300" s="6">
        <f>INT(C7300)</f>
        <v/>
      </c>
    </row>
    <row r="7301">
      <c r="A7301" s="2" t="inlineStr">
        <is>
          <t>Blast</t>
        </is>
      </c>
      <c r="B7301" s="3" t="n">
        <v>46137.56710648148</v>
      </c>
      <c r="C7301" s="3" t="n">
        <v>46137.56724537037</v>
      </c>
      <c r="D7301" s="4">
        <f>(C7301-B7301)*24</f>
        <v/>
      </c>
      <c r="E7301" s="5">
        <f>IF(AND(HOUR(B7301)&gt;=6,HOUR(B7301)&lt;18),"Day Shift","Night Shift")</f>
        <v/>
      </c>
      <c r="F7301" s="6">
        <f>INT(B7301)</f>
        <v/>
      </c>
      <c r="G7301" s="6">
        <f>INT(C7301)</f>
        <v/>
      </c>
    </row>
    <row r="7302">
      <c r="A7302" s="2" t="inlineStr">
        <is>
          <t>Blast</t>
        </is>
      </c>
      <c r="B7302" s="3" t="n">
        <v>46137.56724537037</v>
      </c>
      <c r="C7302" s="3" t="n">
        <v>46137.56729166667</v>
      </c>
      <c r="D7302" s="4">
        <f>(C7302-B7302)*24</f>
        <v/>
      </c>
      <c r="E7302" s="5">
        <f>IF(AND(HOUR(B7302)&gt;=6,HOUR(B7302)&lt;18),"Day Shift","Night Shift")</f>
        <v/>
      </c>
      <c r="F7302" s="6">
        <f>INT(B7302)</f>
        <v/>
      </c>
      <c r="G7302" s="6">
        <f>INT(C7302)</f>
        <v/>
      </c>
    </row>
    <row r="7303">
      <c r="A7303" s="2" t="inlineStr">
        <is>
          <t>Blast</t>
        </is>
      </c>
      <c r="B7303" s="3" t="n">
        <v>46137.56729166667</v>
      </c>
      <c r="C7303" s="3" t="n">
        <v>46137.5674537037</v>
      </c>
      <c r="D7303" s="4">
        <f>(C7303-B7303)*24</f>
        <v/>
      </c>
      <c r="E7303" s="5">
        <f>IF(AND(HOUR(B7303)&gt;=6,HOUR(B7303)&lt;18),"Day Shift","Night Shift")</f>
        <v/>
      </c>
      <c r="F7303" s="6">
        <f>INT(B7303)</f>
        <v/>
      </c>
      <c r="G7303" s="6">
        <f>INT(C7303)</f>
        <v/>
      </c>
    </row>
    <row r="7304">
      <c r="A7304" s="2" t="inlineStr">
        <is>
          <t>Blast</t>
        </is>
      </c>
      <c r="B7304" s="3" t="n">
        <v>46137.5674537037</v>
      </c>
      <c r="C7304" s="3" t="n">
        <v>46137.56761574074</v>
      </c>
      <c r="D7304" s="4">
        <f>(C7304-B7304)*24</f>
        <v/>
      </c>
      <c r="E7304" s="5">
        <f>IF(AND(HOUR(B7304)&gt;=6,HOUR(B7304)&lt;18),"Day Shift","Night Shift")</f>
        <v/>
      </c>
      <c r="F7304" s="6">
        <f>INT(B7304)</f>
        <v/>
      </c>
      <c r="G7304" s="6">
        <f>INT(C7304)</f>
        <v/>
      </c>
    </row>
    <row r="7305">
      <c r="A7305" s="2" t="inlineStr">
        <is>
          <t>Blast</t>
        </is>
      </c>
      <c r="B7305" s="3" t="n">
        <v>46137.56761574074</v>
      </c>
      <c r="C7305" s="3" t="n">
        <v>46137.56777777777</v>
      </c>
      <c r="D7305" s="4">
        <f>(C7305-B7305)*24</f>
        <v/>
      </c>
      <c r="E7305" s="5">
        <f>IF(AND(HOUR(B7305)&gt;=6,HOUR(B7305)&lt;18),"Day Shift","Night Shift")</f>
        <v/>
      </c>
      <c r="F7305" s="6">
        <f>INT(B7305)</f>
        <v/>
      </c>
      <c r="G7305" s="6">
        <f>INT(C7305)</f>
        <v/>
      </c>
    </row>
    <row r="7306">
      <c r="A7306" s="2" t="inlineStr">
        <is>
          <t>Blast</t>
        </is>
      </c>
      <c r="B7306" s="3" t="n">
        <v>46137.56777777777</v>
      </c>
      <c r="C7306" s="3" t="n">
        <v>46137.56792824074</v>
      </c>
      <c r="D7306" s="4">
        <f>(C7306-B7306)*24</f>
        <v/>
      </c>
      <c r="E7306" s="5">
        <f>IF(AND(HOUR(B7306)&gt;=6,HOUR(B7306)&lt;18),"Day Shift","Night Shift")</f>
        <v/>
      </c>
      <c r="F7306" s="6">
        <f>INT(B7306)</f>
        <v/>
      </c>
      <c r="G7306" s="6">
        <f>INT(C7306)</f>
        <v/>
      </c>
    </row>
    <row r="7307">
      <c r="A7307" s="2" t="inlineStr">
        <is>
          <t>Blast</t>
        </is>
      </c>
      <c r="B7307" s="3" t="n">
        <v>46137.56792824074</v>
      </c>
      <c r="C7307" s="3" t="n">
        <v>46137.56809027777</v>
      </c>
      <c r="D7307" s="4">
        <f>(C7307-B7307)*24</f>
        <v/>
      </c>
      <c r="E7307" s="5">
        <f>IF(AND(HOUR(B7307)&gt;=6,HOUR(B7307)&lt;18),"Day Shift","Night Shift")</f>
        <v/>
      </c>
      <c r="F7307" s="6">
        <f>INT(B7307)</f>
        <v/>
      </c>
      <c r="G7307" s="6">
        <f>INT(C7307)</f>
        <v/>
      </c>
    </row>
    <row r="7308">
      <c r="A7308" s="2" t="inlineStr">
        <is>
          <t>Blast</t>
        </is>
      </c>
      <c r="B7308" s="3" t="n">
        <v>46137.56809027777</v>
      </c>
      <c r="C7308" s="3" t="n">
        <v>46137.56824074074</v>
      </c>
      <c r="D7308" s="4">
        <f>(C7308-B7308)*24</f>
        <v/>
      </c>
      <c r="E7308" s="5">
        <f>IF(AND(HOUR(B7308)&gt;=6,HOUR(B7308)&lt;18),"Day Shift","Night Shift")</f>
        <v/>
      </c>
      <c r="F7308" s="6">
        <f>INT(B7308)</f>
        <v/>
      </c>
      <c r="G7308" s="6">
        <f>INT(C7308)</f>
        <v/>
      </c>
    </row>
    <row r="7309">
      <c r="A7309" s="2" t="inlineStr">
        <is>
          <t>Blast</t>
        </is>
      </c>
      <c r="B7309" s="3" t="n">
        <v>46137.56824074074</v>
      </c>
      <c r="C7309" s="3" t="n">
        <v>46137.56831018518</v>
      </c>
      <c r="D7309" s="4">
        <f>(C7309-B7309)*24</f>
        <v/>
      </c>
      <c r="E7309" s="5">
        <f>IF(AND(HOUR(B7309)&gt;=6,HOUR(B7309)&lt;18),"Day Shift","Night Shift")</f>
        <v/>
      </c>
      <c r="F7309" s="6">
        <f>INT(B7309)</f>
        <v/>
      </c>
      <c r="G7309" s="6">
        <f>INT(C7309)</f>
        <v/>
      </c>
    </row>
    <row r="7310">
      <c r="A7310" s="2" t="inlineStr">
        <is>
          <t>Blast</t>
        </is>
      </c>
      <c r="B7310" s="3" t="n">
        <v>46137.56831018518</v>
      </c>
      <c r="C7310" s="3" t="n">
        <v>46137.56847222222</v>
      </c>
      <c r="D7310" s="4">
        <f>(C7310-B7310)*24</f>
        <v/>
      </c>
      <c r="E7310" s="5">
        <f>IF(AND(HOUR(B7310)&gt;=6,HOUR(B7310)&lt;18),"Day Shift","Night Shift")</f>
        <v/>
      </c>
      <c r="F7310" s="6">
        <f>INT(B7310)</f>
        <v/>
      </c>
      <c r="G7310" s="6">
        <f>INT(C7310)</f>
        <v/>
      </c>
    </row>
    <row r="7311">
      <c r="A7311" s="2" t="inlineStr">
        <is>
          <t>Blast</t>
        </is>
      </c>
      <c r="B7311" s="3" t="n">
        <v>46137.56847222222</v>
      </c>
      <c r="C7311" s="3" t="n">
        <v>46137.56863425926</v>
      </c>
      <c r="D7311" s="4">
        <f>(C7311-B7311)*24</f>
        <v/>
      </c>
      <c r="E7311" s="5">
        <f>IF(AND(HOUR(B7311)&gt;=6,HOUR(B7311)&lt;18),"Day Shift","Night Shift")</f>
        <v/>
      </c>
      <c r="F7311" s="6">
        <f>INT(B7311)</f>
        <v/>
      </c>
      <c r="G7311" s="6">
        <f>INT(C7311)</f>
        <v/>
      </c>
    </row>
    <row r="7312">
      <c r="A7312" s="2" t="inlineStr">
        <is>
          <t>Blast</t>
        </is>
      </c>
      <c r="B7312" s="3" t="n">
        <v>46137.56863425926</v>
      </c>
      <c r="C7312" s="3" t="n">
        <v>46137.5687962963</v>
      </c>
      <c r="D7312" s="4">
        <f>(C7312-B7312)*24</f>
        <v/>
      </c>
      <c r="E7312" s="5">
        <f>IF(AND(HOUR(B7312)&gt;=6,HOUR(B7312)&lt;18),"Day Shift","Night Shift")</f>
        <v/>
      </c>
      <c r="F7312" s="6">
        <f>INT(B7312)</f>
        <v/>
      </c>
      <c r="G7312" s="6">
        <f>INT(C7312)</f>
        <v/>
      </c>
    </row>
    <row r="7313">
      <c r="A7313" s="2" t="inlineStr">
        <is>
          <t>Blast</t>
        </is>
      </c>
      <c r="B7313" s="3" t="n">
        <v>46137.5687962963</v>
      </c>
      <c r="C7313" s="3" t="n">
        <v>46137.56895833334</v>
      </c>
      <c r="D7313" s="4">
        <f>(C7313-B7313)*24</f>
        <v/>
      </c>
      <c r="E7313" s="5">
        <f>IF(AND(HOUR(B7313)&gt;=6,HOUR(B7313)&lt;18),"Day Shift","Night Shift")</f>
        <v/>
      </c>
      <c r="F7313" s="6">
        <f>INT(B7313)</f>
        <v/>
      </c>
      <c r="G7313" s="6">
        <f>INT(C7313)</f>
        <v/>
      </c>
    </row>
    <row r="7314">
      <c r="A7314" s="2" t="inlineStr">
        <is>
          <t>Blast</t>
        </is>
      </c>
      <c r="B7314" s="3" t="n">
        <v>46137.56895833334</v>
      </c>
      <c r="C7314" s="3" t="n">
        <v>46137.56912037037</v>
      </c>
      <c r="D7314" s="4">
        <f>(C7314-B7314)*24</f>
        <v/>
      </c>
      <c r="E7314" s="5">
        <f>IF(AND(HOUR(B7314)&gt;=6,HOUR(B7314)&lt;18),"Day Shift","Night Shift")</f>
        <v/>
      </c>
      <c r="F7314" s="6">
        <f>INT(B7314)</f>
        <v/>
      </c>
      <c r="G7314" s="6">
        <f>INT(C7314)</f>
        <v/>
      </c>
    </row>
    <row r="7315">
      <c r="A7315" s="2" t="inlineStr">
        <is>
          <t>Blast</t>
        </is>
      </c>
      <c r="B7315" s="3" t="n">
        <v>46137.56912037037</v>
      </c>
      <c r="C7315" s="3" t="n">
        <v>46137.56929398148</v>
      </c>
      <c r="D7315" s="4">
        <f>(C7315-B7315)*24</f>
        <v/>
      </c>
      <c r="E7315" s="5">
        <f>IF(AND(HOUR(B7315)&gt;=6,HOUR(B7315)&lt;18),"Day Shift","Night Shift")</f>
        <v/>
      </c>
      <c r="F7315" s="6">
        <f>INT(B7315)</f>
        <v/>
      </c>
      <c r="G7315" s="6">
        <f>INT(C7315)</f>
        <v/>
      </c>
    </row>
    <row r="7316">
      <c r="A7316" s="2" t="inlineStr">
        <is>
          <t>Blast</t>
        </is>
      </c>
      <c r="B7316" s="3" t="n">
        <v>46137.56929398148</v>
      </c>
      <c r="C7316" s="3" t="n">
        <v>46137.569375</v>
      </c>
      <c r="D7316" s="4">
        <f>(C7316-B7316)*24</f>
        <v/>
      </c>
      <c r="E7316" s="5">
        <f>IF(AND(HOUR(B7316)&gt;=6,HOUR(B7316)&lt;18),"Day Shift","Night Shift")</f>
        <v/>
      </c>
      <c r="F7316" s="6">
        <f>INT(B7316)</f>
        <v/>
      </c>
      <c r="G7316" s="6">
        <f>INT(C7316)</f>
        <v/>
      </c>
    </row>
    <row r="7317">
      <c r="A7317" s="2" t="inlineStr">
        <is>
          <t>Blast</t>
        </is>
      </c>
      <c r="B7317" s="3" t="n">
        <v>46137.569375</v>
      </c>
      <c r="C7317" s="3" t="n">
        <v>46137.56938657408</v>
      </c>
      <c r="D7317" s="4">
        <f>(C7317-B7317)*24</f>
        <v/>
      </c>
      <c r="E7317" s="5">
        <f>IF(AND(HOUR(B7317)&gt;=6,HOUR(B7317)&lt;18),"Day Shift","Night Shift")</f>
        <v/>
      </c>
      <c r="F7317" s="6">
        <f>INT(B7317)</f>
        <v/>
      </c>
      <c r="G7317" s="6">
        <f>INT(C7317)</f>
        <v/>
      </c>
    </row>
    <row r="7318">
      <c r="A7318" s="2" t="inlineStr">
        <is>
          <t>Blast</t>
        </is>
      </c>
      <c r="B7318" s="3" t="n">
        <v>46137.56938657408</v>
      </c>
      <c r="C7318" s="3" t="n">
        <v>46137.56954861111</v>
      </c>
      <c r="D7318" s="4">
        <f>(C7318-B7318)*24</f>
        <v/>
      </c>
      <c r="E7318" s="5">
        <f>IF(AND(HOUR(B7318)&gt;=6,HOUR(B7318)&lt;18),"Day Shift","Night Shift")</f>
        <v/>
      </c>
      <c r="F7318" s="6">
        <f>INT(B7318)</f>
        <v/>
      </c>
      <c r="G7318" s="6">
        <f>INT(C7318)</f>
        <v/>
      </c>
    </row>
    <row r="7319">
      <c r="A7319" s="2" t="inlineStr">
        <is>
          <t>Blast</t>
        </is>
      </c>
      <c r="B7319" s="3" t="n">
        <v>46137.56954861111</v>
      </c>
      <c r="C7319" s="3" t="n">
        <v>46137.56971064815</v>
      </c>
      <c r="D7319" s="4">
        <f>(C7319-B7319)*24</f>
        <v/>
      </c>
      <c r="E7319" s="5">
        <f>IF(AND(HOUR(B7319)&gt;=6,HOUR(B7319)&lt;18),"Day Shift","Night Shift")</f>
        <v/>
      </c>
      <c r="F7319" s="6">
        <f>INT(B7319)</f>
        <v/>
      </c>
      <c r="G7319" s="6">
        <f>INT(C7319)</f>
        <v/>
      </c>
    </row>
    <row r="7320">
      <c r="A7320" s="2" t="inlineStr">
        <is>
          <t>Blast</t>
        </is>
      </c>
      <c r="B7320" s="3" t="n">
        <v>46137.56971064815</v>
      </c>
      <c r="C7320" s="3" t="n">
        <v>46137.56988425926</v>
      </c>
      <c r="D7320" s="4">
        <f>(C7320-B7320)*24</f>
        <v/>
      </c>
      <c r="E7320" s="5">
        <f>IF(AND(HOUR(B7320)&gt;=6,HOUR(B7320)&lt;18),"Day Shift","Night Shift")</f>
        <v/>
      </c>
      <c r="F7320" s="6">
        <f>INT(B7320)</f>
        <v/>
      </c>
      <c r="G7320" s="6">
        <f>INT(C7320)</f>
        <v/>
      </c>
    </row>
    <row r="7321">
      <c r="A7321" s="2" t="inlineStr">
        <is>
          <t>Blast</t>
        </is>
      </c>
      <c r="B7321" s="3" t="n">
        <v>46137.56988425926</v>
      </c>
      <c r="C7321" s="3" t="n">
        <v>46137.57008101852</v>
      </c>
      <c r="D7321" s="4">
        <f>(C7321-B7321)*24</f>
        <v/>
      </c>
      <c r="E7321" s="5">
        <f>IF(AND(HOUR(B7321)&gt;=6,HOUR(B7321)&lt;18),"Day Shift","Night Shift")</f>
        <v/>
      </c>
      <c r="F7321" s="6">
        <f>INT(B7321)</f>
        <v/>
      </c>
      <c r="G7321" s="6">
        <f>INT(C7321)</f>
        <v/>
      </c>
    </row>
    <row r="7322">
      <c r="A7322" s="2" t="inlineStr">
        <is>
          <t>Blast</t>
        </is>
      </c>
      <c r="B7322" s="3" t="n">
        <v>46137.57008101852</v>
      </c>
      <c r="C7322" s="3" t="n">
        <v>46137.57027777778</v>
      </c>
      <c r="D7322" s="4">
        <f>(C7322-B7322)*24</f>
        <v/>
      </c>
      <c r="E7322" s="5">
        <f>IF(AND(HOUR(B7322)&gt;=6,HOUR(B7322)&lt;18),"Day Shift","Night Shift")</f>
        <v/>
      </c>
      <c r="F7322" s="6">
        <f>INT(B7322)</f>
        <v/>
      </c>
      <c r="G7322" s="6">
        <f>INT(C7322)</f>
        <v/>
      </c>
    </row>
    <row r="7323">
      <c r="A7323" s="2" t="inlineStr">
        <is>
          <t>Blast</t>
        </is>
      </c>
      <c r="B7323" s="3" t="n">
        <v>46137.57027777778</v>
      </c>
      <c r="C7323" s="3" t="n">
        <v>46137.57042824074</v>
      </c>
      <c r="D7323" s="4">
        <f>(C7323-B7323)*24</f>
        <v/>
      </c>
      <c r="E7323" s="5">
        <f>IF(AND(HOUR(B7323)&gt;=6,HOUR(B7323)&lt;18),"Day Shift","Night Shift")</f>
        <v/>
      </c>
      <c r="F7323" s="6">
        <f>INT(B7323)</f>
        <v/>
      </c>
      <c r="G7323" s="6">
        <f>INT(C7323)</f>
        <v/>
      </c>
    </row>
    <row r="7324">
      <c r="A7324" s="2" t="inlineStr">
        <is>
          <t>Blast</t>
        </is>
      </c>
      <c r="B7324" s="3" t="n">
        <v>46137.57042824074</v>
      </c>
      <c r="C7324" s="3" t="n">
        <v>46137.57049768518</v>
      </c>
      <c r="D7324" s="4">
        <f>(C7324-B7324)*24</f>
        <v/>
      </c>
      <c r="E7324" s="5">
        <f>IF(AND(HOUR(B7324)&gt;=6,HOUR(B7324)&lt;18),"Day Shift","Night Shift")</f>
        <v/>
      </c>
      <c r="F7324" s="6">
        <f>INT(B7324)</f>
        <v/>
      </c>
      <c r="G7324" s="6">
        <f>INT(C7324)</f>
        <v/>
      </c>
    </row>
    <row r="7325">
      <c r="A7325" s="2" t="inlineStr">
        <is>
          <t>Blast</t>
        </is>
      </c>
      <c r="B7325" s="3" t="n">
        <v>46137.57049768518</v>
      </c>
      <c r="C7325" s="3" t="n">
        <v>46137.57068287037</v>
      </c>
      <c r="D7325" s="4">
        <f>(C7325-B7325)*24</f>
        <v/>
      </c>
      <c r="E7325" s="5">
        <f>IF(AND(HOUR(B7325)&gt;=6,HOUR(B7325)&lt;18),"Day Shift","Night Shift")</f>
        <v/>
      </c>
      <c r="F7325" s="6">
        <f>INT(B7325)</f>
        <v/>
      </c>
      <c r="G7325" s="6">
        <f>INT(C7325)</f>
        <v/>
      </c>
    </row>
    <row r="7326">
      <c r="A7326" s="2" t="inlineStr">
        <is>
          <t>Blast</t>
        </is>
      </c>
      <c r="B7326" s="3" t="n">
        <v>46137.57068287037</v>
      </c>
      <c r="C7326" s="3" t="n">
        <v>46137.5708912037</v>
      </c>
      <c r="D7326" s="4">
        <f>(C7326-B7326)*24</f>
        <v/>
      </c>
      <c r="E7326" s="5">
        <f>IF(AND(HOUR(B7326)&gt;=6,HOUR(B7326)&lt;18),"Day Shift","Night Shift")</f>
        <v/>
      </c>
      <c r="F7326" s="6">
        <f>INT(B7326)</f>
        <v/>
      </c>
      <c r="G7326" s="6">
        <f>INT(C7326)</f>
        <v/>
      </c>
    </row>
    <row r="7327">
      <c r="A7327" s="2" t="inlineStr">
        <is>
          <t>Blast</t>
        </is>
      </c>
      <c r="B7327" s="3" t="n">
        <v>46137.5708912037</v>
      </c>
      <c r="C7327" s="3" t="n">
        <v>46137.57107638889</v>
      </c>
      <c r="D7327" s="4">
        <f>(C7327-B7327)*24</f>
        <v/>
      </c>
      <c r="E7327" s="5">
        <f>IF(AND(HOUR(B7327)&gt;=6,HOUR(B7327)&lt;18),"Day Shift","Night Shift")</f>
        <v/>
      </c>
      <c r="F7327" s="6">
        <f>INT(B7327)</f>
        <v/>
      </c>
      <c r="G7327" s="6">
        <f>INT(C7327)</f>
        <v/>
      </c>
    </row>
    <row r="7328">
      <c r="A7328" s="2" t="inlineStr">
        <is>
          <t>Blast</t>
        </is>
      </c>
      <c r="B7328" s="3" t="n">
        <v>46137.57107638889</v>
      </c>
      <c r="C7328" s="3" t="n">
        <v>46137.57121527778</v>
      </c>
      <c r="D7328" s="4">
        <f>(C7328-B7328)*24</f>
        <v/>
      </c>
      <c r="E7328" s="5">
        <f>IF(AND(HOUR(B7328)&gt;=6,HOUR(B7328)&lt;18),"Day Shift","Night Shift")</f>
        <v/>
      </c>
      <c r="F7328" s="6">
        <f>INT(B7328)</f>
        <v/>
      </c>
      <c r="G7328" s="6">
        <f>INT(C7328)</f>
        <v/>
      </c>
    </row>
    <row r="7329">
      <c r="A7329" s="2" t="inlineStr">
        <is>
          <t>Blast</t>
        </is>
      </c>
      <c r="B7329" s="3" t="n">
        <v>46137.57121527778</v>
      </c>
      <c r="C7329" s="3" t="n">
        <v>46137.57135416667</v>
      </c>
      <c r="D7329" s="4">
        <f>(C7329-B7329)*24</f>
        <v/>
      </c>
      <c r="E7329" s="5">
        <f>IF(AND(HOUR(B7329)&gt;=6,HOUR(B7329)&lt;18),"Day Shift","Night Shift")</f>
        <v/>
      </c>
      <c r="F7329" s="6">
        <f>INT(B7329)</f>
        <v/>
      </c>
      <c r="G7329" s="6">
        <f>INT(C7329)</f>
        <v/>
      </c>
    </row>
    <row r="7330">
      <c r="A7330" s="2" t="inlineStr">
        <is>
          <t>Blast</t>
        </is>
      </c>
      <c r="B7330" s="3" t="n">
        <v>46137.57135416667</v>
      </c>
      <c r="C7330" s="3" t="n">
        <v>46137.57148148148</v>
      </c>
      <c r="D7330" s="4">
        <f>(C7330-B7330)*24</f>
        <v/>
      </c>
      <c r="E7330" s="5">
        <f>IF(AND(HOUR(B7330)&gt;=6,HOUR(B7330)&lt;18),"Day Shift","Night Shift")</f>
        <v/>
      </c>
      <c r="F7330" s="6">
        <f>INT(B7330)</f>
        <v/>
      </c>
      <c r="G7330" s="6">
        <f>INT(C7330)</f>
        <v/>
      </c>
    </row>
    <row r="7331">
      <c r="A7331" s="2" t="inlineStr">
        <is>
          <t>Blast</t>
        </is>
      </c>
      <c r="B7331" s="3" t="n">
        <v>46137.57148148148</v>
      </c>
      <c r="C7331" s="3" t="n">
        <v>46137.57157407407</v>
      </c>
      <c r="D7331" s="4">
        <f>(C7331-B7331)*24</f>
        <v/>
      </c>
      <c r="E7331" s="5">
        <f>IF(AND(HOUR(B7331)&gt;=6,HOUR(B7331)&lt;18),"Day Shift","Night Shift")</f>
        <v/>
      </c>
      <c r="F7331" s="6">
        <f>INT(B7331)</f>
        <v/>
      </c>
      <c r="G7331" s="6">
        <f>INT(C7331)</f>
        <v/>
      </c>
    </row>
    <row r="7332">
      <c r="A7332" s="2" t="inlineStr">
        <is>
          <t>Blast</t>
        </is>
      </c>
      <c r="B7332" s="3" t="n">
        <v>46137.57157407407</v>
      </c>
      <c r="C7332" s="3" t="n">
        <v>46137.57173611111</v>
      </c>
      <c r="D7332" s="4">
        <f>(C7332-B7332)*24</f>
        <v/>
      </c>
      <c r="E7332" s="5">
        <f>IF(AND(HOUR(B7332)&gt;=6,HOUR(B7332)&lt;18),"Day Shift","Night Shift")</f>
        <v/>
      </c>
      <c r="F7332" s="6">
        <f>INT(B7332)</f>
        <v/>
      </c>
      <c r="G7332" s="6">
        <f>INT(C7332)</f>
        <v/>
      </c>
    </row>
    <row r="7333">
      <c r="A7333" s="2" t="inlineStr">
        <is>
          <t>Blast</t>
        </is>
      </c>
      <c r="B7333" s="3" t="n">
        <v>46137.57173611111</v>
      </c>
      <c r="C7333" s="3" t="n">
        <v>46137.571875</v>
      </c>
      <c r="D7333" s="4">
        <f>(C7333-B7333)*24</f>
        <v/>
      </c>
      <c r="E7333" s="5">
        <f>IF(AND(HOUR(B7333)&gt;=6,HOUR(B7333)&lt;18),"Day Shift","Night Shift")</f>
        <v/>
      </c>
      <c r="F7333" s="6">
        <f>INT(B7333)</f>
        <v/>
      </c>
      <c r="G7333" s="6">
        <f>INT(C7333)</f>
        <v/>
      </c>
    </row>
    <row r="7334">
      <c r="A7334" s="2" t="inlineStr">
        <is>
          <t>Blast</t>
        </is>
      </c>
      <c r="B7334" s="3" t="n">
        <v>46137.571875</v>
      </c>
      <c r="C7334" s="3" t="n">
        <v>46137.57201388889</v>
      </c>
      <c r="D7334" s="4">
        <f>(C7334-B7334)*24</f>
        <v/>
      </c>
      <c r="E7334" s="5">
        <f>IF(AND(HOUR(B7334)&gt;=6,HOUR(B7334)&lt;18),"Day Shift","Night Shift")</f>
        <v/>
      </c>
      <c r="F7334" s="6">
        <f>INT(B7334)</f>
        <v/>
      </c>
      <c r="G7334" s="6">
        <f>INT(C7334)</f>
        <v/>
      </c>
    </row>
    <row r="7335">
      <c r="A7335" s="2" t="inlineStr">
        <is>
          <t>Blast</t>
        </is>
      </c>
      <c r="B7335" s="3" t="n">
        <v>46137.57201388889</v>
      </c>
      <c r="C7335" s="3" t="n">
        <v>46137.57215277778</v>
      </c>
      <c r="D7335" s="4">
        <f>(C7335-B7335)*24</f>
        <v/>
      </c>
      <c r="E7335" s="5">
        <f>IF(AND(HOUR(B7335)&gt;=6,HOUR(B7335)&lt;18),"Day Shift","Night Shift")</f>
        <v/>
      </c>
      <c r="F7335" s="6">
        <f>INT(B7335)</f>
        <v/>
      </c>
      <c r="G7335" s="6">
        <f>INT(C7335)</f>
        <v/>
      </c>
    </row>
    <row r="7336">
      <c r="A7336" s="2" t="inlineStr">
        <is>
          <t>Blast</t>
        </is>
      </c>
      <c r="B7336" s="3" t="n">
        <v>46137.57215277778</v>
      </c>
      <c r="C7336" s="3" t="n">
        <v>46137.57229166666</v>
      </c>
      <c r="D7336" s="4">
        <f>(C7336-B7336)*24</f>
        <v/>
      </c>
      <c r="E7336" s="5">
        <f>IF(AND(HOUR(B7336)&gt;=6,HOUR(B7336)&lt;18),"Day Shift","Night Shift")</f>
        <v/>
      </c>
      <c r="F7336" s="6">
        <f>INT(B7336)</f>
        <v/>
      </c>
      <c r="G7336" s="6">
        <f>INT(C7336)</f>
        <v/>
      </c>
    </row>
    <row r="7337">
      <c r="A7337" s="2" t="inlineStr">
        <is>
          <t>Blast</t>
        </is>
      </c>
      <c r="B7337" s="3" t="n">
        <v>46137.57229166666</v>
      </c>
      <c r="C7337" s="3" t="n">
        <v>46137.57241898148</v>
      </c>
      <c r="D7337" s="4">
        <f>(C7337-B7337)*24</f>
        <v/>
      </c>
      <c r="E7337" s="5">
        <f>IF(AND(HOUR(B7337)&gt;=6,HOUR(B7337)&lt;18),"Day Shift","Night Shift")</f>
        <v/>
      </c>
      <c r="F7337" s="6">
        <f>INT(B7337)</f>
        <v/>
      </c>
      <c r="G7337" s="6">
        <f>INT(C7337)</f>
        <v/>
      </c>
    </row>
    <row r="7338">
      <c r="A7338" s="2" t="inlineStr">
        <is>
          <t>Blast</t>
        </is>
      </c>
      <c r="B7338" s="3" t="n">
        <v>46137.57241898148</v>
      </c>
      <c r="C7338" s="3" t="n">
        <v>46137.57254629629</v>
      </c>
      <c r="D7338" s="4">
        <f>(C7338-B7338)*24</f>
        <v/>
      </c>
      <c r="E7338" s="5">
        <f>IF(AND(HOUR(B7338)&gt;=6,HOUR(B7338)&lt;18),"Day Shift","Night Shift")</f>
        <v/>
      </c>
      <c r="F7338" s="6">
        <f>INT(B7338)</f>
        <v/>
      </c>
      <c r="G7338" s="6">
        <f>INT(C7338)</f>
        <v/>
      </c>
    </row>
    <row r="7339">
      <c r="A7339" s="2" t="inlineStr">
        <is>
          <t>Blast</t>
        </is>
      </c>
      <c r="B7339" s="3" t="n">
        <v>46137.57254629629</v>
      </c>
      <c r="C7339" s="3" t="n">
        <v>46137.57259259259</v>
      </c>
      <c r="D7339" s="4">
        <f>(C7339-B7339)*24</f>
        <v/>
      </c>
      <c r="E7339" s="5">
        <f>IF(AND(HOUR(B7339)&gt;=6,HOUR(B7339)&lt;18),"Day Shift","Night Shift")</f>
        <v/>
      </c>
      <c r="F7339" s="6">
        <f>INT(B7339)</f>
        <v/>
      </c>
      <c r="G7339" s="6">
        <f>INT(C7339)</f>
        <v/>
      </c>
    </row>
    <row r="7340">
      <c r="A7340" s="2" t="inlineStr">
        <is>
          <t>Blast</t>
        </is>
      </c>
      <c r="B7340" s="3" t="n">
        <v>46137.57259259259</v>
      </c>
      <c r="C7340" s="3" t="n">
        <v>46137.57271990741</v>
      </c>
      <c r="D7340" s="4">
        <f>(C7340-B7340)*24</f>
        <v/>
      </c>
      <c r="E7340" s="5">
        <f>IF(AND(HOUR(B7340)&gt;=6,HOUR(B7340)&lt;18),"Day Shift","Night Shift")</f>
        <v/>
      </c>
      <c r="F7340" s="6">
        <f>INT(B7340)</f>
        <v/>
      </c>
      <c r="G7340" s="6">
        <f>INT(C7340)</f>
        <v/>
      </c>
    </row>
    <row r="7341">
      <c r="A7341" s="2" t="inlineStr">
        <is>
          <t>Blast</t>
        </is>
      </c>
      <c r="B7341" s="3" t="n">
        <v>46137.57271990741</v>
      </c>
      <c r="C7341" s="3" t="n">
        <v>46137.57285879629</v>
      </c>
      <c r="D7341" s="4">
        <f>(C7341-B7341)*24</f>
        <v/>
      </c>
      <c r="E7341" s="5">
        <f>IF(AND(HOUR(B7341)&gt;=6,HOUR(B7341)&lt;18),"Day Shift","Night Shift")</f>
        <v/>
      </c>
      <c r="F7341" s="6">
        <f>INT(B7341)</f>
        <v/>
      </c>
      <c r="G7341" s="6">
        <f>INT(C7341)</f>
        <v/>
      </c>
    </row>
    <row r="7342">
      <c r="A7342" s="2" t="inlineStr">
        <is>
          <t>EXD60</t>
        </is>
      </c>
      <c r="B7342" s="3" t="n">
        <v>46137.5728125</v>
      </c>
      <c r="C7342" s="3" t="n">
        <v>46137.75</v>
      </c>
      <c r="D7342" s="4">
        <f>(C7342-B7342)*24</f>
        <v/>
      </c>
      <c r="E7342" s="5">
        <f>IF(AND(HOUR(B7342)&gt;=6,HOUR(B7342)&lt;18),"Day Shift","Night Shift")</f>
        <v/>
      </c>
      <c r="F7342" s="6">
        <f>INT(B7342)</f>
        <v/>
      </c>
      <c r="G7342" s="6">
        <f>INT(C7342)</f>
        <v/>
      </c>
    </row>
    <row r="7343">
      <c r="A7343" s="7" t="inlineStr">
        <is>
          <t>EXD60</t>
        </is>
      </c>
      <c r="B7343" s="8" t="n">
        <v>46137.75</v>
      </c>
      <c r="C7343" s="8" t="n">
        <v>46137.9957175926</v>
      </c>
      <c r="D7343" s="9">
        <f>(C7343-B7343)*24</f>
        <v/>
      </c>
      <c r="E7343" s="10">
        <f>IF(AND(HOUR(B7343)&gt;=6,HOUR(B7343)&lt;18),"Day Shift","Night Shift")</f>
        <v/>
      </c>
      <c r="F7343" s="11">
        <f>INT(B7343)</f>
        <v/>
      </c>
      <c r="G7343" s="11">
        <f>INT(C7343)</f>
        <v/>
      </c>
    </row>
    <row r="7344">
      <c r="A7344" s="2" t="inlineStr">
        <is>
          <t>Blast</t>
        </is>
      </c>
      <c r="B7344" s="3" t="n">
        <v>46137.57285879629</v>
      </c>
      <c r="C7344" s="3" t="n">
        <v>46137.57298611111</v>
      </c>
      <c r="D7344" s="4">
        <f>(C7344-B7344)*24</f>
        <v/>
      </c>
      <c r="E7344" s="5">
        <f>IF(AND(HOUR(B7344)&gt;=6,HOUR(B7344)&lt;18),"Day Shift","Night Shift")</f>
        <v/>
      </c>
      <c r="F7344" s="6">
        <f>INT(B7344)</f>
        <v/>
      </c>
      <c r="G7344" s="6">
        <f>INT(C7344)</f>
        <v/>
      </c>
    </row>
    <row r="7345">
      <c r="A7345" s="2" t="inlineStr">
        <is>
          <t>Blast</t>
        </is>
      </c>
      <c r="B7345" s="3" t="n">
        <v>46137.57298611111</v>
      </c>
      <c r="C7345" s="3" t="n">
        <v>46137.57310185185</v>
      </c>
      <c r="D7345" s="4">
        <f>(C7345-B7345)*24</f>
        <v/>
      </c>
      <c r="E7345" s="5">
        <f>IF(AND(HOUR(B7345)&gt;=6,HOUR(B7345)&lt;18),"Day Shift","Night Shift")</f>
        <v/>
      </c>
      <c r="F7345" s="6">
        <f>INT(B7345)</f>
        <v/>
      </c>
      <c r="G7345" s="6">
        <f>INT(C7345)</f>
        <v/>
      </c>
    </row>
    <row r="7346">
      <c r="A7346" s="2" t="inlineStr">
        <is>
          <t>Blast</t>
        </is>
      </c>
      <c r="B7346" s="3" t="n">
        <v>46137.57310185185</v>
      </c>
      <c r="C7346" s="3" t="n">
        <v>46137.57319444444</v>
      </c>
      <c r="D7346" s="4">
        <f>(C7346-B7346)*24</f>
        <v/>
      </c>
      <c r="E7346" s="5">
        <f>IF(AND(HOUR(B7346)&gt;=6,HOUR(B7346)&lt;18),"Day Shift","Night Shift")</f>
        <v/>
      </c>
      <c r="F7346" s="6">
        <f>INT(B7346)</f>
        <v/>
      </c>
      <c r="G7346" s="6">
        <f>INT(C7346)</f>
        <v/>
      </c>
    </row>
    <row r="7347">
      <c r="A7347" s="2" t="inlineStr">
        <is>
          <t>Blast</t>
        </is>
      </c>
      <c r="B7347" s="3" t="n">
        <v>46137.57319444444</v>
      </c>
      <c r="C7347" s="3" t="n">
        <v>46137.57328703703</v>
      </c>
      <c r="D7347" s="4">
        <f>(C7347-B7347)*24</f>
        <v/>
      </c>
      <c r="E7347" s="5">
        <f>IF(AND(HOUR(B7347)&gt;=6,HOUR(B7347)&lt;18),"Day Shift","Night Shift")</f>
        <v/>
      </c>
      <c r="F7347" s="6">
        <f>INT(B7347)</f>
        <v/>
      </c>
      <c r="G7347" s="6">
        <f>INT(C7347)</f>
        <v/>
      </c>
    </row>
    <row r="7348">
      <c r="A7348" s="2" t="inlineStr">
        <is>
          <t>Blast</t>
        </is>
      </c>
      <c r="B7348" s="3" t="n">
        <v>46137.57328703703</v>
      </c>
      <c r="C7348" s="3" t="n">
        <v>46137.57337962963</v>
      </c>
      <c r="D7348" s="4">
        <f>(C7348-B7348)*24</f>
        <v/>
      </c>
      <c r="E7348" s="5">
        <f>IF(AND(HOUR(B7348)&gt;=6,HOUR(B7348)&lt;18),"Day Shift","Night Shift")</f>
        <v/>
      </c>
      <c r="F7348" s="6">
        <f>INT(B7348)</f>
        <v/>
      </c>
      <c r="G7348" s="6">
        <f>INT(C7348)</f>
        <v/>
      </c>
    </row>
    <row r="7349">
      <c r="A7349" s="2" t="inlineStr">
        <is>
          <t>Blast</t>
        </is>
      </c>
      <c r="B7349" s="3" t="n">
        <v>46137.57337962963</v>
      </c>
      <c r="C7349" s="3" t="n">
        <v>46137.5734375</v>
      </c>
      <c r="D7349" s="4">
        <f>(C7349-B7349)*24</f>
        <v/>
      </c>
      <c r="E7349" s="5">
        <f>IF(AND(HOUR(B7349)&gt;=6,HOUR(B7349)&lt;18),"Day Shift","Night Shift")</f>
        <v/>
      </c>
      <c r="F7349" s="6">
        <f>INT(B7349)</f>
        <v/>
      </c>
      <c r="G7349" s="6">
        <f>INT(C7349)</f>
        <v/>
      </c>
    </row>
    <row r="7350">
      <c r="A7350" s="2" t="inlineStr">
        <is>
          <t>Blast</t>
        </is>
      </c>
      <c r="B7350" s="3" t="n">
        <v>46137.5734375</v>
      </c>
      <c r="C7350" s="3" t="n">
        <v>46137.57344907407</v>
      </c>
      <c r="D7350" s="4">
        <f>(C7350-B7350)*24</f>
        <v/>
      </c>
      <c r="E7350" s="5">
        <f>IF(AND(HOUR(B7350)&gt;=6,HOUR(B7350)&lt;18),"Day Shift","Night Shift")</f>
        <v/>
      </c>
      <c r="F7350" s="6">
        <f>INT(B7350)</f>
        <v/>
      </c>
      <c r="G7350" s="6">
        <f>INT(C7350)</f>
        <v/>
      </c>
    </row>
    <row r="7351">
      <c r="A7351" s="2" t="inlineStr">
        <is>
          <t>EXD56</t>
        </is>
      </c>
      <c r="B7351" s="3" t="n">
        <v>46137.67337962963</v>
      </c>
      <c r="C7351" s="3" t="n">
        <v>46137.75</v>
      </c>
      <c r="D7351" s="4">
        <f>(C7351-B7351)*24</f>
        <v/>
      </c>
      <c r="E7351" s="5">
        <f>IF(AND(HOUR(B7351)&gt;=6,HOUR(B7351)&lt;18),"Day Shift","Night Shift")</f>
        <v/>
      </c>
      <c r="F7351" s="6">
        <f>INT(B7351)</f>
        <v/>
      </c>
      <c r="G7351" s="6">
        <f>INT(C7351)</f>
        <v/>
      </c>
    </row>
    <row r="7352">
      <c r="A7352" s="7" t="inlineStr">
        <is>
          <t>EXD56</t>
        </is>
      </c>
      <c r="B7352" s="8" t="n">
        <v>46137.75</v>
      </c>
      <c r="C7352" s="8" t="n">
        <v>46138.25</v>
      </c>
      <c r="D7352" s="9">
        <f>(C7352-B7352)*24</f>
        <v/>
      </c>
      <c r="E7352" s="10">
        <f>IF(AND(HOUR(B7352)&gt;=6,HOUR(B7352)&lt;18),"Day Shift","Night Shift")</f>
        <v/>
      </c>
      <c r="F7352" s="11">
        <f>INT(B7352)</f>
        <v/>
      </c>
      <c r="G7352" s="11">
        <f>INT(C7352)</f>
        <v/>
      </c>
    </row>
    <row r="7353">
      <c r="A7353" s="2" t="inlineStr">
        <is>
          <t>EXD56</t>
        </is>
      </c>
      <c r="B7353" s="3" t="n">
        <v>46138.25</v>
      </c>
      <c r="C7353" s="3" t="n">
        <v>46138.75</v>
      </c>
      <c r="D7353" s="4">
        <f>(C7353-B7353)*24</f>
        <v/>
      </c>
      <c r="E7353" s="5">
        <f>IF(AND(HOUR(B7353)&gt;=6,HOUR(B7353)&lt;18),"Day Shift","Night Shift")</f>
        <v/>
      </c>
      <c r="F7353" s="6">
        <f>INT(B7353)</f>
        <v/>
      </c>
      <c r="G7353" s="6">
        <f>INT(C7353)</f>
        <v/>
      </c>
    </row>
    <row r="7354">
      <c r="A7354" s="7" t="inlineStr">
        <is>
          <t>EXD56</t>
        </is>
      </c>
      <c r="B7354" s="8" t="n">
        <v>46138.75</v>
      </c>
      <c r="C7354" s="8" t="n">
        <v>46138.82795138889</v>
      </c>
      <c r="D7354" s="9">
        <f>(C7354-B7354)*24</f>
        <v/>
      </c>
      <c r="E7354" s="10">
        <f>IF(AND(HOUR(B7354)&gt;=6,HOUR(B7354)&lt;18),"Day Shift","Night Shift")</f>
        <v/>
      </c>
      <c r="F7354" s="11">
        <f>INT(B7354)</f>
        <v/>
      </c>
      <c r="G7354" s="11">
        <f>INT(C7354)</f>
        <v/>
      </c>
    </row>
    <row r="7355">
      <c r="A7355" s="2" t="inlineStr">
        <is>
          <t>EXD73</t>
        </is>
      </c>
      <c r="B7355" s="3" t="n">
        <v>46137.67604166667</v>
      </c>
      <c r="C7355" s="3" t="n">
        <v>46137.75</v>
      </c>
      <c r="D7355" s="4">
        <f>(C7355-B7355)*24</f>
        <v/>
      </c>
      <c r="E7355" s="5">
        <f>IF(AND(HOUR(B7355)&gt;=6,HOUR(B7355)&lt;18),"Day Shift","Night Shift")</f>
        <v/>
      </c>
      <c r="F7355" s="6">
        <f>INT(B7355)</f>
        <v/>
      </c>
      <c r="G7355" s="6">
        <f>INT(C7355)</f>
        <v/>
      </c>
    </row>
    <row r="7356">
      <c r="A7356" s="7" t="inlineStr">
        <is>
          <t>EXD73</t>
        </is>
      </c>
      <c r="B7356" s="8" t="n">
        <v>46137.75</v>
      </c>
      <c r="C7356" s="8" t="n">
        <v>46138.25</v>
      </c>
      <c r="D7356" s="9">
        <f>(C7356-B7356)*24</f>
        <v/>
      </c>
      <c r="E7356" s="10">
        <f>IF(AND(HOUR(B7356)&gt;=6,HOUR(B7356)&lt;18),"Day Shift","Night Shift")</f>
        <v/>
      </c>
      <c r="F7356" s="11">
        <f>INT(B7356)</f>
        <v/>
      </c>
      <c r="G7356" s="11">
        <f>INT(C7356)</f>
        <v/>
      </c>
    </row>
    <row r="7357">
      <c r="A7357" s="2" t="inlineStr">
        <is>
          <t>EXD73</t>
        </is>
      </c>
      <c r="B7357" s="3" t="n">
        <v>46138.25</v>
      </c>
      <c r="C7357" s="3" t="n">
        <v>46138.75</v>
      </c>
      <c r="D7357" s="4">
        <f>(C7357-B7357)*24</f>
        <v/>
      </c>
      <c r="E7357" s="5">
        <f>IF(AND(HOUR(B7357)&gt;=6,HOUR(B7357)&lt;18),"Day Shift","Night Shift")</f>
        <v/>
      </c>
      <c r="F7357" s="6">
        <f>INT(B7357)</f>
        <v/>
      </c>
      <c r="G7357" s="6">
        <f>INT(C7357)</f>
        <v/>
      </c>
    </row>
    <row r="7358">
      <c r="A7358" s="7" t="inlineStr">
        <is>
          <t>EXD73</t>
        </is>
      </c>
      <c r="B7358" s="8" t="n">
        <v>46138.75</v>
      </c>
      <c r="C7358" s="8" t="n">
        <v>46138.93766203704</v>
      </c>
      <c r="D7358" s="9">
        <f>(C7358-B7358)*24</f>
        <v/>
      </c>
      <c r="E7358" s="10">
        <f>IF(AND(HOUR(B7358)&gt;=6,HOUR(B7358)&lt;18),"Day Shift","Night Shift")</f>
        <v/>
      </c>
      <c r="F7358" s="11">
        <f>INT(B7358)</f>
        <v/>
      </c>
      <c r="G7358" s="11">
        <f>INT(C7358)</f>
        <v/>
      </c>
    </row>
    <row r="7359">
      <c r="A7359" s="2" t="inlineStr">
        <is>
          <t>EDD175;EDD1932;EDD2134;EDD2541;EDD812;Sprint 1</t>
        </is>
      </c>
      <c r="B7359" s="3" t="n">
        <v>46137.71767361111</v>
      </c>
      <c r="C7359" s="3" t="n">
        <v>46137.75</v>
      </c>
      <c r="D7359" s="4">
        <f>(C7359-B7359)*24</f>
        <v/>
      </c>
      <c r="E7359" s="5">
        <f>IF(AND(HOUR(B7359)&gt;=6,HOUR(B7359)&lt;18),"Day Shift","Night Shift")</f>
        <v/>
      </c>
      <c r="F7359" s="6">
        <f>INT(B7359)</f>
        <v/>
      </c>
      <c r="G7359" s="6">
        <f>INT(C7359)</f>
        <v/>
      </c>
    </row>
    <row r="7360">
      <c r="A7360" s="7" t="inlineStr">
        <is>
          <t>EDD175;EDD1932;EDD2134;EDD2541;EDD812;Sprint 1</t>
        </is>
      </c>
      <c r="B7360" s="8" t="n">
        <v>46137.75</v>
      </c>
      <c r="C7360" s="8" t="n">
        <v>46138.12681712963</v>
      </c>
      <c r="D7360" s="9">
        <f>(C7360-B7360)*24</f>
        <v/>
      </c>
      <c r="E7360" s="10">
        <f>IF(AND(HOUR(B7360)&gt;=6,HOUR(B7360)&lt;18),"Day Shift","Night Shift")</f>
        <v/>
      </c>
      <c r="F7360" s="11">
        <f>INT(B7360)</f>
        <v/>
      </c>
      <c r="G7360" s="11">
        <f>INT(C7360)</f>
        <v/>
      </c>
    </row>
    <row r="7361">
      <c r="A7361" s="7" t="inlineStr">
        <is>
          <t>EXD51</t>
        </is>
      </c>
      <c r="B7361" s="8" t="n">
        <v>46137.75809027778</v>
      </c>
      <c r="C7361" s="8" t="n">
        <v>46138.25</v>
      </c>
      <c r="D7361" s="9">
        <f>(C7361-B7361)*24</f>
        <v/>
      </c>
      <c r="E7361" s="10">
        <f>IF(AND(HOUR(B7361)&gt;=6,HOUR(B7361)&lt;18),"Day Shift","Night Shift")</f>
        <v/>
      </c>
      <c r="F7361" s="11">
        <f>INT(B7361)</f>
        <v/>
      </c>
      <c r="G7361" s="11">
        <f>INT(C7361)</f>
        <v/>
      </c>
    </row>
    <row r="7362">
      <c r="A7362" s="2" t="inlineStr">
        <is>
          <t>EXD51</t>
        </is>
      </c>
      <c r="B7362" s="3" t="n">
        <v>46138.25</v>
      </c>
      <c r="C7362" s="3" t="n">
        <v>46138.75</v>
      </c>
      <c r="D7362" s="4">
        <f>(C7362-B7362)*24</f>
        <v/>
      </c>
      <c r="E7362" s="5">
        <f>IF(AND(HOUR(B7362)&gt;=6,HOUR(B7362)&lt;18),"Day Shift","Night Shift")</f>
        <v/>
      </c>
      <c r="F7362" s="6">
        <f>INT(B7362)</f>
        <v/>
      </c>
      <c r="G7362" s="6">
        <f>INT(C7362)</f>
        <v/>
      </c>
    </row>
    <row r="7363">
      <c r="A7363" s="7" t="inlineStr">
        <is>
          <t>EXD51</t>
        </is>
      </c>
      <c r="B7363" s="8" t="n">
        <v>46138.75</v>
      </c>
      <c r="C7363" s="8" t="n">
        <v>46138.86096064815</v>
      </c>
      <c r="D7363" s="9">
        <f>(C7363-B7363)*24</f>
        <v/>
      </c>
      <c r="E7363" s="10">
        <f>IF(AND(HOUR(B7363)&gt;=6,HOUR(B7363)&lt;18),"Day Shift","Night Shift")</f>
        <v/>
      </c>
      <c r="F7363" s="11">
        <f>INT(B7363)</f>
        <v/>
      </c>
      <c r="G7363" s="11">
        <f>INT(C7363)</f>
        <v/>
      </c>
    </row>
    <row r="7364">
      <c r="A7364" s="7" t="inlineStr">
        <is>
          <t>EXD101</t>
        </is>
      </c>
      <c r="B7364" s="8" t="n">
        <v>46137.86613425926</v>
      </c>
      <c r="C7364" s="8" t="n">
        <v>46138.23052083333</v>
      </c>
      <c r="D7364" s="9">
        <f>(C7364-B7364)*24</f>
        <v/>
      </c>
      <c r="E7364" s="10">
        <f>IF(AND(HOUR(B7364)&gt;=6,HOUR(B7364)&lt;18),"Day Shift","Night Shift")</f>
        <v/>
      </c>
      <c r="F7364" s="11">
        <f>INT(B7364)</f>
        <v/>
      </c>
      <c r="G7364" s="11">
        <f>INT(C7364)</f>
        <v/>
      </c>
    </row>
    <row r="7365">
      <c r="A7365" s="7" t="inlineStr">
        <is>
          <t>DRE08</t>
        </is>
      </c>
      <c r="B7365" s="8" t="n">
        <v>46137.87043981482</v>
      </c>
      <c r="C7365" s="8" t="n">
        <v>46138.25</v>
      </c>
      <c r="D7365" s="9">
        <f>(C7365-B7365)*24</f>
        <v/>
      </c>
      <c r="E7365" s="10">
        <f>IF(AND(HOUR(B7365)&gt;=6,HOUR(B7365)&lt;18),"Day Shift","Night Shift")</f>
        <v/>
      </c>
      <c r="F7365" s="11">
        <f>INT(B7365)</f>
        <v/>
      </c>
      <c r="G7365" s="11">
        <f>INT(C7365)</f>
        <v/>
      </c>
    </row>
    <row r="7366">
      <c r="A7366" s="2" t="inlineStr">
        <is>
          <t>DRE08</t>
        </is>
      </c>
      <c r="B7366" s="3" t="n">
        <v>46138.25</v>
      </c>
      <c r="C7366" s="3" t="n">
        <v>46138.75</v>
      </c>
      <c r="D7366" s="4">
        <f>(C7366-B7366)*24</f>
        <v/>
      </c>
      <c r="E7366" s="5">
        <f>IF(AND(HOUR(B7366)&gt;=6,HOUR(B7366)&lt;18),"Day Shift","Night Shift")</f>
        <v/>
      </c>
      <c r="F7366" s="6">
        <f>INT(B7366)</f>
        <v/>
      </c>
      <c r="G7366" s="6">
        <f>INT(C7366)</f>
        <v/>
      </c>
    </row>
    <row r="7367">
      <c r="A7367" s="7" t="inlineStr">
        <is>
          <t>DRE08</t>
        </is>
      </c>
      <c r="B7367" s="8" t="n">
        <v>46138.75</v>
      </c>
      <c r="C7367" s="8" t="n">
        <v>46139.25</v>
      </c>
      <c r="D7367" s="9">
        <f>(C7367-B7367)*24</f>
        <v/>
      </c>
      <c r="E7367" s="10">
        <f>IF(AND(HOUR(B7367)&gt;=6,HOUR(B7367)&lt;18),"Day Shift","Night Shift")</f>
        <v/>
      </c>
      <c r="F7367" s="11">
        <f>INT(B7367)</f>
        <v/>
      </c>
      <c r="G7367" s="11">
        <f>INT(C7367)</f>
        <v/>
      </c>
    </row>
    <row r="7368">
      <c r="A7368" s="2" t="inlineStr">
        <is>
          <t>DRE08</t>
        </is>
      </c>
      <c r="B7368" s="3" t="n">
        <v>46139.25</v>
      </c>
      <c r="C7368" s="3" t="n">
        <v>46139.75</v>
      </c>
      <c r="D7368" s="4">
        <f>(C7368-B7368)*24</f>
        <v/>
      </c>
      <c r="E7368" s="5">
        <f>IF(AND(HOUR(B7368)&gt;=6,HOUR(B7368)&lt;18),"Day Shift","Night Shift")</f>
        <v/>
      </c>
      <c r="F7368" s="6">
        <f>INT(B7368)</f>
        <v/>
      </c>
      <c r="G7368" s="6">
        <f>INT(C7368)</f>
        <v/>
      </c>
    </row>
    <row r="7369">
      <c r="A7369" s="7" t="inlineStr">
        <is>
          <t>DRE08</t>
        </is>
      </c>
      <c r="B7369" s="8" t="n">
        <v>46139.75</v>
      </c>
      <c r="C7369" s="8" t="n">
        <v>46140.25</v>
      </c>
      <c r="D7369" s="9">
        <f>(C7369-B7369)*24</f>
        <v/>
      </c>
      <c r="E7369" s="10">
        <f>IF(AND(HOUR(B7369)&gt;=6,HOUR(B7369)&lt;18),"Day Shift","Night Shift")</f>
        <v/>
      </c>
      <c r="F7369" s="11">
        <f>INT(B7369)</f>
        <v/>
      </c>
      <c r="G7369" s="11">
        <f>INT(C7369)</f>
        <v/>
      </c>
    </row>
    <row r="7370">
      <c r="A7370" s="2" t="inlineStr">
        <is>
          <t>DRE08</t>
        </is>
      </c>
      <c r="B7370" s="3" t="n">
        <v>46140.25</v>
      </c>
      <c r="C7370" s="3" t="n">
        <v>46140.75</v>
      </c>
      <c r="D7370" s="4">
        <f>(C7370-B7370)*24</f>
        <v/>
      </c>
      <c r="E7370" s="5">
        <f>IF(AND(HOUR(B7370)&gt;=6,HOUR(B7370)&lt;18),"Day Shift","Night Shift")</f>
        <v/>
      </c>
      <c r="F7370" s="6">
        <f>INT(B7370)</f>
        <v/>
      </c>
      <c r="G7370" s="6">
        <f>INT(C7370)</f>
        <v/>
      </c>
    </row>
    <row r="7371">
      <c r="A7371" s="7" t="inlineStr">
        <is>
          <t>DRE08</t>
        </is>
      </c>
      <c r="B7371" s="8" t="n">
        <v>46140.75</v>
      </c>
      <c r="C7371" s="8" t="n">
        <v>46141.25</v>
      </c>
      <c r="D7371" s="9">
        <f>(C7371-B7371)*24</f>
        <v/>
      </c>
      <c r="E7371" s="10">
        <f>IF(AND(HOUR(B7371)&gt;=6,HOUR(B7371)&lt;18),"Day Shift","Night Shift")</f>
        <v/>
      </c>
      <c r="F7371" s="11">
        <f>INT(B7371)</f>
        <v/>
      </c>
      <c r="G7371" s="11">
        <f>INT(C7371)</f>
        <v/>
      </c>
    </row>
    <row r="7372">
      <c r="A7372" s="2" t="inlineStr">
        <is>
          <t>DRE08</t>
        </is>
      </c>
      <c r="B7372" s="3" t="n">
        <v>46141.25</v>
      </c>
      <c r="C7372" s="3" t="n">
        <v>46141.75</v>
      </c>
      <c r="D7372" s="4">
        <f>(C7372-B7372)*24</f>
        <v/>
      </c>
      <c r="E7372" s="5">
        <f>IF(AND(HOUR(B7372)&gt;=6,HOUR(B7372)&lt;18),"Day Shift","Night Shift")</f>
        <v/>
      </c>
      <c r="F7372" s="6">
        <f>INT(B7372)</f>
        <v/>
      </c>
      <c r="G7372" s="6">
        <f>INT(C7372)</f>
        <v/>
      </c>
    </row>
    <row r="7373">
      <c r="A7373" s="7" t="inlineStr">
        <is>
          <t>DRE08</t>
        </is>
      </c>
      <c r="B7373" s="8" t="n">
        <v>46141.75</v>
      </c>
      <c r="C7373" s="8" t="n">
        <v>46142.25</v>
      </c>
      <c r="D7373" s="9">
        <f>(C7373-B7373)*24</f>
        <v/>
      </c>
      <c r="E7373" s="10">
        <f>IF(AND(HOUR(B7373)&gt;=6,HOUR(B7373)&lt;18),"Day Shift","Night Shift")</f>
        <v/>
      </c>
      <c r="F7373" s="11">
        <f>INT(B7373)</f>
        <v/>
      </c>
      <c r="G7373" s="11">
        <f>INT(C7373)</f>
        <v/>
      </c>
    </row>
    <row r="7374">
      <c r="A7374" s="2" t="inlineStr">
        <is>
          <t>DRE08</t>
        </is>
      </c>
      <c r="B7374" s="3" t="n">
        <v>46142.25</v>
      </c>
      <c r="C7374" s="3" t="n">
        <v>46142.36631944445</v>
      </c>
      <c r="D7374" s="4">
        <f>(C7374-B7374)*24</f>
        <v/>
      </c>
      <c r="E7374" s="5">
        <f>IF(AND(HOUR(B7374)&gt;=6,HOUR(B7374)&lt;18),"Day Shift","Night Shift")</f>
        <v/>
      </c>
      <c r="F7374" s="6">
        <f>INT(B7374)</f>
        <v/>
      </c>
      <c r="G7374" s="6">
        <f>INT(C7374)</f>
        <v/>
      </c>
    </row>
    <row r="7375">
      <c r="A7375" s="7" t="inlineStr">
        <is>
          <t>LDW262;LDW265</t>
        </is>
      </c>
      <c r="B7375" s="8" t="n">
        <v>46137.87767361111</v>
      </c>
      <c r="C7375" s="8" t="n">
        <v>46138.25</v>
      </c>
      <c r="D7375" s="9">
        <f>(C7375-B7375)*24</f>
        <v/>
      </c>
      <c r="E7375" s="10">
        <f>IF(AND(HOUR(B7375)&gt;=6,HOUR(B7375)&lt;18),"Day Shift","Night Shift")</f>
        <v/>
      </c>
      <c r="F7375" s="11">
        <f>INT(B7375)</f>
        <v/>
      </c>
      <c r="G7375" s="11">
        <f>INT(C7375)</f>
        <v/>
      </c>
    </row>
    <row r="7376">
      <c r="A7376" s="2" t="inlineStr">
        <is>
          <t>LDW262;LDW265</t>
        </is>
      </c>
      <c r="B7376" s="3" t="n">
        <v>46138.25</v>
      </c>
      <c r="C7376" s="3" t="n">
        <v>46138.75</v>
      </c>
      <c r="D7376" s="4">
        <f>(C7376-B7376)*24</f>
        <v/>
      </c>
      <c r="E7376" s="5">
        <f>IF(AND(HOUR(B7376)&gt;=6,HOUR(B7376)&lt;18),"Day Shift","Night Shift")</f>
        <v/>
      </c>
      <c r="F7376" s="6">
        <f>INT(B7376)</f>
        <v/>
      </c>
      <c r="G7376" s="6">
        <f>INT(C7376)</f>
        <v/>
      </c>
    </row>
    <row r="7377">
      <c r="A7377" s="7" t="inlineStr">
        <is>
          <t>LDW262;LDW265</t>
        </is>
      </c>
      <c r="B7377" s="8" t="n">
        <v>46138.75</v>
      </c>
      <c r="C7377" s="8" t="n">
        <v>46139.25</v>
      </c>
      <c r="D7377" s="9">
        <f>(C7377-B7377)*24</f>
        <v/>
      </c>
      <c r="E7377" s="10">
        <f>IF(AND(HOUR(B7377)&gt;=6,HOUR(B7377)&lt;18),"Day Shift","Night Shift")</f>
        <v/>
      </c>
      <c r="F7377" s="11">
        <f>INT(B7377)</f>
        <v/>
      </c>
      <c r="G7377" s="11">
        <f>INT(C7377)</f>
        <v/>
      </c>
    </row>
    <row r="7378">
      <c r="A7378" s="2" t="inlineStr">
        <is>
          <t>LDW262;LDW265</t>
        </is>
      </c>
      <c r="B7378" s="3" t="n">
        <v>46139.25</v>
      </c>
      <c r="C7378" s="3" t="n">
        <v>46139.28743055555</v>
      </c>
      <c r="D7378" s="4">
        <f>(C7378-B7378)*24</f>
        <v/>
      </c>
      <c r="E7378" s="5">
        <f>IF(AND(HOUR(B7378)&gt;=6,HOUR(B7378)&lt;18),"Day Shift","Night Shift")</f>
        <v/>
      </c>
      <c r="F7378" s="6">
        <f>INT(B7378)</f>
        <v/>
      </c>
      <c r="G7378" s="6">
        <f>INT(C7378)</f>
        <v/>
      </c>
    </row>
    <row r="7379">
      <c r="A7379" s="7" t="inlineStr">
        <is>
          <t>EXD61</t>
        </is>
      </c>
      <c r="B7379" s="8" t="n">
        <v>46137.90518518518</v>
      </c>
      <c r="C7379" s="8" t="n">
        <v>46138.17394675926</v>
      </c>
      <c r="D7379" s="9">
        <f>(C7379-B7379)*24</f>
        <v/>
      </c>
      <c r="E7379" s="10">
        <f>IF(AND(HOUR(B7379)&gt;=6,HOUR(B7379)&lt;18),"Day Shift","Night Shift")</f>
        <v/>
      </c>
      <c r="F7379" s="11">
        <f>INT(B7379)</f>
        <v/>
      </c>
      <c r="G7379" s="11">
        <f>INT(C7379)</f>
        <v/>
      </c>
    </row>
    <row r="7380">
      <c r="A7380" s="7" t="inlineStr">
        <is>
          <t>EXD60</t>
        </is>
      </c>
      <c r="B7380" s="8" t="n">
        <v>46138.02721064815</v>
      </c>
      <c r="C7380" s="8" t="n">
        <v>46138.25</v>
      </c>
      <c r="D7380" s="9">
        <f>(C7380-B7380)*24</f>
        <v/>
      </c>
      <c r="E7380" s="10">
        <f>IF(AND(HOUR(B7380)&gt;=6,HOUR(B7380)&lt;18),"Day Shift","Night Shift")</f>
        <v/>
      </c>
      <c r="F7380" s="11">
        <f>INT(B7380)</f>
        <v/>
      </c>
      <c r="G7380" s="11">
        <f>INT(C7380)</f>
        <v/>
      </c>
    </row>
    <row r="7381">
      <c r="A7381" s="2" t="inlineStr">
        <is>
          <t>EXD60</t>
        </is>
      </c>
      <c r="B7381" s="3" t="n">
        <v>46138.25</v>
      </c>
      <c r="C7381" s="3" t="n">
        <v>46138.36270833333</v>
      </c>
      <c r="D7381" s="4">
        <f>(C7381-B7381)*24</f>
        <v/>
      </c>
      <c r="E7381" s="5">
        <f>IF(AND(HOUR(B7381)&gt;=6,HOUR(B7381)&lt;18),"Day Shift","Night Shift")</f>
        <v/>
      </c>
      <c r="F7381" s="6">
        <f>INT(B7381)</f>
        <v/>
      </c>
      <c r="G7381" s="6">
        <f>INT(C7381)</f>
        <v/>
      </c>
    </row>
    <row r="7382">
      <c r="A7382" s="7" t="inlineStr">
        <is>
          <t>EXD407</t>
        </is>
      </c>
      <c r="B7382" s="8" t="n">
        <v>46138.11454861111</v>
      </c>
      <c r="C7382" s="8" t="n">
        <v>46138.25</v>
      </c>
      <c r="D7382" s="9">
        <f>(C7382-B7382)*24</f>
        <v/>
      </c>
      <c r="E7382" s="10">
        <f>IF(AND(HOUR(B7382)&gt;=6,HOUR(B7382)&lt;18),"Day Shift","Night Shift")</f>
        <v/>
      </c>
      <c r="F7382" s="11">
        <f>INT(B7382)</f>
        <v/>
      </c>
      <c r="G7382" s="11">
        <f>INT(C7382)</f>
        <v/>
      </c>
    </row>
    <row r="7383">
      <c r="A7383" s="2" t="inlineStr">
        <is>
          <t>EXD407</t>
        </is>
      </c>
      <c r="B7383" s="3" t="n">
        <v>46138.25</v>
      </c>
      <c r="C7383" s="3" t="n">
        <v>46138.75</v>
      </c>
      <c r="D7383" s="4">
        <f>(C7383-B7383)*24</f>
        <v/>
      </c>
      <c r="E7383" s="5">
        <f>IF(AND(HOUR(B7383)&gt;=6,HOUR(B7383)&lt;18),"Day Shift","Night Shift")</f>
        <v/>
      </c>
      <c r="F7383" s="6">
        <f>INT(B7383)</f>
        <v/>
      </c>
      <c r="G7383" s="6">
        <f>INT(C7383)</f>
        <v/>
      </c>
    </row>
    <row r="7384">
      <c r="A7384" s="7" t="inlineStr">
        <is>
          <t>EXD407</t>
        </is>
      </c>
      <c r="B7384" s="8" t="n">
        <v>46138.75</v>
      </c>
      <c r="C7384" s="8" t="n">
        <v>46139.18435185185</v>
      </c>
      <c r="D7384" s="9">
        <f>(C7384-B7384)*24</f>
        <v/>
      </c>
      <c r="E7384" s="10">
        <f>IF(AND(HOUR(B7384)&gt;=6,HOUR(B7384)&lt;18),"Day Shift","Night Shift")</f>
        <v/>
      </c>
      <c r="F7384" s="11">
        <f>INT(B7384)</f>
        <v/>
      </c>
      <c r="G7384" s="11">
        <f>INT(C7384)</f>
        <v/>
      </c>
    </row>
    <row r="7385">
      <c r="A7385" s="7" t="inlineStr">
        <is>
          <t>EDD1932;EDD2134;EDD2541;EDD812;Sprint 1</t>
        </is>
      </c>
      <c r="B7385" s="8" t="n">
        <v>46138.12681712963</v>
      </c>
      <c r="C7385" s="8" t="n">
        <v>46138.25</v>
      </c>
      <c r="D7385" s="9">
        <f>(C7385-B7385)*24</f>
        <v/>
      </c>
      <c r="E7385" s="10">
        <f>IF(AND(HOUR(B7385)&gt;=6,HOUR(B7385)&lt;18),"Day Shift","Night Shift")</f>
        <v/>
      </c>
      <c r="F7385" s="11">
        <f>INT(B7385)</f>
        <v/>
      </c>
      <c r="G7385" s="11">
        <f>INT(C7385)</f>
        <v/>
      </c>
    </row>
    <row r="7386">
      <c r="A7386" s="2" t="inlineStr">
        <is>
          <t>EDD1932;EDD2134;EDD2541;EDD812;Sprint 1</t>
        </is>
      </c>
      <c r="B7386" s="3" t="n">
        <v>46138.25</v>
      </c>
      <c r="C7386" s="3" t="n">
        <v>46138.69277777777</v>
      </c>
      <c r="D7386" s="4">
        <f>(C7386-B7386)*24</f>
        <v/>
      </c>
      <c r="E7386" s="5">
        <f>IF(AND(HOUR(B7386)&gt;=6,HOUR(B7386)&lt;18),"Day Shift","Night Shift")</f>
        <v/>
      </c>
      <c r="F7386" s="6">
        <f>INT(B7386)</f>
        <v/>
      </c>
      <c r="G7386" s="6">
        <f>INT(C7386)</f>
        <v/>
      </c>
    </row>
    <row r="7387">
      <c r="A7387" s="7" t="inlineStr">
        <is>
          <t>EXD408</t>
        </is>
      </c>
      <c r="B7387" s="8" t="n">
        <v>46138.17167824074</v>
      </c>
      <c r="C7387" s="8" t="n">
        <v>46138.25</v>
      </c>
      <c r="D7387" s="9">
        <f>(C7387-B7387)*24</f>
        <v/>
      </c>
      <c r="E7387" s="10">
        <f>IF(AND(HOUR(B7387)&gt;=6,HOUR(B7387)&lt;18),"Day Shift","Night Shift")</f>
        <v/>
      </c>
      <c r="F7387" s="11">
        <f>INT(B7387)</f>
        <v/>
      </c>
      <c r="G7387" s="11">
        <f>INT(C7387)</f>
        <v/>
      </c>
    </row>
    <row r="7388">
      <c r="A7388" s="2" t="inlineStr">
        <is>
          <t>EXD408</t>
        </is>
      </c>
      <c r="B7388" s="3" t="n">
        <v>46138.25</v>
      </c>
      <c r="C7388" s="3" t="n">
        <v>46138.75</v>
      </c>
      <c r="D7388" s="4">
        <f>(C7388-B7388)*24</f>
        <v/>
      </c>
      <c r="E7388" s="5">
        <f>IF(AND(HOUR(B7388)&gt;=6,HOUR(B7388)&lt;18),"Day Shift","Night Shift")</f>
        <v/>
      </c>
      <c r="F7388" s="6">
        <f>INT(B7388)</f>
        <v/>
      </c>
      <c r="G7388" s="6">
        <f>INT(C7388)</f>
        <v/>
      </c>
    </row>
    <row r="7389">
      <c r="A7389" s="7" t="inlineStr">
        <is>
          <t>EXD408</t>
        </is>
      </c>
      <c r="B7389" s="8" t="n">
        <v>46138.75</v>
      </c>
      <c r="C7389" s="8" t="n">
        <v>46139.25</v>
      </c>
      <c r="D7389" s="9">
        <f>(C7389-B7389)*24</f>
        <v/>
      </c>
      <c r="E7389" s="10">
        <f>IF(AND(HOUR(B7389)&gt;=6,HOUR(B7389)&lt;18),"Day Shift","Night Shift")</f>
        <v/>
      </c>
      <c r="F7389" s="11">
        <f>INT(B7389)</f>
        <v/>
      </c>
      <c r="G7389" s="11">
        <f>INT(C7389)</f>
        <v/>
      </c>
    </row>
    <row r="7390">
      <c r="A7390" s="2" t="inlineStr">
        <is>
          <t>EXD408</t>
        </is>
      </c>
      <c r="B7390" s="3" t="n">
        <v>46139.25</v>
      </c>
      <c r="C7390" s="3" t="n">
        <v>46139.4180324074</v>
      </c>
      <c r="D7390" s="4">
        <f>(C7390-B7390)*24</f>
        <v/>
      </c>
      <c r="E7390" s="5">
        <f>IF(AND(HOUR(B7390)&gt;=6,HOUR(B7390)&lt;18),"Day Shift","Night Shift")</f>
        <v/>
      </c>
      <c r="F7390" s="6">
        <f>INT(B7390)</f>
        <v/>
      </c>
      <c r="G7390" s="6">
        <f>INT(C7390)</f>
        <v/>
      </c>
    </row>
    <row r="7391">
      <c r="A7391" s="7" t="inlineStr">
        <is>
          <t>EXD61</t>
        </is>
      </c>
      <c r="B7391" s="8" t="n">
        <v>46138.17394675926</v>
      </c>
      <c r="C7391" s="8" t="n">
        <v>46138.25</v>
      </c>
      <c r="D7391" s="9">
        <f>(C7391-B7391)*24</f>
        <v/>
      </c>
      <c r="E7391" s="10">
        <f>IF(AND(HOUR(B7391)&gt;=6,HOUR(B7391)&lt;18),"Day Shift","Night Shift")</f>
        <v/>
      </c>
      <c r="F7391" s="11">
        <f>INT(B7391)</f>
        <v/>
      </c>
      <c r="G7391" s="11">
        <f>INT(C7391)</f>
        <v/>
      </c>
    </row>
    <row r="7392">
      <c r="A7392" s="2" t="inlineStr">
        <is>
          <t>EXD61</t>
        </is>
      </c>
      <c r="B7392" s="3" t="n">
        <v>46138.25</v>
      </c>
      <c r="C7392" s="3" t="n">
        <v>46138.75</v>
      </c>
      <c r="D7392" s="4">
        <f>(C7392-B7392)*24</f>
        <v/>
      </c>
      <c r="E7392" s="5">
        <f>IF(AND(HOUR(B7392)&gt;=6,HOUR(B7392)&lt;18),"Day Shift","Night Shift")</f>
        <v/>
      </c>
      <c r="F7392" s="6">
        <f>INT(B7392)</f>
        <v/>
      </c>
      <c r="G7392" s="6">
        <f>INT(C7392)</f>
        <v/>
      </c>
    </row>
    <row r="7393">
      <c r="A7393" s="7" t="inlineStr">
        <is>
          <t>EXD61</t>
        </is>
      </c>
      <c r="B7393" s="8" t="n">
        <v>46138.75</v>
      </c>
      <c r="C7393" s="8" t="n">
        <v>46139.25</v>
      </c>
      <c r="D7393" s="9">
        <f>(C7393-B7393)*24</f>
        <v/>
      </c>
      <c r="E7393" s="10">
        <f>IF(AND(HOUR(B7393)&gt;=6,HOUR(B7393)&lt;18),"Day Shift","Night Shift")</f>
        <v/>
      </c>
      <c r="F7393" s="11">
        <f>INT(B7393)</f>
        <v/>
      </c>
      <c r="G7393" s="11">
        <f>INT(C7393)</f>
        <v/>
      </c>
    </row>
    <row r="7394">
      <c r="A7394" s="2" t="inlineStr">
        <is>
          <t>EXD61</t>
        </is>
      </c>
      <c r="B7394" s="3" t="n">
        <v>46139.25</v>
      </c>
      <c r="C7394" s="3" t="n">
        <v>46139.75</v>
      </c>
      <c r="D7394" s="4">
        <f>(C7394-B7394)*24</f>
        <v/>
      </c>
      <c r="E7394" s="5">
        <f>IF(AND(HOUR(B7394)&gt;=6,HOUR(B7394)&lt;18),"Day Shift","Night Shift")</f>
        <v/>
      </c>
      <c r="F7394" s="6">
        <f>INT(B7394)</f>
        <v/>
      </c>
      <c r="G7394" s="6">
        <f>INT(C7394)</f>
        <v/>
      </c>
    </row>
    <row r="7395">
      <c r="A7395" s="7" t="inlineStr">
        <is>
          <t>EXD61</t>
        </is>
      </c>
      <c r="B7395" s="8" t="n">
        <v>46139.75</v>
      </c>
      <c r="C7395" s="8" t="n">
        <v>46140.25</v>
      </c>
      <c r="D7395" s="9">
        <f>(C7395-B7395)*24</f>
        <v/>
      </c>
      <c r="E7395" s="10">
        <f>IF(AND(HOUR(B7395)&gt;=6,HOUR(B7395)&lt;18),"Day Shift","Night Shift")</f>
        <v/>
      </c>
      <c r="F7395" s="11">
        <f>INT(B7395)</f>
        <v/>
      </c>
      <c r="G7395" s="11">
        <f>INT(C7395)</f>
        <v/>
      </c>
    </row>
    <row r="7396">
      <c r="A7396" s="2" t="inlineStr">
        <is>
          <t>EXD61</t>
        </is>
      </c>
      <c r="B7396" s="3" t="n">
        <v>46140.25</v>
      </c>
      <c r="C7396" s="3" t="n">
        <v>46140.35410879629</v>
      </c>
      <c r="D7396" s="4">
        <f>(C7396-B7396)*24</f>
        <v/>
      </c>
      <c r="E7396" s="5">
        <f>IF(AND(HOUR(B7396)&gt;=6,HOUR(B7396)&lt;18),"Day Shift","Night Shift")</f>
        <v/>
      </c>
      <c r="F7396" s="6">
        <f>INT(B7396)</f>
        <v/>
      </c>
      <c r="G7396" s="6">
        <f>INT(C7396)</f>
        <v/>
      </c>
    </row>
    <row r="7397">
      <c r="A7397" s="2" t="inlineStr">
        <is>
          <t>EXD101</t>
        </is>
      </c>
      <c r="B7397" s="3" t="n">
        <v>46138.2617824074</v>
      </c>
      <c r="C7397" s="3" t="n">
        <v>46138.75</v>
      </c>
      <c r="D7397" s="4">
        <f>(C7397-B7397)*24</f>
        <v/>
      </c>
      <c r="E7397" s="5">
        <f>IF(AND(HOUR(B7397)&gt;=6,HOUR(B7397)&lt;18),"Day Shift","Night Shift")</f>
        <v/>
      </c>
      <c r="F7397" s="6">
        <f>INT(B7397)</f>
        <v/>
      </c>
      <c r="G7397" s="6">
        <f>INT(C7397)</f>
        <v/>
      </c>
    </row>
    <row r="7398">
      <c r="A7398" s="7" t="inlineStr">
        <is>
          <t>EXD101</t>
        </is>
      </c>
      <c r="B7398" s="8" t="n">
        <v>46138.75</v>
      </c>
      <c r="C7398" s="8" t="n">
        <v>46139.25</v>
      </c>
      <c r="D7398" s="9">
        <f>(C7398-B7398)*24</f>
        <v/>
      </c>
      <c r="E7398" s="10">
        <f>IF(AND(HOUR(B7398)&gt;=6,HOUR(B7398)&lt;18),"Day Shift","Night Shift")</f>
        <v/>
      </c>
      <c r="F7398" s="11">
        <f>INT(B7398)</f>
        <v/>
      </c>
      <c r="G7398" s="11">
        <f>INT(C7398)</f>
        <v/>
      </c>
    </row>
    <row r="7399">
      <c r="A7399" s="2" t="inlineStr">
        <is>
          <t>EXD101</t>
        </is>
      </c>
      <c r="B7399" s="3" t="n">
        <v>46139.25</v>
      </c>
      <c r="C7399" s="3" t="n">
        <v>46139.75</v>
      </c>
      <c r="D7399" s="4">
        <f>(C7399-B7399)*24</f>
        <v/>
      </c>
      <c r="E7399" s="5">
        <f>IF(AND(HOUR(B7399)&gt;=6,HOUR(B7399)&lt;18),"Day Shift","Night Shift")</f>
        <v/>
      </c>
      <c r="F7399" s="6">
        <f>INT(B7399)</f>
        <v/>
      </c>
      <c r="G7399" s="6">
        <f>INT(C7399)</f>
        <v/>
      </c>
    </row>
    <row r="7400">
      <c r="A7400" s="7" t="inlineStr">
        <is>
          <t>EXD101</t>
        </is>
      </c>
      <c r="B7400" s="8" t="n">
        <v>46139.75</v>
      </c>
      <c r="C7400" s="8" t="n">
        <v>46140.25</v>
      </c>
      <c r="D7400" s="9">
        <f>(C7400-B7400)*24</f>
        <v/>
      </c>
      <c r="E7400" s="10">
        <f>IF(AND(HOUR(B7400)&gt;=6,HOUR(B7400)&lt;18),"Day Shift","Night Shift")</f>
        <v/>
      </c>
      <c r="F7400" s="11">
        <f>INT(B7400)</f>
        <v/>
      </c>
      <c r="G7400" s="11">
        <f>INT(C7400)</f>
        <v/>
      </c>
    </row>
    <row r="7401">
      <c r="A7401" s="2" t="inlineStr">
        <is>
          <t>EXD101</t>
        </is>
      </c>
      <c r="B7401" s="3" t="n">
        <v>46140.25</v>
      </c>
      <c r="C7401" s="3" t="n">
        <v>46140.75</v>
      </c>
      <c r="D7401" s="4">
        <f>(C7401-B7401)*24</f>
        <v/>
      </c>
      <c r="E7401" s="5">
        <f>IF(AND(HOUR(B7401)&gt;=6,HOUR(B7401)&lt;18),"Day Shift","Night Shift")</f>
        <v/>
      </c>
      <c r="F7401" s="6">
        <f>INT(B7401)</f>
        <v/>
      </c>
      <c r="G7401" s="6">
        <f>INT(C7401)</f>
        <v/>
      </c>
    </row>
    <row r="7402">
      <c r="A7402" s="7" t="inlineStr">
        <is>
          <t>EXD101</t>
        </is>
      </c>
      <c r="B7402" s="8" t="n">
        <v>46140.75</v>
      </c>
      <c r="C7402" s="8" t="n">
        <v>46141.22813657407</v>
      </c>
      <c r="D7402" s="9">
        <f>(C7402-B7402)*24</f>
        <v/>
      </c>
      <c r="E7402" s="10">
        <f>IF(AND(HOUR(B7402)&gt;=6,HOUR(B7402)&lt;18),"Day Shift","Night Shift")</f>
        <v/>
      </c>
      <c r="F7402" s="11">
        <f>INT(B7402)</f>
        <v/>
      </c>
      <c r="G7402" s="11">
        <f>INT(C7402)</f>
        <v/>
      </c>
    </row>
    <row r="7403">
      <c r="A7403" s="2" t="inlineStr">
        <is>
          <t>Blast Crew</t>
        </is>
      </c>
      <c r="B7403" s="3" t="n">
        <v>46138.2918287037</v>
      </c>
      <c r="C7403" s="3" t="n">
        <v>46138.46181712963</v>
      </c>
      <c r="D7403" s="4">
        <f>(C7403-B7403)*24</f>
        <v/>
      </c>
      <c r="E7403" s="5">
        <f>IF(AND(HOUR(B7403)&gt;=6,HOUR(B7403)&lt;18),"Day Shift","Night Shift")</f>
        <v/>
      </c>
      <c r="F7403" s="6">
        <f>INT(B7403)</f>
        <v/>
      </c>
      <c r="G7403" s="6">
        <f>INT(C7403)</f>
        <v/>
      </c>
    </row>
    <row r="7404">
      <c r="A7404" s="2" t="inlineStr">
        <is>
          <t>EXD52</t>
        </is>
      </c>
      <c r="B7404" s="3" t="n">
        <v>46138.31261574074</v>
      </c>
      <c r="C7404" s="3" t="n">
        <v>46138.75</v>
      </c>
      <c r="D7404" s="4">
        <f>(C7404-B7404)*24</f>
        <v/>
      </c>
      <c r="E7404" s="5">
        <f>IF(AND(HOUR(B7404)&gt;=6,HOUR(B7404)&lt;18),"Day Shift","Night Shift")</f>
        <v/>
      </c>
      <c r="F7404" s="6">
        <f>INT(B7404)</f>
        <v/>
      </c>
      <c r="G7404" s="6">
        <f>INT(C7404)</f>
        <v/>
      </c>
    </row>
    <row r="7405">
      <c r="A7405" s="7" t="inlineStr">
        <is>
          <t>EXD52</t>
        </is>
      </c>
      <c r="B7405" s="8" t="n">
        <v>46138.75</v>
      </c>
      <c r="C7405" s="8" t="n">
        <v>46138.75975694445</v>
      </c>
      <c r="D7405" s="9">
        <f>(C7405-B7405)*24</f>
        <v/>
      </c>
      <c r="E7405" s="10">
        <f>IF(AND(HOUR(B7405)&gt;=6,HOUR(B7405)&lt;18),"Day Shift","Night Shift")</f>
        <v/>
      </c>
      <c r="F7405" s="11">
        <f>INT(B7405)</f>
        <v/>
      </c>
      <c r="G7405" s="11">
        <f>INT(C7405)</f>
        <v/>
      </c>
    </row>
    <row r="7406">
      <c r="A7406" s="2" t="inlineStr">
        <is>
          <t>EXD98</t>
        </is>
      </c>
      <c r="B7406" s="3" t="n">
        <v>46138.32372685185</v>
      </c>
      <c r="C7406" s="3" t="n">
        <v>46138.75</v>
      </c>
      <c r="D7406" s="4">
        <f>(C7406-B7406)*24</f>
        <v/>
      </c>
      <c r="E7406" s="5">
        <f>IF(AND(HOUR(B7406)&gt;=6,HOUR(B7406)&lt;18),"Day Shift","Night Shift")</f>
        <v/>
      </c>
      <c r="F7406" s="6">
        <f>INT(B7406)</f>
        <v/>
      </c>
      <c r="G7406" s="6">
        <f>INT(C7406)</f>
        <v/>
      </c>
    </row>
    <row r="7407">
      <c r="A7407" s="7" t="inlineStr">
        <is>
          <t>EXD98</t>
        </is>
      </c>
      <c r="B7407" s="8" t="n">
        <v>46138.75</v>
      </c>
      <c r="C7407" s="8" t="n">
        <v>46138.99068287037</v>
      </c>
      <c r="D7407" s="9">
        <f>(C7407-B7407)*24</f>
        <v/>
      </c>
      <c r="E7407" s="10">
        <f>IF(AND(HOUR(B7407)&gt;=6,HOUR(B7407)&lt;18),"Day Shift","Night Shift")</f>
        <v/>
      </c>
      <c r="F7407" s="11">
        <f>INT(B7407)</f>
        <v/>
      </c>
      <c r="G7407" s="11">
        <f>INT(C7407)</f>
        <v/>
      </c>
    </row>
    <row r="7408">
      <c r="A7408" s="2" t="inlineStr">
        <is>
          <t>EXD60</t>
        </is>
      </c>
      <c r="B7408" s="3" t="n">
        <v>46138.36364583333</v>
      </c>
      <c r="C7408" s="3" t="n">
        <v>46138.75</v>
      </c>
      <c r="D7408" s="4">
        <f>(C7408-B7408)*24</f>
        <v/>
      </c>
      <c r="E7408" s="5">
        <f>IF(AND(HOUR(B7408)&gt;=6,HOUR(B7408)&lt;18),"Day Shift","Night Shift")</f>
        <v/>
      </c>
      <c r="F7408" s="6">
        <f>INT(B7408)</f>
        <v/>
      </c>
      <c r="G7408" s="6">
        <f>INT(C7408)</f>
        <v/>
      </c>
    </row>
    <row r="7409">
      <c r="A7409" s="7" t="inlineStr">
        <is>
          <t>EXD60</t>
        </is>
      </c>
      <c r="B7409" s="8" t="n">
        <v>46138.75</v>
      </c>
      <c r="C7409" s="8" t="n">
        <v>46138.99230324074</v>
      </c>
      <c r="D7409" s="9">
        <f>(C7409-B7409)*24</f>
        <v/>
      </c>
      <c r="E7409" s="10">
        <f>IF(AND(HOUR(B7409)&gt;=6,HOUR(B7409)&lt;18),"Day Shift","Night Shift")</f>
        <v/>
      </c>
      <c r="F7409" s="11">
        <f>INT(B7409)</f>
        <v/>
      </c>
      <c r="G7409" s="11">
        <f>INT(C7409)</f>
        <v/>
      </c>
    </row>
    <row r="7410">
      <c r="A7410" s="2" t="inlineStr">
        <is>
          <t>SHE36</t>
        </is>
      </c>
      <c r="B7410" s="3" t="n">
        <v>46138.51056712963</v>
      </c>
      <c r="C7410" s="3" t="n">
        <v>46138.75</v>
      </c>
      <c r="D7410" s="4">
        <f>(C7410-B7410)*24</f>
        <v/>
      </c>
      <c r="E7410" s="5">
        <f>IF(AND(HOUR(B7410)&gt;=6,HOUR(B7410)&lt;18),"Day Shift","Night Shift")</f>
        <v/>
      </c>
      <c r="F7410" s="6">
        <f>INT(B7410)</f>
        <v/>
      </c>
      <c r="G7410" s="6">
        <f>INT(C7410)</f>
        <v/>
      </c>
    </row>
    <row r="7411">
      <c r="A7411" s="7" t="inlineStr">
        <is>
          <t>SHE36</t>
        </is>
      </c>
      <c r="B7411" s="8" t="n">
        <v>46138.75</v>
      </c>
      <c r="C7411" s="8" t="n">
        <v>46138.93612268518</v>
      </c>
      <c r="D7411" s="9">
        <f>(C7411-B7411)*24</f>
        <v/>
      </c>
      <c r="E7411" s="10">
        <f>IF(AND(HOUR(B7411)&gt;=6,HOUR(B7411)&lt;18),"Day Shift","Night Shift")</f>
        <v/>
      </c>
      <c r="F7411" s="11">
        <f>INT(B7411)</f>
        <v/>
      </c>
      <c r="G7411" s="11">
        <f>INT(C7411)</f>
        <v/>
      </c>
    </row>
    <row r="7412">
      <c r="A7412" s="2" t="inlineStr">
        <is>
          <t>EXD100</t>
        </is>
      </c>
      <c r="B7412" s="3" t="n">
        <v>46138.515</v>
      </c>
      <c r="C7412" s="3" t="n">
        <v>46138.75</v>
      </c>
      <c r="D7412" s="4">
        <f>(C7412-B7412)*24</f>
        <v/>
      </c>
      <c r="E7412" s="5">
        <f>IF(AND(HOUR(B7412)&gt;=6,HOUR(B7412)&lt;18),"Day Shift","Night Shift")</f>
        <v/>
      </c>
      <c r="F7412" s="6">
        <f>INT(B7412)</f>
        <v/>
      </c>
      <c r="G7412" s="6">
        <f>INT(C7412)</f>
        <v/>
      </c>
    </row>
    <row r="7413">
      <c r="A7413" s="7" t="inlineStr">
        <is>
          <t>EXD100</t>
        </is>
      </c>
      <c r="B7413" s="8" t="n">
        <v>46138.75</v>
      </c>
      <c r="C7413" s="8" t="n">
        <v>46138.8004050926</v>
      </c>
      <c r="D7413" s="9">
        <f>(C7413-B7413)*24</f>
        <v/>
      </c>
      <c r="E7413" s="10">
        <f>IF(AND(HOUR(B7413)&gt;=6,HOUR(B7413)&lt;18),"Day Shift","Night Shift")</f>
        <v/>
      </c>
      <c r="F7413" s="11">
        <f>INT(B7413)</f>
        <v/>
      </c>
      <c r="G7413" s="11">
        <f>INT(C7413)</f>
        <v/>
      </c>
    </row>
    <row r="7414">
      <c r="A7414" s="2" t="inlineStr">
        <is>
          <t>EDD2134;EDD2541;EDD812;Sprint 1;EDD175;EDD1932</t>
        </is>
      </c>
      <c r="B7414" s="3" t="n">
        <v>46138.69277777777</v>
      </c>
      <c r="C7414" s="3" t="n">
        <v>46138.75</v>
      </c>
      <c r="D7414" s="4">
        <f>(C7414-B7414)*24</f>
        <v/>
      </c>
      <c r="E7414" s="5">
        <f>IF(AND(HOUR(B7414)&gt;=6,HOUR(B7414)&lt;18),"Day Shift","Night Shift")</f>
        <v/>
      </c>
      <c r="F7414" s="6">
        <f>INT(B7414)</f>
        <v/>
      </c>
      <c r="G7414" s="6">
        <f>INT(C7414)</f>
        <v/>
      </c>
    </row>
    <row r="7415">
      <c r="A7415" s="7" t="inlineStr">
        <is>
          <t>EDD2134;EDD2541;EDD812;Sprint 1;EDD175;EDD1932</t>
        </is>
      </c>
      <c r="B7415" s="8" t="n">
        <v>46138.75</v>
      </c>
      <c r="C7415" s="8" t="n">
        <v>46139.17837962963</v>
      </c>
      <c r="D7415" s="9">
        <f>(C7415-B7415)*24</f>
        <v/>
      </c>
      <c r="E7415" s="10">
        <f>IF(AND(HOUR(B7415)&gt;=6,HOUR(B7415)&lt;18),"Day Shift","Night Shift")</f>
        <v/>
      </c>
      <c r="F7415" s="11">
        <f>INT(B7415)</f>
        <v/>
      </c>
      <c r="G7415" s="11">
        <f>INT(C7415)</f>
        <v/>
      </c>
    </row>
    <row r="7416">
      <c r="A7416" s="7" t="inlineStr">
        <is>
          <t>EXD52</t>
        </is>
      </c>
      <c r="B7416" s="8" t="n">
        <v>46138.75975694445</v>
      </c>
      <c r="C7416" s="8" t="n">
        <v>46139.25</v>
      </c>
      <c r="D7416" s="9">
        <f>(C7416-B7416)*24</f>
        <v/>
      </c>
      <c r="E7416" s="10">
        <f>IF(AND(HOUR(B7416)&gt;=6,HOUR(B7416)&lt;18),"Day Shift","Night Shift")</f>
        <v/>
      </c>
      <c r="F7416" s="11">
        <f>INT(B7416)</f>
        <v/>
      </c>
      <c r="G7416" s="11">
        <f>INT(C7416)</f>
        <v/>
      </c>
    </row>
    <row r="7417">
      <c r="A7417" s="2" t="inlineStr">
        <is>
          <t>EXD52</t>
        </is>
      </c>
      <c r="B7417" s="3" t="n">
        <v>46139.25</v>
      </c>
      <c r="C7417" s="3" t="n">
        <v>46139.75</v>
      </c>
      <c r="D7417" s="4">
        <f>(C7417-B7417)*24</f>
        <v/>
      </c>
      <c r="E7417" s="5">
        <f>IF(AND(HOUR(B7417)&gt;=6,HOUR(B7417)&lt;18),"Day Shift","Night Shift")</f>
        <v/>
      </c>
      <c r="F7417" s="6">
        <f>INT(B7417)</f>
        <v/>
      </c>
      <c r="G7417" s="6">
        <f>INT(C7417)</f>
        <v/>
      </c>
    </row>
    <row r="7418">
      <c r="A7418" s="7" t="inlineStr">
        <is>
          <t>EXD52</t>
        </is>
      </c>
      <c r="B7418" s="8" t="n">
        <v>46139.75</v>
      </c>
      <c r="C7418" s="8" t="n">
        <v>46140.03092592592</v>
      </c>
      <c r="D7418" s="9">
        <f>(C7418-B7418)*24</f>
        <v/>
      </c>
      <c r="E7418" s="10">
        <f>IF(AND(HOUR(B7418)&gt;=6,HOUR(B7418)&lt;18),"Day Shift","Night Shift")</f>
        <v/>
      </c>
      <c r="F7418" s="11">
        <f>INT(B7418)</f>
        <v/>
      </c>
      <c r="G7418" s="11">
        <f>INT(C7418)</f>
        <v/>
      </c>
    </row>
    <row r="7419">
      <c r="A7419" s="7" t="inlineStr">
        <is>
          <t>EXD100</t>
        </is>
      </c>
      <c r="B7419" s="8" t="n">
        <v>46138.8004050926</v>
      </c>
      <c r="C7419" s="8" t="n">
        <v>46139.06834490741</v>
      </c>
      <c r="D7419" s="9">
        <f>(C7419-B7419)*24</f>
        <v/>
      </c>
      <c r="E7419" s="10">
        <f>IF(AND(HOUR(B7419)&gt;=6,HOUR(B7419)&lt;18),"Day Shift","Night Shift")</f>
        <v/>
      </c>
      <c r="F7419" s="11">
        <f>INT(B7419)</f>
        <v/>
      </c>
      <c r="G7419" s="11">
        <f>INT(C7419)</f>
        <v/>
      </c>
    </row>
    <row r="7420">
      <c r="A7420" s="7" t="inlineStr">
        <is>
          <t>EXD56</t>
        </is>
      </c>
      <c r="B7420" s="8" t="n">
        <v>46138.82795138889</v>
      </c>
      <c r="C7420" s="8" t="n">
        <v>46139.25</v>
      </c>
      <c r="D7420" s="9">
        <f>(C7420-B7420)*24</f>
        <v/>
      </c>
      <c r="E7420" s="10">
        <f>IF(AND(HOUR(B7420)&gt;=6,HOUR(B7420)&lt;18),"Day Shift","Night Shift")</f>
        <v/>
      </c>
      <c r="F7420" s="11">
        <f>INT(B7420)</f>
        <v/>
      </c>
      <c r="G7420" s="11">
        <f>INT(C7420)</f>
        <v/>
      </c>
    </row>
    <row r="7421">
      <c r="A7421" s="2" t="inlineStr">
        <is>
          <t>EXD56</t>
        </is>
      </c>
      <c r="B7421" s="3" t="n">
        <v>46139.25</v>
      </c>
      <c r="C7421" s="3" t="n">
        <v>46139.34184027778</v>
      </c>
      <c r="D7421" s="4">
        <f>(C7421-B7421)*24</f>
        <v/>
      </c>
      <c r="E7421" s="5">
        <f>IF(AND(HOUR(B7421)&gt;=6,HOUR(B7421)&lt;18),"Day Shift","Night Shift")</f>
        <v/>
      </c>
      <c r="F7421" s="6">
        <f>INT(B7421)</f>
        <v/>
      </c>
      <c r="G7421" s="6">
        <f>INT(C7421)</f>
        <v/>
      </c>
    </row>
    <row r="7422">
      <c r="A7422" s="7" t="inlineStr">
        <is>
          <t>EXD51</t>
        </is>
      </c>
      <c r="B7422" s="8" t="n">
        <v>46138.86096064815</v>
      </c>
      <c r="C7422" s="8" t="n">
        <v>46139.12957175926</v>
      </c>
      <c r="D7422" s="9">
        <f>(C7422-B7422)*24</f>
        <v/>
      </c>
      <c r="E7422" s="10">
        <f>IF(AND(HOUR(B7422)&gt;=6,HOUR(B7422)&lt;18),"Day Shift","Night Shift")</f>
        <v/>
      </c>
      <c r="F7422" s="11">
        <f>INT(B7422)</f>
        <v/>
      </c>
      <c r="G7422" s="11">
        <f>INT(C7422)</f>
        <v/>
      </c>
    </row>
    <row r="7423">
      <c r="A7423" s="7" t="inlineStr">
        <is>
          <t>SHE36</t>
        </is>
      </c>
      <c r="B7423" s="8" t="n">
        <v>46138.93612268518</v>
      </c>
      <c r="C7423" s="8" t="n">
        <v>46139.25</v>
      </c>
      <c r="D7423" s="9">
        <f>(C7423-B7423)*24</f>
        <v/>
      </c>
      <c r="E7423" s="10">
        <f>IF(AND(HOUR(B7423)&gt;=6,HOUR(B7423)&lt;18),"Day Shift","Night Shift")</f>
        <v/>
      </c>
      <c r="F7423" s="11">
        <f>INT(B7423)</f>
        <v/>
      </c>
      <c r="G7423" s="11">
        <f>INT(C7423)</f>
        <v/>
      </c>
    </row>
    <row r="7424">
      <c r="A7424" s="2" t="inlineStr">
        <is>
          <t>SHE36</t>
        </is>
      </c>
      <c r="B7424" s="3" t="n">
        <v>46139.25</v>
      </c>
      <c r="C7424" s="3" t="n">
        <v>46139.75</v>
      </c>
      <c r="D7424" s="4">
        <f>(C7424-B7424)*24</f>
        <v/>
      </c>
      <c r="E7424" s="5">
        <f>IF(AND(HOUR(B7424)&gt;=6,HOUR(B7424)&lt;18),"Day Shift","Night Shift")</f>
        <v/>
      </c>
      <c r="F7424" s="6">
        <f>INT(B7424)</f>
        <v/>
      </c>
      <c r="G7424" s="6">
        <f>INT(C7424)</f>
        <v/>
      </c>
    </row>
    <row r="7425">
      <c r="A7425" s="7" t="inlineStr">
        <is>
          <t>SHE36</t>
        </is>
      </c>
      <c r="B7425" s="8" t="n">
        <v>46139.75</v>
      </c>
      <c r="C7425" s="8" t="n">
        <v>46140.25</v>
      </c>
      <c r="D7425" s="9">
        <f>(C7425-B7425)*24</f>
        <v/>
      </c>
      <c r="E7425" s="10">
        <f>IF(AND(HOUR(B7425)&gt;=6,HOUR(B7425)&lt;18),"Day Shift","Night Shift")</f>
        <v/>
      </c>
      <c r="F7425" s="11">
        <f>INT(B7425)</f>
        <v/>
      </c>
      <c r="G7425" s="11">
        <f>INT(C7425)</f>
        <v/>
      </c>
    </row>
    <row r="7426">
      <c r="A7426" s="2" t="inlineStr">
        <is>
          <t>SHE36</t>
        </is>
      </c>
      <c r="B7426" s="3" t="n">
        <v>46140.25</v>
      </c>
      <c r="C7426" s="3" t="n">
        <v>46140.4099537037</v>
      </c>
      <c r="D7426" s="4">
        <f>(C7426-B7426)*24</f>
        <v/>
      </c>
      <c r="E7426" s="5">
        <f>IF(AND(HOUR(B7426)&gt;=6,HOUR(B7426)&lt;18),"Day Shift","Night Shift")</f>
        <v/>
      </c>
      <c r="F7426" s="6">
        <f>INT(B7426)</f>
        <v/>
      </c>
      <c r="G7426" s="6">
        <f>INT(C7426)</f>
        <v/>
      </c>
    </row>
    <row r="7427">
      <c r="A7427" s="7" t="inlineStr">
        <is>
          <t>EXD73</t>
        </is>
      </c>
      <c r="B7427" s="8" t="n">
        <v>46138.93766203704</v>
      </c>
      <c r="C7427" s="8" t="n">
        <v>46139.25</v>
      </c>
      <c r="D7427" s="9">
        <f>(C7427-B7427)*24</f>
        <v/>
      </c>
      <c r="E7427" s="10">
        <f>IF(AND(HOUR(B7427)&gt;=6,HOUR(B7427)&lt;18),"Day Shift","Night Shift")</f>
        <v/>
      </c>
      <c r="F7427" s="11">
        <f>INT(B7427)</f>
        <v/>
      </c>
      <c r="G7427" s="11">
        <f>INT(C7427)</f>
        <v/>
      </c>
    </row>
    <row r="7428">
      <c r="A7428" s="2" t="inlineStr">
        <is>
          <t>EXD73</t>
        </is>
      </c>
      <c r="B7428" s="3" t="n">
        <v>46139.25</v>
      </c>
      <c r="C7428" s="3" t="n">
        <v>46139.75</v>
      </c>
      <c r="D7428" s="4">
        <f>(C7428-B7428)*24</f>
        <v/>
      </c>
      <c r="E7428" s="5">
        <f>IF(AND(HOUR(B7428)&gt;=6,HOUR(B7428)&lt;18),"Day Shift","Night Shift")</f>
        <v/>
      </c>
      <c r="F7428" s="6">
        <f>INT(B7428)</f>
        <v/>
      </c>
      <c r="G7428" s="6">
        <f>INT(C7428)</f>
        <v/>
      </c>
    </row>
    <row r="7429">
      <c r="A7429" s="7" t="inlineStr">
        <is>
          <t>EXD73</t>
        </is>
      </c>
      <c r="B7429" s="8" t="n">
        <v>46139.75</v>
      </c>
      <c r="C7429" s="8" t="n">
        <v>46140.23177083334</v>
      </c>
      <c r="D7429" s="9">
        <f>(C7429-B7429)*24</f>
        <v/>
      </c>
      <c r="E7429" s="10">
        <f>IF(AND(HOUR(B7429)&gt;=6,HOUR(B7429)&lt;18),"Day Shift","Night Shift")</f>
        <v/>
      </c>
      <c r="F7429" s="11">
        <f>INT(B7429)</f>
        <v/>
      </c>
      <c r="G7429" s="11">
        <f>INT(C7429)</f>
        <v/>
      </c>
    </row>
    <row r="7430">
      <c r="A7430" s="7" t="inlineStr">
        <is>
          <t>EXD98</t>
        </is>
      </c>
      <c r="B7430" s="8" t="n">
        <v>46138.99068287037</v>
      </c>
      <c r="C7430" s="8" t="n">
        <v>46139.25</v>
      </c>
      <c r="D7430" s="9">
        <f>(C7430-B7430)*24</f>
        <v/>
      </c>
      <c r="E7430" s="10">
        <f>IF(AND(HOUR(B7430)&gt;=6,HOUR(B7430)&lt;18),"Day Shift","Night Shift")</f>
        <v/>
      </c>
      <c r="F7430" s="11">
        <f>INT(B7430)</f>
        <v/>
      </c>
      <c r="G7430" s="11">
        <f>INT(C7430)</f>
        <v/>
      </c>
    </row>
    <row r="7431">
      <c r="A7431" s="2" t="inlineStr">
        <is>
          <t>EXD98</t>
        </is>
      </c>
      <c r="B7431" s="3" t="n">
        <v>46139.25</v>
      </c>
      <c r="C7431" s="3" t="n">
        <v>46139.67302083333</v>
      </c>
      <c r="D7431" s="4">
        <f>(C7431-B7431)*24</f>
        <v/>
      </c>
      <c r="E7431" s="5">
        <f>IF(AND(HOUR(B7431)&gt;=6,HOUR(B7431)&lt;18),"Day Shift","Night Shift")</f>
        <v/>
      </c>
      <c r="F7431" s="6">
        <f>INT(B7431)</f>
        <v/>
      </c>
      <c r="G7431" s="6">
        <f>INT(C7431)</f>
        <v/>
      </c>
    </row>
    <row r="7432">
      <c r="A7432" s="7" t="inlineStr">
        <is>
          <t>EXD60</t>
        </is>
      </c>
      <c r="B7432" s="8" t="n">
        <v>46138.99230324074</v>
      </c>
      <c r="C7432" s="8" t="n">
        <v>46139.24715277777</v>
      </c>
      <c r="D7432" s="9">
        <f>(C7432-B7432)*24</f>
        <v/>
      </c>
      <c r="E7432" s="10">
        <f>IF(AND(HOUR(B7432)&gt;=6,HOUR(B7432)&lt;18),"Day Shift","Night Shift")</f>
        <v/>
      </c>
      <c r="F7432" s="11">
        <f>INT(B7432)</f>
        <v/>
      </c>
      <c r="G7432" s="11">
        <f>INT(C7432)</f>
        <v/>
      </c>
    </row>
    <row r="7433">
      <c r="A7433" s="7" t="inlineStr">
        <is>
          <t>EXD100</t>
        </is>
      </c>
      <c r="B7433" s="8" t="n">
        <v>46139.06834490741</v>
      </c>
      <c r="C7433" s="8" t="n">
        <v>46139.25</v>
      </c>
      <c r="D7433" s="9">
        <f>(C7433-B7433)*24</f>
        <v/>
      </c>
      <c r="E7433" s="10">
        <f>IF(AND(HOUR(B7433)&gt;=6,HOUR(B7433)&lt;18),"Day Shift","Night Shift")</f>
        <v/>
      </c>
      <c r="F7433" s="11">
        <f>INT(B7433)</f>
        <v/>
      </c>
      <c r="G7433" s="11">
        <f>INT(C7433)</f>
        <v/>
      </c>
    </row>
    <row r="7434">
      <c r="A7434" s="2" t="inlineStr">
        <is>
          <t>EXD100</t>
        </is>
      </c>
      <c r="B7434" s="3" t="n">
        <v>46139.25</v>
      </c>
      <c r="C7434" s="3" t="n">
        <v>46139.75</v>
      </c>
      <c r="D7434" s="4">
        <f>(C7434-B7434)*24</f>
        <v/>
      </c>
      <c r="E7434" s="5">
        <f>IF(AND(HOUR(B7434)&gt;=6,HOUR(B7434)&lt;18),"Day Shift","Night Shift")</f>
        <v/>
      </c>
      <c r="F7434" s="6">
        <f>INT(B7434)</f>
        <v/>
      </c>
      <c r="G7434" s="6">
        <f>INT(C7434)</f>
        <v/>
      </c>
    </row>
    <row r="7435">
      <c r="A7435" s="7" t="inlineStr">
        <is>
          <t>EXD100</t>
        </is>
      </c>
      <c r="B7435" s="8" t="n">
        <v>46139.75</v>
      </c>
      <c r="C7435" s="8" t="n">
        <v>46140.07498842593</v>
      </c>
      <c r="D7435" s="9">
        <f>(C7435-B7435)*24</f>
        <v/>
      </c>
      <c r="E7435" s="10">
        <f>IF(AND(HOUR(B7435)&gt;=6,HOUR(B7435)&lt;18),"Day Shift","Night Shift")</f>
        <v/>
      </c>
      <c r="F7435" s="11">
        <f>INT(B7435)</f>
        <v/>
      </c>
      <c r="G7435" s="11">
        <f>INT(C7435)</f>
        <v/>
      </c>
    </row>
    <row r="7436">
      <c r="A7436" s="7" t="inlineStr">
        <is>
          <t>EDD175;EDD1932;EDD2134;EDD2541;EDD812;Sprint 1</t>
        </is>
      </c>
      <c r="B7436" s="8" t="n">
        <v>46139.17837962963</v>
      </c>
      <c r="C7436" s="8" t="n">
        <v>46139.25</v>
      </c>
      <c r="D7436" s="9">
        <f>(C7436-B7436)*24</f>
        <v/>
      </c>
      <c r="E7436" s="10">
        <f>IF(AND(HOUR(B7436)&gt;=6,HOUR(B7436)&lt;18),"Day Shift","Night Shift")</f>
        <v/>
      </c>
      <c r="F7436" s="11">
        <f>INT(B7436)</f>
        <v/>
      </c>
      <c r="G7436" s="11">
        <f>INT(C7436)</f>
        <v/>
      </c>
    </row>
    <row r="7437">
      <c r="A7437" s="2" t="inlineStr">
        <is>
          <t>EDD175;EDD1932;EDD2134;EDD2541;EDD812;Sprint 1</t>
        </is>
      </c>
      <c r="B7437" s="3" t="n">
        <v>46139.25</v>
      </c>
      <c r="C7437" s="3" t="n">
        <v>46139.66428240741</v>
      </c>
      <c r="D7437" s="4">
        <f>(C7437-B7437)*24</f>
        <v/>
      </c>
      <c r="E7437" s="5">
        <f>IF(AND(HOUR(B7437)&gt;=6,HOUR(B7437)&lt;18),"Day Shift","Night Shift")</f>
        <v/>
      </c>
      <c r="F7437" s="6">
        <f>INT(B7437)</f>
        <v/>
      </c>
      <c r="G7437" s="6">
        <f>INT(C7437)</f>
        <v/>
      </c>
    </row>
    <row r="7438">
      <c r="A7438" s="7" t="inlineStr">
        <is>
          <t>EXD407</t>
        </is>
      </c>
      <c r="B7438" s="8" t="n">
        <v>46139.18435185185</v>
      </c>
      <c r="C7438" s="8" t="n">
        <v>46139.25</v>
      </c>
      <c r="D7438" s="9">
        <f>(C7438-B7438)*24</f>
        <v/>
      </c>
      <c r="E7438" s="10">
        <f>IF(AND(HOUR(B7438)&gt;=6,HOUR(B7438)&lt;18),"Day Shift","Night Shift")</f>
        <v/>
      </c>
      <c r="F7438" s="11">
        <f>INT(B7438)</f>
        <v/>
      </c>
      <c r="G7438" s="11">
        <f>INT(C7438)</f>
        <v/>
      </c>
    </row>
    <row r="7439">
      <c r="A7439" s="2" t="inlineStr">
        <is>
          <t>EXD407</t>
        </is>
      </c>
      <c r="B7439" s="3" t="n">
        <v>46139.25</v>
      </c>
      <c r="C7439" s="3" t="n">
        <v>46139.62938657407</v>
      </c>
      <c r="D7439" s="4">
        <f>(C7439-B7439)*24</f>
        <v/>
      </c>
      <c r="E7439" s="5">
        <f>IF(AND(HOUR(B7439)&gt;=6,HOUR(B7439)&lt;18),"Day Shift","Night Shift")</f>
        <v/>
      </c>
      <c r="F7439" s="6">
        <f>INT(B7439)</f>
        <v/>
      </c>
      <c r="G7439" s="6">
        <f>INT(C7439)</f>
        <v/>
      </c>
    </row>
    <row r="7440">
      <c r="A7440" s="2" t="inlineStr">
        <is>
          <t>LDW262</t>
        </is>
      </c>
      <c r="B7440" s="3" t="n">
        <v>46139.28743055555</v>
      </c>
      <c r="C7440" s="3" t="n">
        <v>46139.75</v>
      </c>
      <c r="D7440" s="4">
        <f>(C7440-B7440)*24</f>
        <v/>
      </c>
      <c r="E7440" s="5">
        <f>IF(AND(HOUR(B7440)&gt;=6,HOUR(B7440)&lt;18),"Day Shift","Night Shift")</f>
        <v/>
      </c>
      <c r="F7440" s="6">
        <f>INT(B7440)</f>
        <v/>
      </c>
      <c r="G7440" s="6">
        <f>INT(C7440)</f>
        <v/>
      </c>
    </row>
    <row r="7441">
      <c r="A7441" s="7" t="inlineStr">
        <is>
          <t>LDW262</t>
        </is>
      </c>
      <c r="B7441" s="8" t="n">
        <v>46139.75</v>
      </c>
      <c r="C7441" s="8" t="n">
        <v>46140.25</v>
      </c>
      <c r="D7441" s="9">
        <f>(C7441-B7441)*24</f>
        <v/>
      </c>
      <c r="E7441" s="10">
        <f>IF(AND(HOUR(B7441)&gt;=6,HOUR(B7441)&lt;18),"Day Shift","Night Shift")</f>
        <v/>
      </c>
      <c r="F7441" s="11">
        <f>INT(B7441)</f>
        <v/>
      </c>
      <c r="G7441" s="11">
        <f>INT(C7441)</f>
        <v/>
      </c>
    </row>
    <row r="7442">
      <c r="A7442" s="2" t="inlineStr">
        <is>
          <t>LDW262</t>
        </is>
      </c>
      <c r="B7442" s="3" t="n">
        <v>46140.25</v>
      </c>
      <c r="C7442" s="3" t="n">
        <v>46140.75</v>
      </c>
      <c r="D7442" s="4">
        <f>(C7442-B7442)*24</f>
        <v/>
      </c>
      <c r="E7442" s="5">
        <f>IF(AND(HOUR(B7442)&gt;=6,HOUR(B7442)&lt;18),"Day Shift","Night Shift")</f>
        <v/>
      </c>
      <c r="F7442" s="6">
        <f>INT(B7442)</f>
        <v/>
      </c>
      <c r="G7442" s="6">
        <f>INT(C7442)</f>
        <v/>
      </c>
    </row>
    <row r="7443">
      <c r="A7443" s="7" t="inlineStr">
        <is>
          <t>LDW262</t>
        </is>
      </c>
      <c r="B7443" s="8" t="n">
        <v>46140.75</v>
      </c>
      <c r="C7443" s="8" t="n">
        <v>46141.25</v>
      </c>
      <c r="D7443" s="9">
        <f>(C7443-B7443)*24</f>
        <v/>
      </c>
      <c r="E7443" s="10">
        <f>IF(AND(HOUR(B7443)&gt;=6,HOUR(B7443)&lt;18),"Day Shift","Night Shift")</f>
        <v/>
      </c>
      <c r="F7443" s="11">
        <f>INT(B7443)</f>
        <v/>
      </c>
      <c r="G7443" s="11">
        <f>INT(C7443)</f>
        <v/>
      </c>
    </row>
    <row r="7444">
      <c r="A7444" s="2" t="inlineStr">
        <is>
          <t>LDW262</t>
        </is>
      </c>
      <c r="B7444" s="3" t="n">
        <v>46141.25</v>
      </c>
      <c r="C7444" s="3" t="n">
        <v>46141.75</v>
      </c>
      <c r="D7444" s="4">
        <f>(C7444-B7444)*24</f>
        <v/>
      </c>
      <c r="E7444" s="5">
        <f>IF(AND(HOUR(B7444)&gt;=6,HOUR(B7444)&lt;18),"Day Shift","Night Shift")</f>
        <v/>
      </c>
      <c r="F7444" s="6">
        <f>INT(B7444)</f>
        <v/>
      </c>
      <c r="G7444" s="6">
        <f>INT(C7444)</f>
        <v/>
      </c>
    </row>
    <row r="7445">
      <c r="A7445" s="7" t="inlineStr">
        <is>
          <t>LDW262</t>
        </is>
      </c>
      <c r="B7445" s="8" t="n">
        <v>46141.75</v>
      </c>
      <c r="C7445" s="8" t="n">
        <v>46142.25</v>
      </c>
      <c r="D7445" s="9">
        <f>(C7445-B7445)*24</f>
        <v/>
      </c>
      <c r="E7445" s="10">
        <f>IF(AND(HOUR(B7445)&gt;=6,HOUR(B7445)&lt;18),"Day Shift","Night Shift")</f>
        <v/>
      </c>
      <c r="F7445" s="11">
        <f>INT(B7445)</f>
        <v/>
      </c>
      <c r="G7445" s="11">
        <f>INT(C7445)</f>
        <v/>
      </c>
    </row>
    <row r="7446">
      <c r="A7446" s="2" t="inlineStr">
        <is>
          <t>LDW262</t>
        </is>
      </c>
      <c r="B7446" s="3" t="n">
        <v>46142.25</v>
      </c>
      <c r="C7446" s="3" t="n">
        <v>46142.75</v>
      </c>
      <c r="D7446" s="4">
        <f>(C7446-B7446)*24</f>
        <v/>
      </c>
      <c r="E7446" s="5">
        <f>IF(AND(HOUR(B7446)&gt;=6,HOUR(B7446)&lt;18),"Day Shift","Night Shift")</f>
        <v/>
      </c>
      <c r="F7446" s="6">
        <f>INT(B7446)</f>
        <v/>
      </c>
      <c r="G7446" s="6">
        <f>INT(C7446)</f>
        <v/>
      </c>
    </row>
    <row r="7447">
      <c r="A7447" s="7" t="inlineStr">
        <is>
          <t>LDW262</t>
        </is>
      </c>
      <c r="B7447" s="8" t="n">
        <v>46142.75</v>
      </c>
      <c r="C7447" s="8" t="n">
        <v>46143.08075231482</v>
      </c>
      <c r="D7447" s="9">
        <f>(C7447-B7447)*24</f>
        <v/>
      </c>
      <c r="E7447" s="10">
        <f>IF(AND(HOUR(B7447)&gt;=6,HOUR(B7447)&lt;18),"Day Shift","Night Shift")</f>
        <v/>
      </c>
      <c r="F7447" s="11">
        <f>INT(B7447)</f>
        <v/>
      </c>
      <c r="G7447" s="11">
        <f>INT(C7447)</f>
        <v/>
      </c>
    </row>
    <row r="7448">
      <c r="A7448" s="2" t="inlineStr">
        <is>
          <t>EXD60</t>
        </is>
      </c>
      <c r="B7448" s="3" t="n">
        <v>46139.30565972222</v>
      </c>
      <c r="C7448" s="3" t="n">
        <v>46139.75</v>
      </c>
      <c r="D7448" s="4">
        <f>(C7448-B7448)*24</f>
        <v/>
      </c>
      <c r="E7448" s="5">
        <f>IF(AND(HOUR(B7448)&gt;=6,HOUR(B7448)&lt;18),"Day Shift","Night Shift")</f>
        <v/>
      </c>
      <c r="F7448" s="6">
        <f>INT(B7448)</f>
        <v/>
      </c>
      <c r="G7448" s="6">
        <f>INT(C7448)</f>
        <v/>
      </c>
    </row>
    <row r="7449">
      <c r="A7449" s="7" t="inlineStr">
        <is>
          <t>EXD60</t>
        </is>
      </c>
      <c r="B7449" s="8" t="n">
        <v>46139.75</v>
      </c>
      <c r="C7449" s="8" t="n">
        <v>46139.82627314814</v>
      </c>
      <c r="D7449" s="9">
        <f>(C7449-B7449)*24</f>
        <v/>
      </c>
      <c r="E7449" s="10">
        <f>IF(AND(HOUR(B7449)&gt;=6,HOUR(B7449)&lt;18),"Day Shift","Night Shift")</f>
        <v/>
      </c>
      <c r="F7449" s="11">
        <f>INT(B7449)</f>
        <v/>
      </c>
      <c r="G7449" s="11">
        <f>INT(C7449)</f>
        <v/>
      </c>
    </row>
    <row r="7450">
      <c r="A7450" s="2" t="inlineStr">
        <is>
          <t>EXD408</t>
        </is>
      </c>
      <c r="B7450" s="3" t="n">
        <v>46139.4180324074</v>
      </c>
      <c r="C7450" s="3" t="n">
        <v>46139.75</v>
      </c>
      <c r="D7450" s="4">
        <f>(C7450-B7450)*24</f>
        <v/>
      </c>
      <c r="E7450" s="5">
        <f>IF(AND(HOUR(B7450)&gt;=6,HOUR(B7450)&lt;18),"Day Shift","Night Shift")</f>
        <v/>
      </c>
      <c r="F7450" s="6">
        <f>INT(B7450)</f>
        <v/>
      </c>
      <c r="G7450" s="6">
        <f>INT(C7450)</f>
        <v/>
      </c>
    </row>
    <row r="7451">
      <c r="A7451" s="7" t="inlineStr">
        <is>
          <t>EXD408</t>
        </is>
      </c>
      <c r="B7451" s="8" t="n">
        <v>46139.75</v>
      </c>
      <c r="C7451" s="8" t="n">
        <v>46140.25</v>
      </c>
      <c r="D7451" s="9">
        <f>(C7451-B7451)*24</f>
        <v/>
      </c>
      <c r="E7451" s="10">
        <f>IF(AND(HOUR(B7451)&gt;=6,HOUR(B7451)&lt;18),"Day Shift","Night Shift")</f>
        <v/>
      </c>
      <c r="F7451" s="11">
        <f>INT(B7451)</f>
        <v/>
      </c>
      <c r="G7451" s="11">
        <f>INT(C7451)</f>
        <v/>
      </c>
    </row>
    <row r="7452">
      <c r="A7452" s="2" t="inlineStr">
        <is>
          <t>EXD408</t>
        </is>
      </c>
      <c r="B7452" s="3" t="n">
        <v>46140.25</v>
      </c>
      <c r="C7452" s="3" t="n">
        <v>46140.75</v>
      </c>
      <c r="D7452" s="4">
        <f>(C7452-B7452)*24</f>
        <v/>
      </c>
      <c r="E7452" s="5">
        <f>IF(AND(HOUR(B7452)&gt;=6,HOUR(B7452)&lt;18),"Day Shift","Night Shift")</f>
        <v/>
      </c>
      <c r="F7452" s="6">
        <f>INT(B7452)</f>
        <v/>
      </c>
      <c r="G7452" s="6">
        <f>INT(C7452)</f>
        <v/>
      </c>
    </row>
    <row r="7453">
      <c r="A7453" s="7" t="inlineStr">
        <is>
          <t>EXD408</t>
        </is>
      </c>
      <c r="B7453" s="8" t="n">
        <v>46140.75</v>
      </c>
      <c r="C7453" s="8" t="n">
        <v>46141.02435185185</v>
      </c>
      <c r="D7453" s="9">
        <f>(C7453-B7453)*24</f>
        <v/>
      </c>
      <c r="E7453" s="10">
        <f>IF(AND(HOUR(B7453)&gt;=6,HOUR(B7453)&lt;18),"Day Shift","Night Shift")</f>
        <v/>
      </c>
      <c r="F7453" s="11">
        <f>INT(B7453)</f>
        <v/>
      </c>
      <c r="G7453" s="11">
        <f>INT(C7453)</f>
        <v/>
      </c>
    </row>
    <row r="7454">
      <c r="A7454" s="2" t="inlineStr">
        <is>
          <t>EXD56</t>
        </is>
      </c>
      <c r="B7454" s="3" t="n">
        <v>46139.45394675926</v>
      </c>
      <c r="C7454" s="3" t="n">
        <v>46139.75</v>
      </c>
      <c r="D7454" s="4">
        <f>(C7454-B7454)*24</f>
        <v/>
      </c>
      <c r="E7454" s="5">
        <f>IF(AND(HOUR(B7454)&gt;=6,HOUR(B7454)&lt;18),"Day Shift","Night Shift")</f>
        <v/>
      </c>
      <c r="F7454" s="6">
        <f>INT(B7454)</f>
        <v/>
      </c>
      <c r="G7454" s="6">
        <f>INT(C7454)</f>
        <v/>
      </c>
    </row>
    <row r="7455">
      <c r="A7455" s="7" t="inlineStr">
        <is>
          <t>EXD56</t>
        </is>
      </c>
      <c r="B7455" s="8" t="n">
        <v>46139.75</v>
      </c>
      <c r="C7455" s="8" t="n">
        <v>46140.25</v>
      </c>
      <c r="D7455" s="9">
        <f>(C7455-B7455)*24</f>
        <v/>
      </c>
      <c r="E7455" s="10">
        <f>IF(AND(HOUR(B7455)&gt;=6,HOUR(B7455)&lt;18),"Day Shift","Night Shift")</f>
        <v/>
      </c>
      <c r="F7455" s="11">
        <f>INT(B7455)</f>
        <v/>
      </c>
      <c r="G7455" s="11">
        <f>INT(C7455)</f>
        <v/>
      </c>
    </row>
    <row r="7456">
      <c r="A7456" s="2" t="inlineStr">
        <is>
          <t>EXD56</t>
        </is>
      </c>
      <c r="B7456" s="3" t="n">
        <v>46140.25</v>
      </c>
      <c r="C7456" s="3" t="n">
        <v>46140.28950231482</v>
      </c>
      <c r="D7456" s="4">
        <f>(C7456-B7456)*24</f>
        <v/>
      </c>
      <c r="E7456" s="5">
        <f>IF(AND(HOUR(B7456)&gt;=6,HOUR(B7456)&lt;18),"Day Shift","Night Shift")</f>
        <v/>
      </c>
      <c r="F7456" s="6">
        <f>INT(B7456)</f>
        <v/>
      </c>
      <c r="G7456" s="6">
        <f>INT(C7456)</f>
        <v/>
      </c>
    </row>
    <row r="7457">
      <c r="A7457" s="2" t="inlineStr">
        <is>
          <t>EXD55</t>
        </is>
      </c>
      <c r="B7457" s="3" t="n">
        <v>46139.50878472222</v>
      </c>
      <c r="C7457" s="3" t="n">
        <v>46139.75</v>
      </c>
      <c r="D7457" s="4">
        <f>(C7457-B7457)*24</f>
        <v/>
      </c>
      <c r="E7457" s="5">
        <f>IF(AND(HOUR(B7457)&gt;=6,HOUR(B7457)&lt;18),"Day Shift","Night Shift")</f>
        <v/>
      </c>
      <c r="F7457" s="6">
        <f>INT(B7457)</f>
        <v/>
      </c>
      <c r="G7457" s="6">
        <f>INT(C7457)</f>
        <v/>
      </c>
    </row>
    <row r="7458">
      <c r="A7458" s="7" t="inlineStr">
        <is>
          <t>EXD55</t>
        </is>
      </c>
      <c r="B7458" s="8" t="n">
        <v>46139.75</v>
      </c>
      <c r="C7458" s="8" t="n">
        <v>46140.25</v>
      </c>
      <c r="D7458" s="9">
        <f>(C7458-B7458)*24</f>
        <v/>
      </c>
      <c r="E7458" s="10">
        <f>IF(AND(HOUR(B7458)&gt;=6,HOUR(B7458)&lt;18),"Day Shift","Night Shift")</f>
        <v/>
      </c>
      <c r="F7458" s="11">
        <f>INT(B7458)</f>
        <v/>
      </c>
      <c r="G7458" s="11">
        <f>INT(C7458)</f>
        <v/>
      </c>
    </row>
    <row r="7459">
      <c r="A7459" s="2" t="inlineStr">
        <is>
          <t>EXD55</t>
        </is>
      </c>
      <c r="B7459" s="3" t="n">
        <v>46140.25</v>
      </c>
      <c r="C7459" s="3" t="n">
        <v>46140.75</v>
      </c>
      <c r="D7459" s="4">
        <f>(C7459-B7459)*24</f>
        <v/>
      </c>
      <c r="E7459" s="5">
        <f>IF(AND(HOUR(B7459)&gt;=6,HOUR(B7459)&lt;18),"Day Shift","Night Shift")</f>
        <v/>
      </c>
      <c r="F7459" s="6">
        <f>INT(B7459)</f>
        <v/>
      </c>
      <c r="G7459" s="6">
        <f>INT(C7459)</f>
        <v/>
      </c>
    </row>
    <row r="7460">
      <c r="A7460" s="7" t="inlineStr">
        <is>
          <t>EXD55</t>
        </is>
      </c>
      <c r="B7460" s="8" t="n">
        <v>46140.75</v>
      </c>
      <c r="C7460" s="8" t="n">
        <v>46141.25</v>
      </c>
      <c r="D7460" s="9">
        <f>(C7460-B7460)*24</f>
        <v/>
      </c>
      <c r="E7460" s="10">
        <f>IF(AND(HOUR(B7460)&gt;=6,HOUR(B7460)&lt;18),"Day Shift","Night Shift")</f>
        <v/>
      </c>
      <c r="F7460" s="11">
        <f>INT(B7460)</f>
        <v/>
      </c>
      <c r="G7460" s="11">
        <f>INT(C7460)</f>
        <v/>
      </c>
    </row>
    <row r="7461">
      <c r="A7461" s="2" t="inlineStr">
        <is>
          <t>EXD55</t>
        </is>
      </c>
      <c r="B7461" s="3" t="n">
        <v>46141.25</v>
      </c>
      <c r="C7461" s="3" t="n">
        <v>46141.75</v>
      </c>
      <c r="D7461" s="4">
        <f>(C7461-B7461)*24</f>
        <v/>
      </c>
      <c r="E7461" s="5">
        <f>IF(AND(HOUR(B7461)&gt;=6,HOUR(B7461)&lt;18),"Day Shift","Night Shift")</f>
        <v/>
      </c>
      <c r="F7461" s="6">
        <f>INT(B7461)</f>
        <v/>
      </c>
      <c r="G7461" s="6">
        <f>INT(C7461)</f>
        <v/>
      </c>
    </row>
    <row r="7462">
      <c r="A7462" s="7" t="inlineStr">
        <is>
          <t>EXD55</t>
        </is>
      </c>
      <c r="B7462" s="8" t="n">
        <v>46141.75</v>
      </c>
      <c r="C7462" s="8" t="n">
        <v>46142.25</v>
      </c>
      <c r="D7462" s="9">
        <f>(C7462-B7462)*24</f>
        <v/>
      </c>
      <c r="E7462" s="10">
        <f>IF(AND(HOUR(B7462)&gt;=6,HOUR(B7462)&lt;18),"Day Shift","Night Shift")</f>
        <v/>
      </c>
      <c r="F7462" s="11">
        <f>INT(B7462)</f>
        <v/>
      </c>
      <c r="G7462" s="11">
        <f>INT(C7462)</f>
        <v/>
      </c>
    </row>
    <row r="7463">
      <c r="A7463" s="2" t="inlineStr">
        <is>
          <t>EXD55</t>
        </is>
      </c>
      <c r="B7463" s="3" t="n">
        <v>46142.25</v>
      </c>
      <c r="C7463" s="3" t="n">
        <v>46142.75</v>
      </c>
      <c r="D7463" s="4">
        <f>(C7463-B7463)*24</f>
        <v/>
      </c>
      <c r="E7463" s="5">
        <f>IF(AND(HOUR(B7463)&gt;=6,HOUR(B7463)&lt;18),"Day Shift","Night Shift")</f>
        <v/>
      </c>
      <c r="F7463" s="6">
        <f>INT(B7463)</f>
        <v/>
      </c>
      <c r="G7463" s="6">
        <f>INT(C7463)</f>
        <v/>
      </c>
    </row>
    <row r="7464">
      <c r="A7464" s="7" t="inlineStr">
        <is>
          <t>EXD55</t>
        </is>
      </c>
      <c r="B7464" s="8" t="n">
        <v>46142.75</v>
      </c>
      <c r="C7464" s="8" t="n">
        <v>46143.25</v>
      </c>
      <c r="D7464" s="9">
        <f>(C7464-B7464)*24</f>
        <v/>
      </c>
      <c r="E7464" s="10">
        <f>IF(AND(HOUR(B7464)&gt;=6,HOUR(B7464)&lt;18),"Day Shift","Night Shift")</f>
        <v/>
      </c>
      <c r="F7464" s="11">
        <f>INT(B7464)</f>
        <v/>
      </c>
      <c r="G7464" s="11">
        <f>INT(C7464)</f>
        <v/>
      </c>
    </row>
    <row r="7465">
      <c r="A7465" s="2" t="inlineStr">
        <is>
          <t>EXD55</t>
        </is>
      </c>
      <c r="B7465" s="3" t="n">
        <v>46143.25</v>
      </c>
      <c r="C7465" s="3" t="n">
        <v>46143.75</v>
      </c>
      <c r="D7465" s="4">
        <f>(C7465-B7465)*24</f>
        <v/>
      </c>
      <c r="E7465" s="5">
        <f>IF(AND(HOUR(B7465)&gt;=6,HOUR(B7465)&lt;18),"Day Shift","Night Shift")</f>
        <v/>
      </c>
      <c r="F7465" s="6">
        <f>INT(B7465)</f>
        <v/>
      </c>
      <c r="G7465" s="6">
        <f>INT(C7465)</f>
        <v/>
      </c>
    </row>
    <row r="7466">
      <c r="A7466" s="7" t="inlineStr">
        <is>
          <t>EXD55</t>
        </is>
      </c>
      <c r="B7466" s="8" t="n">
        <v>46143.75</v>
      </c>
      <c r="C7466" s="8" t="n">
        <v>46144.25</v>
      </c>
      <c r="D7466" s="9">
        <f>(C7466-B7466)*24</f>
        <v/>
      </c>
      <c r="E7466" s="10">
        <f>IF(AND(HOUR(B7466)&gt;=6,HOUR(B7466)&lt;18),"Day Shift","Night Shift")</f>
        <v/>
      </c>
      <c r="F7466" s="11">
        <f>INT(B7466)</f>
        <v/>
      </c>
      <c r="G7466" s="11">
        <f>INT(C7466)</f>
        <v/>
      </c>
    </row>
    <row r="7467">
      <c r="A7467" s="2" t="inlineStr">
        <is>
          <t>EXD55</t>
        </is>
      </c>
      <c r="B7467" s="3" t="n">
        <v>46144.25</v>
      </c>
      <c r="C7467" s="3" t="n">
        <v>46144.75</v>
      </c>
      <c r="D7467" s="4">
        <f>(C7467-B7467)*24</f>
        <v/>
      </c>
      <c r="E7467" s="5">
        <f>IF(AND(HOUR(B7467)&gt;=6,HOUR(B7467)&lt;18),"Day Shift","Night Shift")</f>
        <v/>
      </c>
      <c r="F7467" s="6">
        <f>INT(B7467)</f>
        <v/>
      </c>
      <c r="G7467" s="6">
        <f>INT(C7467)</f>
        <v/>
      </c>
    </row>
    <row r="7468">
      <c r="A7468" s="7" t="inlineStr">
        <is>
          <t>EXD55</t>
        </is>
      </c>
      <c r="B7468" s="8" t="n">
        <v>46144.75</v>
      </c>
      <c r="C7468" s="8" t="n">
        <v>46145.25</v>
      </c>
      <c r="D7468" s="9">
        <f>(C7468-B7468)*24</f>
        <v/>
      </c>
      <c r="E7468" s="10">
        <f>IF(AND(HOUR(B7468)&gt;=6,HOUR(B7468)&lt;18),"Day Shift","Night Shift")</f>
        <v/>
      </c>
      <c r="F7468" s="11">
        <f>INT(B7468)</f>
        <v/>
      </c>
      <c r="G7468" s="11">
        <f>INT(C7468)</f>
        <v/>
      </c>
    </row>
    <row r="7469">
      <c r="A7469" s="2" t="inlineStr">
        <is>
          <t>EXD55</t>
        </is>
      </c>
      <c r="B7469" s="3" t="n">
        <v>46145.25</v>
      </c>
      <c r="C7469" s="3" t="n">
        <v>46145.75</v>
      </c>
      <c r="D7469" s="4">
        <f>(C7469-B7469)*24</f>
        <v/>
      </c>
      <c r="E7469" s="5">
        <f>IF(AND(HOUR(B7469)&gt;=6,HOUR(B7469)&lt;18),"Day Shift","Night Shift")</f>
        <v/>
      </c>
      <c r="F7469" s="6">
        <f>INT(B7469)</f>
        <v/>
      </c>
      <c r="G7469" s="6">
        <f>INT(C7469)</f>
        <v/>
      </c>
    </row>
    <row r="7470">
      <c r="A7470" s="7" t="inlineStr">
        <is>
          <t>EXD55</t>
        </is>
      </c>
      <c r="B7470" s="8" t="n">
        <v>46145.75</v>
      </c>
      <c r="C7470" s="8" t="n">
        <v>46146.25</v>
      </c>
      <c r="D7470" s="9">
        <f>(C7470-B7470)*24</f>
        <v/>
      </c>
      <c r="E7470" s="10">
        <f>IF(AND(HOUR(B7470)&gt;=6,HOUR(B7470)&lt;18),"Day Shift","Night Shift")</f>
        <v/>
      </c>
      <c r="F7470" s="11">
        <f>INT(B7470)</f>
        <v/>
      </c>
      <c r="G7470" s="11">
        <f>INT(C7470)</f>
        <v/>
      </c>
    </row>
    <row r="7471">
      <c r="A7471" s="2" t="inlineStr">
        <is>
          <t>EXD55</t>
        </is>
      </c>
      <c r="B7471" s="3" t="n">
        <v>46146.25</v>
      </c>
      <c r="C7471" s="3" t="n">
        <v>46146.63989583333</v>
      </c>
      <c r="D7471" s="4">
        <f>(C7471-B7471)*24</f>
        <v/>
      </c>
      <c r="E7471" s="5">
        <f>IF(AND(HOUR(B7471)&gt;=6,HOUR(B7471)&lt;18),"Day Shift","Night Shift")</f>
        <v/>
      </c>
      <c r="F7471" s="6">
        <f>INT(B7471)</f>
        <v/>
      </c>
      <c r="G7471" s="6">
        <f>INT(C7471)</f>
        <v/>
      </c>
    </row>
    <row r="7472">
      <c r="A7472" s="2" t="inlineStr">
        <is>
          <t>EDD175;EDD1932;EDD2134;EDD2541;EDD812;Sprint 1</t>
        </is>
      </c>
      <c r="B7472" s="3" t="n">
        <v>46139.66428240741</v>
      </c>
      <c r="C7472" s="3" t="n">
        <v>46139.75</v>
      </c>
      <c r="D7472" s="4">
        <f>(C7472-B7472)*24</f>
        <v/>
      </c>
      <c r="E7472" s="5">
        <f>IF(AND(HOUR(B7472)&gt;=6,HOUR(B7472)&lt;18),"Day Shift","Night Shift")</f>
        <v/>
      </c>
      <c r="F7472" s="6">
        <f>INT(B7472)</f>
        <v/>
      </c>
      <c r="G7472" s="6">
        <f>INT(C7472)</f>
        <v/>
      </c>
    </row>
    <row r="7473">
      <c r="A7473" s="7" t="inlineStr">
        <is>
          <t>EDD175;EDD1932;EDD2134;EDD2541;EDD812;Sprint 1</t>
        </is>
      </c>
      <c r="B7473" s="8" t="n">
        <v>46139.75</v>
      </c>
      <c r="C7473" s="8" t="n">
        <v>46140.13025462963</v>
      </c>
      <c r="D7473" s="9">
        <f>(C7473-B7473)*24</f>
        <v/>
      </c>
      <c r="E7473" s="10">
        <f>IF(AND(HOUR(B7473)&gt;=6,HOUR(B7473)&lt;18),"Day Shift","Night Shift")</f>
        <v/>
      </c>
      <c r="F7473" s="11">
        <f>INT(B7473)</f>
        <v/>
      </c>
      <c r="G7473" s="11">
        <f>INT(C7473)</f>
        <v/>
      </c>
    </row>
    <row r="7474">
      <c r="A7474" s="2" t="inlineStr">
        <is>
          <t>EXD98</t>
        </is>
      </c>
      <c r="B7474" s="3" t="n">
        <v>46139.67302083333</v>
      </c>
      <c r="C7474" s="3" t="n">
        <v>46139.75</v>
      </c>
      <c r="D7474" s="4">
        <f>(C7474-B7474)*24</f>
        <v/>
      </c>
      <c r="E7474" s="5">
        <f>IF(AND(HOUR(B7474)&gt;=6,HOUR(B7474)&lt;18),"Day Shift","Night Shift")</f>
        <v/>
      </c>
      <c r="F7474" s="6">
        <f>INT(B7474)</f>
        <v/>
      </c>
      <c r="G7474" s="6">
        <f>INT(C7474)</f>
        <v/>
      </c>
    </row>
    <row r="7475">
      <c r="A7475" s="7" t="inlineStr">
        <is>
          <t>EXD98</t>
        </is>
      </c>
      <c r="B7475" s="8" t="n">
        <v>46139.75</v>
      </c>
      <c r="C7475" s="8" t="n">
        <v>46140.25</v>
      </c>
      <c r="D7475" s="9">
        <f>(C7475-B7475)*24</f>
        <v/>
      </c>
      <c r="E7475" s="10">
        <f>IF(AND(HOUR(B7475)&gt;=6,HOUR(B7475)&lt;18),"Day Shift","Night Shift")</f>
        <v/>
      </c>
      <c r="F7475" s="11">
        <f>INT(B7475)</f>
        <v/>
      </c>
      <c r="G7475" s="11">
        <f>INT(C7475)</f>
        <v/>
      </c>
    </row>
    <row r="7476">
      <c r="A7476" s="2" t="inlineStr">
        <is>
          <t>EXD98</t>
        </is>
      </c>
      <c r="B7476" s="3" t="n">
        <v>46140.25</v>
      </c>
      <c r="C7476" s="3" t="n">
        <v>46140.75</v>
      </c>
      <c r="D7476" s="4">
        <f>(C7476-B7476)*24</f>
        <v/>
      </c>
      <c r="E7476" s="5">
        <f>IF(AND(HOUR(B7476)&gt;=6,HOUR(B7476)&lt;18),"Day Shift","Night Shift")</f>
        <v/>
      </c>
      <c r="F7476" s="6">
        <f>INT(B7476)</f>
        <v/>
      </c>
      <c r="G7476" s="6">
        <f>INT(C7476)</f>
        <v/>
      </c>
    </row>
    <row r="7477">
      <c r="A7477" s="7" t="inlineStr">
        <is>
          <t>EXD98</t>
        </is>
      </c>
      <c r="B7477" s="8" t="n">
        <v>46140.75</v>
      </c>
      <c r="C7477" s="8" t="n">
        <v>46141.25</v>
      </c>
      <c r="D7477" s="9">
        <f>(C7477-B7477)*24</f>
        <v/>
      </c>
      <c r="E7477" s="10">
        <f>IF(AND(HOUR(B7477)&gt;=6,HOUR(B7477)&lt;18),"Day Shift","Night Shift")</f>
        <v/>
      </c>
      <c r="F7477" s="11">
        <f>INT(B7477)</f>
        <v/>
      </c>
      <c r="G7477" s="11">
        <f>INT(C7477)</f>
        <v/>
      </c>
    </row>
    <row r="7478">
      <c r="A7478" s="2" t="inlineStr">
        <is>
          <t>EXD98</t>
        </is>
      </c>
      <c r="B7478" s="3" t="n">
        <v>46141.25</v>
      </c>
      <c r="C7478" s="3" t="n">
        <v>46141.47505787037</v>
      </c>
      <c r="D7478" s="4">
        <f>(C7478-B7478)*24</f>
        <v/>
      </c>
      <c r="E7478" s="5">
        <f>IF(AND(HOUR(B7478)&gt;=6,HOUR(B7478)&lt;18),"Day Shift","Night Shift")</f>
        <v/>
      </c>
      <c r="F7478" s="6">
        <f>INT(B7478)</f>
        <v/>
      </c>
      <c r="G7478" s="6">
        <f>INT(C7478)</f>
        <v/>
      </c>
    </row>
    <row r="7479">
      <c r="A7479" s="2" t="inlineStr">
        <is>
          <t>EXD407</t>
        </is>
      </c>
      <c r="B7479" s="3" t="n">
        <v>46139.71774305555</v>
      </c>
      <c r="C7479" s="3" t="n">
        <v>46139.75</v>
      </c>
      <c r="D7479" s="4">
        <f>(C7479-B7479)*24</f>
        <v/>
      </c>
      <c r="E7479" s="5">
        <f>IF(AND(HOUR(B7479)&gt;=6,HOUR(B7479)&lt;18),"Day Shift","Night Shift")</f>
        <v/>
      </c>
      <c r="F7479" s="6">
        <f>INT(B7479)</f>
        <v/>
      </c>
      <c r="G7479" s="6">
        <f>INT(C7479)</f>
        <v/>
      </c>
    </row>
    <row r="7480">
      <c r="A7480" s="7" t="inlineStr">
        <is>
          <t>EXD407</t>
        </is>
      </c>
      <c r="B7480" s="8" t="n">
        <v>46139.75</v>
      </c>
      <c r="C7480" s="8" t="n">
        <v>46140.05245370371</v>
      </c>
      <c r="D7480" s="9">
        <f>(C7480-B7480)*24</f>
        <v/>
      </c>
      <c r="E7480" s="10">
        <f>IF(AND(HOUR(B7480)&gt;=6,HOUR(B7480)&lt;18),"Day Shift","Night Shift")</f>
        <v/>
      </c>
      <c r="F7480" s="11">
        <f>INT(B7480)</f>
        <v/>
      </c>
      <c r="G7480" s="11">
        <f>INT(C7480)</f>
        <v/>
      </c>
    </row>
    <row r="7481">
      <c r="A7481" s="7" t="inlineStr">
        <is>
          <t>EXD60</t>
        </is>
      </c>
      <c r="B7481" s="8" t="n">
        <v>46139.82627314814</v>
      </c>
      <c r="C7481" s="8" t="n">
        <v>46140.03111111111</v>
      </c>
      <c r="D7481" s="9">
        <f>(C7481-B7481)*24</f>
        <v/>
      </c>
      <c r="E7481" s="10">
        <f>IF(AND(HOUR(B7481)&gt;=6,HOUR(B7481)&lt;18),"Day Shift","Night Shift")</f>
        <v/>
      </c>
      <c r="F7481" s="11">
        <f>INT(B7481)</f>
        <v/>
      </c>
      <c r="G7481" s="11">
        <f>INT(C7481)</f>
        <v/>
      </c>
    </row>
  </sheetData>
  <autoFilter ref="A1:G7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</cols>
  <sheetData>
    <row r="1" ht="20" customHeight="1">
      <c r="A1" s="1" t="inlineStr">
        <is>
          <t>Resource</t>
        </is>
      </c>
      <c r="B1" s="1" t="inlineStr">
        <is>
          <t>Day Shift (hrs)</t>
        </is>
      </c>
      <c r="C1" s="1" t="inlineStr">
        <is>
          <t>Night Shift (hrs)</t>
        </is>
      </c>
      <c r="D1" s="1" t="inlineStr">
        <is>
          <t>Total (hrs)</t>
        </is>
      </c>
    </row>
    <row r="2">
      <c r="A2" s="12" t="inlineStr">
        <is>
          <t>Blast</t>
        </is>
      </c>
      <c r="B2" s="13">
        <f>SUMIFS('Shift Split Data'!D:D,'Shift Split Data'!A:A,A2,'Shift Split Data'!E:E,"Day Shift")</f>
        <v/>
      </c>
      <c r="C2" s="13">
        <f>SUMIFS('Shift Split Data'!D:D,'Shift Split Data'!A:A,A2,'Shift Split Data'!E:E,"Night Shift")</f>
        <v/>
      </c>
      <c r="D2" s="13">
        <f>B2+C2</f>
        <v/>
      </c>
    </row>
    <row r="3">
      <c r="A3" s="14" t="inlineStr">
        <is>
          <t>Blast Crew</t>
        </is>
      </c>
      <c r="B3" s="15">
        <f>SUMIFS('Shift Split Data'!D:D,'Shift Split Data'!A:A,A3,'Shift Split Data'!E:E,"Day Shift")</f>
        <v/>
      </c>
      <c r="C3" s="15">
        <f>SUMIFS('Shift Split Data'!D:D,'Shift Split Data'!A:A,A3,'Shift Split Data'!E:E,"Night Shift")</f>
        <v/>
      </c>
      <c r="D3" s="15">
        <f>B3+C3</f>
        <v/>
      </c>
    </row>
    <row r="4">
      <c r="A4" s="12" t="inlineStr">
        <is>
          <t>Blast Crew DS</t>
        </is>
      </c>
      <c r="B4" s="13">
        <f>SUMIFS('Shift Split Data'!D:D,'Shift Split Data'!A:A,A4,'Shift Split Data'!E:E,"Day Shift")</f>
        <v/>
      </c>
      <c r="C4" s="13">
        <f>SUMIFS('Shift Split Data'!D:D,'Shift Split Data'!A:A,A4,'Shift Split Data'!E:E,"Night Shift")</f>
        <v/>
      </c>
      <c r="D4" s="13">
        <f>B4+C4</f>
        <v/>
      </c>
    </row>
    <row r="5">
      <c r="A5" s="14" t="inlineStr">
        <is>
          <t>DRE08</t>
        </is>
      </c>
      <c r="B5" s="15">
        <f>SUMIFS('Shift Split Data'!D:D,'Shift Split Data'!A:A,A5,'Shift Split Data'!E:E,"Day Shift")</f>
        <v/>
      </c>
      <c r="C5" s="15">
        <f>SUMIFS('Shift Split Data'!D:D,'Shift Split Data'!A:A,A5,'Shift Split Data'!E:E,"Night Shift")</f>
        <v/>
      </c>
      <c r="D5" s="15">
        <f>B5+C5</f>
        <v/>
      </c>
    </row>
    <row r="6">
      <c r="A6" s="12" t="inlineStr">
        <is>
          <t>DRE09</t>
        </is>
      </c>
      <c r="B6" s="13">
        <f>SUMIFS('Shift Split Data'!D:D,'Shift Split Data'!A:A,A6,'Shift Split Data'!E:E,"Day Shift")</f>
        <v/>
      </c>
      <c r="C6" s="13">
        <f>SUMIFS('Shift Split Data'!D:D,'Shift Split Data'!A:A,A6,'Shift Split Data'!E:E,"Night Shift")</f>
        <v/>
      </c>
      <c r="D6" s="13">
        <f>B6+C6</f>
        <v/>
      </c>
    </row>
    <row r="7">
      <c r="A7" s="14" t="inlineStr">
        <is>
          <t>DRE12</t>
        </is>
      </c>
      <c r="B7" s="15">
        <f>SUMIFS('Shift Split Data'!D:D,'Shift Split Data'!A:A,A7,'Shift Split Data'!E:E,"Day Shift")</f>
        <v/>
      </c>
      <c r="C7" s="15">
        <f>SUMIFS('Shift Split Data'!D:D,'Shift Split Data'!A:A,A7,'Shift Split Data'!E:E,"Night Shift")</f>
        <v/>
      </c>
      <c r="D7" s="15">
        <f>B7+C7</f>
        <v/>
      </c>
    </row>
    <row r="8">
      <c r="A8" s="12" t="inlineStr">
        <is>
          <t>DRE42</t>
        </is>
      </c>
      <c r="B8" s="13">
        <f>SUMIFS('Shift Split Data'!D:D,'Shift Split Data'!A:A,A8,'Shift Split Data'!E:E,"Day Shift")</f>
        <v/>
      </c>
      <c r="C8" s="13">
        <f>SUMIFS('Shift Split Data'!D:D,'Shift Split Data'!A:A,A8,'Shift Split Data'!E:E,"Night Shift")</f>
        <v/>
      </c>
      <c r="D8" s="13">
        <f>B8+C8</f>
        <v/>
      </c>
    </row>
    <row r="9">
      <c r="A9" s="14" t="inlineStr">
        <is>
          <t>EDD175</t>
        </is>
      </c>
      <c r="B9" s="15">
        <f>SUMIFS('Shift Split Data'!D:D,'Shift Split Data'!A:A,A9,'Shift Split Data'!E:E,"Day Shift")</f>
        <v/>
      </c>
      <c r="C9" s="15">
        <f>SUMIFS('Shift Split Data'!D:D,'Shift Split Data'!A:A,A9,'Shift Split Data'!E:E,"Night Shift")</f>
        <v/>
      </c>
      <c r="D9" s="15">
        <f>B9+C9</f>
        <v/>
      </c>
    </row>
    <row r="10">
      <c r="A10" s="12" t="inlineStr">
        <is>
          <t>EDD175;EDD1932</t>
        </is>
      </c>
      <c r="B10" s="13">
        <f>SUMIFS('Shift Split Data'!D:D,'Shift Split Data'!A:A,A10,'Shift Split Data'!E:E,"Day Shift")</f>
        <v/>
      </c>
      <c r="C10" s="13">
        <f>SUMIFS('Shift Split Data'!D:D,'Shift Split Data'!A:A,A10,'Shift Split Data'!E:E,"Night Shift")</f>
        <v/>
      </c>
      <c r="D10" s="13">
        <f>B10+C10</f>
        <v/>
      </c>
    </row>
    <row r="11">
      <c r="A11" s="14" t="inlineStr">
        <is>
          <t>EDD175;EDD1932;EDD2134;EDD2541</t>
        </is>
      </c>
      <c r="B11" s="15">
        <f>SUMIFS('Shift Split Data'!D:D,'Shift Split Data'!A:A,A11,'Shift Split Data'!E:E,"Day Shift")</f>
        <v/>
      </c>
      <c r="C11" s="15">
        <f>SUMIFS('Shift Split Data'!D:D,'Shift Split Data'!A:A,A11,'Shift Split Data'!E:E,"Night Shift")</f>
        <v/>
      </c>
      <c r="D11" s="15">
        <f>B11+C11</f>
        <v/>
      </c>
    </row>
    <row r="12">
      <c r="A12" s="12" t="inlineStr">
        <is>
          <t>EDD175;EDD1932;EDD2134;EDD2541;EDD812</t>
        </is>
      </c>
      <c r="B12" s="13">
        <f>SUMIFS('Shift Split Data'!D:D,'Shift Split Data'!A:A,A12,'Shift Split Data'!E:E,"Day Shift")</f>
        <v/>
      </c>
      <c r="C12" s="13">
        <f>SUMIFS('Shift Split Data'!D:D,'Shift Split Data'!A:A,A12,'Shift Split Data'!E:E,"Night Shift")</f>
        <v/>
      </c>
      <c r="D12" s="13">
        <f>B12+C12</f>
        <v/>
      </c>
    </row>
    <row r="13">
      <c r="A13" s="14" t="inlineStr">
        <is>
          <t>EDD175;EDD1932;EDD2134;EDD2541;EDD812;Sprint 1</t>
        </is>
      </c>
      <c r="B13" s="15">
        <f>SUMIFS('Shift Split Data'!D:D,'Shift Split Data'!A:A,A13,'Shift Split Data'!E:E,"Day Shift")</f>
        <v/>
      </c>
      <c r="C13" s="15">
        <f>SUMIFS('Shift Split Data'!D:D,'Shift Split Data'!A:A,A13,'Shift Split Data'!E:E,"Night Shift")</f>
        <v/>
      </c>
      <c r="D13" s="15">
        <f>B13+C13</f>
        <v/>
      </c>
    </row>
    <row r="14">
      <c r="A14" s="12" t="inlineStr">
        <is>
          <t>EDD175;EDD1932;EDD2134;EDD812</t>
        </is>
      </c>
      <c r="B14" s="13">
        <f>SUMIFS('Shift Split Data'!D:D,'Shift Split Data'!A:A,A14,'Shift Split Data'!E:E,"Day Shift")</f>
        <v/>
      </c>
      <c r="C14" s="13">
        <f>SUMIFS('Shift Split Data'!D:D,'Shift Split Data'!A:A,A14,'Shift Split Data'!E:E,"Night Shift")</f>
        <v/>
      </c>
      <c r="D14" s="13">
        <f>B14+C14</f>
        <v/>
      </c>
    </row>
    <row r="15">
      <c r="A15" s="14" t="inlineStr">
        <is>
          <t>EDD175;EDD1932;EDD2134;EDD812;EDD2541</t>
        </is>
      </c>
      <c r="B15" s="15">
        <f>SUMIFS('Shift Split Data'!D:D,'Shift Split Data'!A:A,A15,'Shift Split Data'!E:E,"Day Shift")</f>
        <v/>
      </c>
      <c r="C15" s="15">
        <f>SUMIFS('Shift Split Data'!D:D,'Shift Split Data'!A:A,A15,'Shift Split Data'!E:E,"Night Shift")</f>
        <v/>
      </c>
      <c r="D15" s="15">
        <f>B15+C15</f>
        <v/>
      </c>
    </row>
    <row r="16">
      <c r="A16" s="12" t="inlineStr">
        <is>
          <t>EDD175;EDD1932;EDD2134;EDD812;Sprint 1</t>
        </is>
      </c>
      <c r="B16" s="13">
        <f>SUMIFS('Shift Split Data'!D:D,'Shift Split Data'!A:A,A16,'Shift Split Data'!E:E,"Day Shift")</f>
        <v/>
      </c>
      <c r="C16" s="13">
        <f>SUMIFS('Shift Split Data'!D:D,'Shift Split Data'!A:A,A16,'Shift Split Data'!E:E,"Night Shift")</f>
        <v/>
      </c>
      <c r="D16" s="13">
        <f>B16+C16</f>
        <v/>
      </c>
    </row>
    <row r="17">
      <c r="A17" s="14" t="inlineStr">
        <is>
          <t>EDD175;EDD1932;EDD2134;EDD812;Sprint 1;EDD2541</t>
        </is>
      </c>
      <c r="B17" s="15">
        <f>SUMIFS('Shift Split Data'!D:D,'Shift Split Data'!A:A,A17,'Shift Split Data'!E:E,"Day Shift")</f>
        <v/>
      </c>
      <c r="C17" s="15">
        <f>SUMIFS('Shift Split Data'!D:D,'Shift Split Data'!A:A,A17,'Shift Split Data'!E:E,"Night Shift")</f>
        <v/>
      </c>
      <c r="D17" s="15">
        <f>B17+C17</f>
        <v/>
      </c>
    </row>
    <row r="18">
      <c r="A18" s="12" t="inlineStr">
        <is>
          <t>EDD175;EDD1932;EDD2541;EDD812</t>
        </is>
      </c>
      <c r="B18" s="13">
        <f>SUMIFS('Shift Split Data'!D:D,'Shift Split Data'!A:A,A18,'Shift Split Data'!E:E,"Day Shift")</f>
        <v/>
      </c>
      <c r="C18" s="13">
        <f>SUMIFS('Shift Split Data'!D:D,'Shift Split Data'!A:A,A18,'Shift Split Data'!E:E,"Night Shift")</f>
        <v/>
      </c>
      <c r="D18" s="13">
        <f>B18+C18</f>
        <v/>
      </c>
    </row>
    <row r="19">
      <c r="A19" s="14" t="inlineStr">
        <is>
          <t>EDD175;EDD1932;EDD2541;EDD812;EDD2134</t>
        </is>
      </c>
      <c r="B19" s="15">
        <f>SUMIFS('Shift Split Data'!D:D,'Shift Split Data'!A:A,A19,'Shift Split Data'!E:E,"Day Shift")</f>
        <v/>
      </c>
      <c r="C19" s="15">
        <f>SUMIFS('Shift Split Data'!D:D,'Shift Split Data'!A:A,A19,'Shift Split Data'!E:E,"Night Shift")</f>
        <v/>
      </c>
      <c r="D19" s="15">
        <f>B19+C19</f>
        <v/>
      </c>
    </row>
    <row r="20">
      <c r="A20" s="12" t="inlineStr">
        <is>
          <t>EDD175;EDD1932;EDD2541;EDD812;Sprint 1;EDD2134</t>
        </is>
      </c>
      <c r="B20" s="13">
        <f>SUMIFS('Shift Split Data'!D:D,'Shift Split Data'!A:A,A20,'Shift Split Data'!E:E,"Day Shift")</f>
        <v/>
      </c>
      <c r="C20" s="13">
        <f>SUMIFS('Shift Split Data'!D:D,'Shift Split Data'!A:A,A20,'Shift Split Data'!E:E,"Night Shift")</f>
        <v/>
      </c>
      <c r="D20" s="13">
        <f>B20+C20</f>
        <v/>
      </c>
    </row>
    <row r="21">
      <c r="A21" s="14" t="inlineStr">
        <is>
          <t>EDD175;EDD1932;EDD812</t>
        </is>
      </c>
      <c r="B21" s="15">
        <f>SUMIFS('Shift Split Data'!D:D,'Shift Split Data'!A:A,A21,'Shift Split Data'!E:E,"Day Shift")</f>
        <v/>
      </c>
      <c r="C21" s="15">
        <f>SUMIFS('Shift Split Data'!D:D,'Shift Split Data'!A:A,A21,'Shift Split Data'!E:E,"Night Shift")</f>
        <v/>
      </c>
      <c r="D21" s="15">
        <f>B21+C21</f>
        <v/>
      </c>
    </row>
    <row r="22">
      <c r="A22" s="12" t="inlineStr">
        <is>
          <t>EDD175;EDD1932;EDD812;EDD2134</t>
        </is>
      </c>
      <c r="B22" s="13">
        <f>SUMIFS('Shift Split Data'!D:D,'Shift Split Data'!A:A,A22,'Shift Split Data'!E:E,"Day Shift")</f>
        <v/>
      </c>
      <c r="C22" s="13">
        <f>SUMIFS('Shift Split Data'!D:D,'Shift Split Data'!A:A,A22,'Shift Split Data'!E:E,"Night Shift")</f>
        <v/>
      </c>
      <c r="D22" s="13">
        <f>B22+C22</f>
        <v/>
      </c>
    </row>
    <row r="23">
      <c r="A23" s="14" t="inlineStr">
        <is>
          <t>EDD175;EDD2134</t>
        </is>
      </c>
      <c r="B23" s="15">
        <f>SUMIFS('Shift Split Data'!D:D,'Shift Split Data'!A:A,A23,'Shift Split Data'!E:E,"Day Shift")</f>
        <v/>
      </c>
      <c r="C23" s="15">
        <f>SUMIFS('Shift Split Data'!D:D,'Shift Split Data'!A:A,A23,'Shift Split Data'!E:E,"Night Shift")</f>
        <v/>
      </c>
      <c r="D23" s="15">
        <f>B23+C23</f>
        <v/>
      </c>
    </row>
    <row r="24">
      <c r="A24" s="12" t="inlineStr">
        <is>
          <t>EDD175;EDD2134;EDD2541</t>
        </is>
      </c>
      <c r="B24" s="13">
        <f>SUMIFS('Shift Split Data'!D:D,'Shift Split Data'!A:A,A24,'Shift Split Data'!E:E,"Day Shift")</f>
        <v/>
      </c>
      <c r="C24" s="13">
        <f>SUMIFS('Shift Split Data'!D:D,'Shift Split Data'!A:A,A24,'Shift Split Data'!E:E,"Night Shift")</f>
        <v/>
      </c>
      <c r="D24" s="13">
        <f>B24+C24</f>
        <v/>
      </c>
    </row>
    <row r="25">
      <c r="A25" s="14" t="inlineStr">
        <is>
          <t>EDD175;EDD2134;EDD812</t>
        </is>
      </c>
      <c r="B25" s="15">
        <f>SUMIFS('Shift Split Data'!D:D,'Shift Split Data'!A:A,A25,'Shift Split Data'!E:E,"Day Shift")</f>
        <v/>
      </c>
      <c r="C25" s="15">
        <f>SUMIFS('Shift Split Data'!D:D,'Shift Split Data'!A:A,A25,'Shift Split Data'!E:E,"Night Shift")</f>
        <v/>
      </c>
      <c r="D25" s="15">
        <f>B25+C25</f>
        <v/>
      </c>
    </row>
    <row r="26">
      <c r="A26" s="12" t="inlineStr">
        <is>
          <t>EDD175;EDD2134;EDD812;Sprint 1</t>
        </is>
      </c>
      <c r="B26" s="13">
        <f>SUMIFS('Shift Split Data'!D:D,'Shift Split Data'!A:A,A26,'Shift Split Data'!E:E,"Day Shift")</f>
        <v/>
      </c>
      <c r="C26" s="13">
        <f>SUMIFS('Shift Split Data'!D:D,'Shift Split Data'!A:A,A26,'Shift Split Data'!E:E,"Night Shift")</f>
        <v/>
      </c>
      <c r="D26" s="13">
        <f>B26+C26</f>
        <v/>
      </c>
    </row>
    <row r="27">
      <c r="A27" s="14" t="inlineStr">
        <is>
          <t>EDD175;EDD812</t>
        </is>
      </c>
      <c r="B27" s="15">
        <f>SUMIFS('Shift Split Data'!D:D,'Shift Split Data'!A:A,A27,'Shift Split Data'!E:E,"Day Shift")</f>
        <v/>
      </c>
      <c r="C27" s="15">
        <f>SUMIFS('Shift Split Data'!D:D,'Shift Split Data'!A:A,A27,'Shift Split Data'!E:E,"Night Shift")</f>
        <v/>
      </c>
      <c r="D27" s="15">
        <f>B27+C27</f>
        <v/>
      </c>
    </row>
    <row r="28">
      <c r="A28" s="12" t="inlineStr">
        <is>
          <t>EDD1932</t>
        </is>
      </c>
      <c r="B28" s="13">
        <f>SUMIFS('Shift Split Data'!D:D,'Shift Split Data'!A:A,A28,'Shift Split Data'!E:E,"Day Shift")</f>
        <v/>
      </c>
      <c r="C28" s="13">
        <f>SUMIFS('Shift Split Data'!D:D,'Shift Split Data'!A:A,A28,'Shift Split Data'!E:E,"Night Shift")</f>
        <v/>
      </c>
      <c r="D28" s="13">
        <f>B28+C28</f>
        <v/>
      </c>
    </row>
    <row r="29">
      <c r="A29" s="14" t="inlineStr">
        <is>
          <t>EDD1932;EDD2134;EDD2541</t>
        </is>
      </c>
      <c r="B29" s="15">
        <f>SUMIFS('Shift Split Data'!D:D,'Shift Split Data'!A:A,A29,'Shift Split Data'!E:E,"Day Shift")</f>
        <v/>
      </c>
      <c r="C29" s="15">
        <f>SUMIFS('Shift Split Data'!D:D,'Shift Split Data'!A:A,A29,'Shift Split Data'!E:E,"Night Shift")</f>
        <v/>
      </c>
      <c r="D29" s="15">
        <f>B29+C29</f>
        <v/>
      </c>
    </row>
    <row r="30">
      <c r="A30" s="12" t="inlineStr">
        <is>
          <t>EDD1932;EDD2134;EDD2541;EDD812;Sprint 1</t>
        </is>
      </c>
      <c r="B30" s="13">
        <f>SUMIFS('Shift Split Data'!D:D,'Shift Split Data'!A:A,A30,'Shift Split Data'!E:E,"Day Shift")</f>
        <v/>
      </c>
      <c r="C30" s="13">
        <f>SUMIFS('Shift Split Data'!D:D,'Shift Split Data'!A:A,A30,'Shift Split Data'!E:E,"Night Shift")</f>
        <v/>
      </c>
      <c r="D30" s="13">
        <f>B30+C30</f>
        <v/>
      </c>
    </row>
    <row r="31">
      <c r="A31" s="14" t="inlineStr">
        <is>
          <t>EDD1932;EDD2541</t>
        </is>
      </c>
      <c r="B31" s="15">
        <f>SUMIFS('Shift Split Data'!D:D,'Shift Split Data'!A:A,A31,'Shift Split Data'!E:E,"Day Shift")</f>
        <v/>
      </c>
      <c r="C31" s="15">
        <f>SUMIFS('Shift Split Data'!D:D,'Shift Split Data'!A:A,A31,'Shift Split Data'!E:E,"Night Shift")</f>
        <v/>
      </c>
      <c r="D31" s="15">
        <f>B31+C31</f>
        <v/>
      </c>
    </row>
    <row r="32">
      <c r="A32" s="12" t="inlineStr">
        <is>
          <t>EDD1932;EDD2541;EDD2134</t>
        </is>
      </c>
      <c r="B32" s="13">
        <f>SUMIFS('Shift Split Data'!D:D,'Shift Split Data'!A:A,A32,'Shift Split Data'!E:E,"Day Shift")</f>
        <v/>
      </c>
      <c r="C32" s="13">
        <f>SUMIFS('Shift Split Data'!D:D,'Shift Split Data'!A:A,A32,'Shift Split Data'!E:E,"Night Shift")</f>
        <v/>
      </c>
      <c r="D32" s="13">
        <f>B32+C32</f>
        <v/>
      </c>
    </row>
    <row r="33">
      <c r="A33" s="14" t="inlineStr">
        <is>
          <t>EDD1932;EDD2541;EDD812</t>
        </is>
      </c>
      <c r="B33" s="15">
        <f>SUMIFS('Shift Split Data'!D:D,'Shift Split Data'!A:A,A33,'Shift Split Data'!E:E,"Day Shift")</f>
        <v/>
      </c>
      <c r="C33" s="15">
        <f>SUMIFS('Shift Split Data'!D:D,'Shift Split Data'!A:A,A33,'Shift Split Data'!E:E,"Night Shift")</f>
        <v/>
      </c>
      <c r="D33" s="15">
        <f>B33+C33</f>
        <v/>
      </c>
    </row>
    <row r="34">
      <c r="A34" s="12" t="inlineStr">
        <is>
          <t>EDD1932;EDD2541;EDD812;EDD175</t>
        </is>
      </c>
      <c r="B34" s="13">
        <f>SUMIFS('Shift Split Data'!D:D,'Shift Split Data'!A:A,A34,'Shift Split Data'!E:E,"Day Shift")</f>
        <v/>
      </c>
      <c r="C34" s="13">
        <f>SUMIFS('Shift Split Data'!D:D,'Shift Split Data'!A:A,A34,'Shift Split Data'!E:E,"Night Shift")</f>
        <v/>
      </c>
      <c r="D34" s="13">
        <f>B34+C34</f>
        <v/>
      </c>
    </row>
    <row r="35">
      <c r="A35" s="14" t="inlineStr">
        <is>
          <t>EDD1932;EDD812</t>
        </is>
      </c>
      <c r="B35" s="15">
        <f>SUMIFS('Shift Split Data'!D:D,'Shift Split Data'!A:A,A35,'Shift Split Data'!E:E,"Day Shift")</f>
        <v/>
      </c>
      <c r="C35" s="15">
        <f>SUMIFS('Shift Split Data'!D:D,'Shift Split Data'!A:A,A35,'Shift Split Data'!E:E,"Night Shift")</f>
        <v/>
      </c>
      <c r="D35" s="15">
        <f>B35+C35</f>
        <v/>
      </c>
    </row>
    <row r="36">
      <c r="A36" s="12" t="inlineStr">
        <is>
          <t>EDD2134</t>
        </is>
      </c>
      <c r="B36" s="13">
        <f>SUMIFS('Shift Split Data'!D:D,'Shift Split Data'!A:A,A36,'Shift Split Data'!E:E,"Day Shift")</f>
        <v/>
      </c>
      <c r="C36" s="13">
        <f>SUMIFS('Shift Split Data'!D:D,'Shift Split Data'!A:A,A36,'Shift Split Data'!E:E,"Night Shift")</f>
        <v/>
      </c>
      <c r="D36" s="13">
        <f>B36+C36</f>
        <v/>
      </c>
    </row>
    <row r="37">
      <c r="A37" s="14" t="inlineStr">
        <is>
          <t>EDD2134;EDD175</t>
        </is>
      </c>
      <c r="B37" s="15">
        <f>SUMIFS('Shift Split Data'!D:D,'Shift Split Data'!A:A,A37,'Shift Split Data'!E:E,"Day Shift")</f>
        <v/>
      </c>
      <c r="C37" s="15">
        <f>SUMIFS('Shift Split Data'!D:D,'Shift Split Data'!A:A,A37,'Shift Split Data'!E:E,"Night Shift")</f>
        <v/>
      </c>
      <c r="D37" s="15">
        <f>B37+C37</f>
        <v/>
      </c>
    </row>
    <row r="38">
      <c r="A38" s="12" t="inlineStr">
        <is>
          <t>EDD2134;EDD175;EDD1932;EDD812</t>
        </is>
      </c>
      <c r="B38" s="13">
        <f>SUMIFS('Shift Split Data'!D:D,'Shift Split Data'!A:A,A38,'Shift Split Data'!E:E,"Day Shift")</f>
        <v/>
      </c>
      <c r="C38" s="13">
        <f>SUMIFS('Shift Split Data'!D:D,'Shift Split Data'!A:A,A38,'Shift Split Data'!E:E,"Night Shift")</f>
        <v/>
      </c>
      <c r="D38" s="13">
        <f>B38+C38</f>
        <v/>
      </c>
    </row>
    <row r="39">
      <c r="A39" s="14" t="inlineStr">
        <is>
          <t>EDD2134;EDD2541</t>
        </is>
      </c>
      <c r="B39" s="15">
        <f>SUMIFS('Shift Split Data'!D:D,'Shift Split Data'!A:A,A39,'Shift Split Data'!E:E,"Day Shift")</f>
        <v/>
      </c>
      <c r="C39" s="15">
        <f>SUMIFS('Shift Split Data'!D:D,'Shift Split Data'!A:A,A39,'Shift Split Data'!E:E,"Night Shift")</f>
        <v/>
      </c>
      <c r="D39" s="15">
        <f>B39+C39</f>
        <v/>
      </c>
    </row>
    <row r="40">
      <c r="A40" s="12" t="inlineStr">
        <is>
          <t>EDD2134;EDD2541;EDD175</t>
        </is>
      </c>
      <c r="B40" s="13">
        <f>SUMIFS('Shift Split Data'!D:D,'Shift Split Data'!A:A,A40,'Shift Split Data'!E:E,"Day Shift")</f>
        <v/>
      </c>
      <c r="C40" s="13">
        <f>SUMIFS('Shift Split Data'!D:D,'Shift Split Data'!A:A,A40,'Shift Split Data'!E:E,"Night Shift")</f>
        <v/>
      </c>
      <c r="D40" s="13">
        <f>B40+C40</f>
        <v/>
      </c>
    </row>
    <row r="41">
      <c r="A41" s="14" t="inlineStr">
        <is>
          <t>EDD2134;EDD2541;EDD812</t>
        </is>
      </c>
      <c r="B41" s="15">
        <f>SUMIFS('Shift Split Data'!D:D,'Shift Split Data'!A:A,A41,'Shift Split Data'!E:E,"Day Shift")</f>
        <v/>
      </c>
      <c r="C41" s="15">
        <f>SUMIFS('Shift Split Data'!D:D,'Shift Split Data'!A:A,A41,'Shift Split Data'!E:E,"Night Shift")</f>
        <v/>
      </c>
      <c r="D41" s="15">
        <f>B41+C41</f>
        <v/>
      </c>
    </row>
    <row r="42">
      <c r="A42" s="12" t="inlineStr">
        <is>
          <t>EDD2134;EDD2541;EDD812;EDD175;EDD1932</t>
        </is>
      </c>
      <c r="B42" s="13">
        <f>SUMIFS('Shift Split Data'!D:D,'Shift Split Data'!A:A,A42,'Shift Split Data'!E:E,"Day Shift")</f>
        <v/>
      </c>
      <c r="C42" s="13">
        <f>SUMIFS('Shift Split Data'!D:D,'Shift Split Data'!A:A,A42,'Shift Split Data'!E:E,"Night Shift")</f>
        <v/>
      </c>
      <c r="D42" s="13">
        <f>B42+C42</f>
        <v/>
      </c>
    </row>
    <row r="43">
      <c r="A43" s="14" t="inlineStr">
        <is>
          <t>EDD2134;EDD2541;EDD812;Sprint 1;EDD175;EDD1932</t>
        </is>
      </c>
      <c r="B43" s="15">
        <f>SUMIFS('Shift Split Data'!D:D,'Shift Split Data'!A:A,A43,'Shift Split Data'!E:E,"Day Shift")</f>
        <v/>
      </c>
      <c r="C43" s="15">
        <f>SUMIFS('Shift Split Data'!D:D,'Shift Split Data'!A:A,A43,'Shift Split Data'!E:E,"Night Shift")</f>
        <v/>
      </c>
      <c r="D43" s="15">
        <f>B43+C43</f>
        <v/>
      </c>
    </row>
    <row r="44">
      <c r="A44" s="12" t="inlineStr">
        <is>
          <t>EDD2134;EDD812;EDD2541;EDD175;EDD1932</t>
        </is>
      </c>
      <c r="B44" s="13">
        <f>SUMIFS('Shift Split Data'!D:D,'Shift Split Data'!A:A,A44,'Shift Split Data'!E:E,"Day Shift")</f>
        <v/>
      </c>
      <c r="C44" s="13">
        <f>SUMIFS('Shift Split Data'!D:D,'Shift Split Data'!A:A,A44,'Shift Split Data'!E:E,"Night Shift")</f>
        <v/>
      </c>
      <c r="D44" s="13">
        <f>B44+C44</f>
        <v/>
      </c>
    </row>
    <row r="45">
      <c r="A45" s="14" t="inlineStr">
        <is>
          <t>EDD2541</t>
        </is>
      </c>
      <c r="B45" s="15">
        <f>SUMIFS('Shift Split Data'!D:D,'Shift Split Data'!A:A,A45,'Shift Split Data'!E:E,"Day Shift")</f>
        <v/>
      </c>
      <c r="C45" s="15">
        <f>SUMIFS('Shift Split Data'!D:D,'Shift Split Data'!A:A,A45,'Shift Split Data'!E:E,"Night Shift")</f>
        <v/>
      </c>
      <c r="D45" s="15">
        <f>B45+C45</f>
        <v/>
      </c>
    </row>
    <row r="46">
      <c r="A46" s="12" t="inlineStr">
        <is>
          <t>EDD2541;EDD175;EDD1932;EDD2134;EDD812</t>
        </is>
      </c>
      <c r="B46" s="13">
        <f>SUMIFS('Shift Split Data'!D:D,'Shift Split Data'!A:A,A46,'Shift Split Data'!E:E,"Day Shift")</f>
        <v/>
      </c>
      <c r="C46" s="13">
        <f>SUMIFS('Shift Split Data'!D:D,'Shift Split Data'!A:A,A46,'Shift Split Data'!E:E,"Night Shift")</f>
        <v/>
      </c>
      <c r="D46" s="13">
        <f>B46+C46</f>
        <v/>
      </c>
    </row>
    <row r="47">
      <c r="A47" s="14" t="inlineStr">
        <is>
          <t>EDD2541;EDD1932</t>
        </is>
      </c>
      <c r="B47" s="15">
        <f>SUMIFS('Shift Split Data'!D:D,'Shift Split Data'!A:A,A47,'Shift Split Data'!E:E,"Day Shift")</f>
        <v/>
      </c>
      <c r="C47" s="15">
        <f>SUMIFS('Shift Split Data'!D:D,'Shift Split Data'!A:A,A47,'Shift Split Data'!E:E,"Night Shift")</f>
        <v/>
      </c>
      <c r="D47" s="15">
        <f>B47+C47</f>
        <v/>
      </c>
    </row>
    <row r="48">
      <c r="A48" s="12" t="inlineStr">
        <is>
          <t>EDD2541;EDD2134;EDD812</t>
        </is>
      </c>
      <c r="B48" s="13">
        <f>SUMIFS('Shift Split Data'!D:D,'Shift Split Data'!A:A,A48,'Shift Split Data'!E:E,"Day Shift")</f>
        <v/>
      </c>
      <c r="C48" s="13">
        <f>SUMIFS('Shift Split Data'!D:D,'Shift Split Data'!A:A,A48,'Shift Split Data'!E:E,"Night Shift")</f>
        <v/>
      </c>
      <c r="D48" s="13">
        <f>B48+C48</f>
        <v/>
      </c>
    </row>
    <row r="49">
      <c r="A49" s="14" t="inlineStr">
        <is>
          <t>EDD2541;EDD812;EDD175;EDD1932</t>
        </is>
      </c>
      <c r="B49" s="15">
        <f>SUMIFS('Shift Split Data'!D:D,'Shift Split Data'!A:A,A49,'Shift Split Data'!E:E,"Day Shift")</f>
        <v/>
      </c>
      <c r="C49" s="15">
        <f>SUMIFS('Shift Split Data'!D:D,'Shift Split Data'!A:A,A49,'Shift Split Data'!E:E,"Night Shift")</f>
        <v/>
      </c>
      <c r="D49" s="15">
        <f>B49+C49</f>
        <v/>
      </c>
    </row>
    <row r="50">
      <c r="A50" s="12" t="inlineStr">
        <is>
          <t>EDD2541;Sprint 1</t>
        </is>
      </c>
      <c r="B50" s="13">
        <f>SUMIFS('Shift Split Data'!D:D,'Shift Split Data'!A:A,A50,'Shift Split Data'!E:E,"Day Shift")</f>
        <v/>
      </c>
      <c r="C50" s="13">
        <f>SUMIFS('Shift Split Data'!D:D,'Shift Split Data'!A:A,A50,'Shift Split Data'!E:E,"Night Shift")</f>
        <v/>
      </c>
      <c r="D50" s="13">
        <f>B50+C50</f>
        <v/>
      </c>
    </row>
    <row r="51">
      <c r="A51" s="14" t="inlineStr">
        <is>
          <t>EDD812</t>
        </is>
      </c>
      <c r="B51" s="15">
        <f>SUMIFS('Shift Split Data'!D:D,'Shift Split Data'!A:A,A51,'Shift Split Data'!E:E,"Day Shift")</f>
        <v/>
      </c>
      <c r="C51" s="15">
        <f>SUMIFS('Shift Split Data'!D:D,'Shift Split Data'!A:A,A51,'Shift Split Data'!E:E,"Night Shift")</f>
        <v/>
      </c>
      <c r="D51" s="15">
        <f>B51+C51</f>
        <v/>
      </c>
    </row>
    <row r="52">
      <c r="A52" s="12" t="inlineStr">
        <is>
          <t>EDD812;EDD175;EDD2134</t>
        </is>
      </c>
      <c r="B52" s="13">
        <f>SUMIFS('Shift Split Data'!D:D,'Shift Split Data'!A:A,A52,'Shift Split Data'!E:E,"Day Shift")</f>
        <v/>
      </c>
      <c r="C52" s="13">
        <f>SUMIFS('Shift Split Data'!D:D,'Shift Split Data'!A:A,A52,'Shift Split Data'!E:E,"Night Shift")</f>
        <v/>
      </c>
      <c r="D52" s="13">
        <f>B52+C52</f>
        <v/>
      </c>
    </row>
    <row r="53">
      <c r="A53" s="14" t="inlineStr">
        <is>
          <t>EDD812;EDD1932</t>
        </is>
      </c>
      <c r="B53" s="15">
        <f>SUMIFS('Shift Split Data'!D:D,'Shift Split Data'!A:A,A53,'Shift Split Data'!E:E,"Day Shift")</f>
        <v/>
      </c>
      <c r="C53" s="15">
        <f>SUMIFS('Shift Split Data'!D:D,'Shift Split Data'!A:A,A53,'Shift Split Data'!E:E,"Night Shift")</f>
        <v/>
      </c>
      <c r="D53" s="15">
        <f>B53+C53</f>
        <v/>
      </c>
    </row>
    <row r="54">
      <c r="A54" s="12" t="inlineStr">
        <is>
          <t>EXD100</t>
        </is>
      </c>
      <c r="B54" s="13">
        <f>SUMIFS('Shift Split Data'!D:D,'Shift Split Data'!A:A,A54,'Shift Split Data'!E:E,"Day Shift")</f>
        <v/>
      </c>
      <c r="C54" s="13">
        <f>SUMIFS('Shift Split Data'!D:D,'Shift Split Data'!A:A,A54,'Shift Split Data'!E:E,"Night Shift")</f>
        <v/>
      </c>
      <c r="D54" s="13">
        <f>B54+C54</f>
        <v/>
      </c>
    </row>
    <row r="55">
      <c r="A55" s="14" t="inlineStr">
        <is>
          <t>EXD101</t>
        </is>
      </c>
      <c r="B55" s="15">
        <f>SUMIFS('Shift Split Data'!D:D,'Shift Split Data'!A:A,A55,'Shift Split Data'!E:E,"Day Shift")</f>
        <v/>
      </c>
      <c r="C55" s="15">
        <f>SUMIFS('Shift Split Data'!D:D,'Shift Split Data'!A:A,A55,'Shift Split Data'!E:E,"Night Shift")</f>
        <v/>
      </c>
      <c r="D55" s="15">
        <f>B55+C55</f>
        <v/>
      </c>
    </row>
    <row r="56">
      <c r="A56" s="12" t="inlineStr">
        <is>
          <t>EXD407</t>
        </is>
      </c>
      <c r="B56" s="13">
        <f>SUMIFS('Shift Split Data'!D:D,'Shift Split Data'!A:A,A56,'Shift Split Data'!E:E,"Day Shift")</f>
        <v/>
      </c>
      <c r="C56" s="13">
        <f>SUMIFS('Shift Split Data'!D:D,'Shift Split Data'!A:A,A56,'Shift Split Data'!E:E,"Night Shift")</f>
        <v/>
      </c>
      <c r="D56" s="13">
        <f>B56+C56</f>
        <v/>
      </c>
    </row>
    <row r="57">
      <c r="A57" s="14" t="inlineStr">
        <is>
          <t>EXD407;EXD408</t>
        </is>
      </c>
      <c r="B57" s="15">
        <f>SUMIFS('Shift Split Data'!D:D,'Shift Split Data'!A:A,A57,'Shift Split Data'!E:E,"Day Shift")</f>
        <v/>
      </c>
      <c r="C57" s="15">
        <f>SUMIFS('Shift Split Data'!D:D,'Shift Split Data'!A:A,A57,'Shift Split Data'!E:E,"Night Shift")</f>
        <v/>
      </c>
      <c r="D57" s="15">
        <f>B57+C57</f>
        <v/>
      </c>
    </row>
    <row r="58">
      <c r="A58" s="12" t="inlineStr">
        <is>
          <t>EXD407;EXD409</t>
        </is>
      </c>
      <c r="B58" s="13">
        <f>SUMIFS('Shift Split Data'!D:D,'Shift Split Data'!A:A,A58,'Shift Split Data'!E:E,"Day Shift")</f>
        <v/>
      </c>
      <c r="C58" s="13">
        <f>SUMIFS('Shift Split Data'!D:D,'Shift Split Data'!A:A,A58,'Shift Split Data'!E:E,"Night Shift")</f>
        <v/>
      </c>
      <c r="D58" s="13">
        <f>B58+C58</f>
        <v/>
      </c>
    </row>
    <row r="59">
      <c r="A59" s="14" t="inlineStr">
        <is>
          <t>EXD408</t>
        </is>
      </c>
      <c r="B59" s="15">
        <f>SUMIFS('Shift Split Data'!D:D,'Shift Split Data'!A:A,A59,'Shift Split Data'!E:E,"Day Shift")</f>
        <v/>
      </c>
      <c r="C59" s="15">
        <f>SUMIFS('Shift Split Data'!D:D,'Shift Split Data'!A:A,A59,'Shift Split Data'!E:E,"Night Shift")</f>
        <v/>
      </c>
      <c r="D59" s="15">
        <f>B59+C59</f>
        <v/>
      </c>
    </row>
    <row r="60">
      <c r="A60" s="12" t="inlineStr">
        <is>
          <t>EXD408;EXD407</t>
        </is>
      </c>
      <c r="B60" s="13">
        <f>SUMIFS('Shift Split Data'!D:D,'Shift Split Data'!A:A,A60,'Shift Split Data'!E:E,"Day Shift")</f>
        <v/>
      </c>
      <c r="C60" s="13">
        <f>SUMIFS('Shift Split Data'!D:D,'Shift Split Data'!A:A,A60,'Shift Split Data'!E:E,"Night Shift")</f>
        <v/>
      </c>
      <c r="D60" s="13">
        <f>B60+C60</f>
        <v/>
      </c>
    </row>
    <row r="61">
      <c r="A61" s="14" t="inlineStr">
        <is>
          <t>EXD408;EXD98</t>
        </is>
      </c>
      <c r="B61" s="15">
        <f>SUMIFS('Shift Split Data'!D:D,'Shift Split Data'!A:A,A61,'Shift Split Data'!E:E,"Day Shift")</f>
        <v/>
      </c>
      <c r="C61" s="15">
        <f>SUMIFS('Shift Split Data'!D:D,'Shift Split Data'!A:A,A61,'Shift Split Data'!E:E,"Night Shift")</f>
        <v/>
      </c>
      <c r="D61" s="15">
        <f>B61+C61</f>
        <v/>
      </c>
    </row>
    <row r="62">
      <c r="A62" s="12" t="inlineStr">
        <is>
          <t>EXD409</t>
        </is>
      </c>
      <c r="B62" s="13">
        <f>SUMIFS('Shift Split Data'!D:D,'Shift Split Data'!A:A,A62,'Shift Split Data'!E:E,"Day Shift")</f>
        <v/>
      </c>
      <c r="C62" s="13">
        <f>SUMIFS('Shift Split Data'!D:D,'Shift Split Data'!A:A,A62,'Shift Split Data'!E:E,"Night Shift")</f>
        <v/>
      </c>
      <c r="D62" s="13">
        <f>B62+C62</f>
        <v/>
      </c>
    </row>
    <row r="63">
      <c r="A63" s="14" t="inlineStr">
        <is>
          <t>EXD51</t>
        </is>
      </c>
      <c r="B63" s="15">
        <f>SUMIFS('Shift Split Data'!D:D,'Shift Split Data'!A:A,A63,'Shift Split Data'!E:E,"Day Shift")</f>
        <v/>
      </c>
      <c r="C63" s="15">
        <f>SUMIFS('Shift Split Data'!D:D,'Shift Split Data'!A:A,A63,'Shift Split Data'!E:E,"Night Shift")</f>
        <v/>
      </c>
      <c r="D63" s="15">
        <f>B63+C63</f>
        <v/>
      </c>
    </row>
    <row r="64">
      <c r="A64" s="12" t="inlineStr">
        <is>
          <t>EXD51;EXD55</t>
        </is>
      </c>
      <c r="B64" s="13">
        <f>SUMIFS('Shift Split Data'!D:D,'Shift Split Data'!A:A,A64,'Shift Split Data'!E:E,"Day Shift")</f>
        <v/>
      </c>
      <c r="C64" s="13">
        <f>SUMIFS('Shift Split Data'!D:D,'Shift Split Data'!A:A,A64,'Shift Split Data'!E:E,"Night Shift")</f>
        <v/>
      </c>
      <c r="D64" s="13">
        <f>B64+C64</f>
        <v/>
      </c>
    </row>
    <row r="65">
      <c r="A65" s="14" t="inlineStr">
        <is>
          <t>EXD51;LDW262</t>
        </is>
      </c>
      <c r="B65" s="15">
        <f>SUMIFS('Shift Split Data'!D:D,'Shift Split Data'!A:A,A65,'Shift Split Data'!E:E,"Day Shift")</f>
        <v/>
      </c>
      <c r="C65" s="15">
        <f>SUMIFS('Shift Split Data'!D:D,'Shift Split Data'!A:A,A65,'Shift Split Data'!E:E,"Night Shift")</f>
        <v/>
      </c>
      <c r="D65" s="15">
        <f>B65+C65</f>
        <v/>
      </c>
    </row>
    <row r="66">
      <c r="A66" s="12" t="inlineStr">
        <is>
          <t>EXD52</t>
        </is>
      </c>
      <c r="B66" s="13">
        <f>SUMIFS('Shift Split Data'!D:D,'Shift Split Data'!A:A,A66,'Shift Split Data'!E:E,"Day Shift")</f>
        <v/>
      </c>
      <c r="C66" s="13">
        <f>SUMIFS('Shift Split Data'!D:D,'Shift Split Data'!A:A,A66,'Shift Split Data'!E:E,"Night Shift")</f>
        <v/>
      </c>
      <c r="D66" s="13">
        <f>B66+C66</f>
        <v/>
      </c>
    </row>
    <row r="67">
      <c r="A67" s="14" t="inlineStr">
        <is>
          <t>EXD52;LDW262</t>
        </is>
      </c>
      <c r="B67" s="15">
        <f>SUMIFS('Shift Split Data'!D:D,'Shift Split Data'!A:A,A67,'Shift Split Data'!E:E,"Day Shift")</f>
        <v/>
      </c>
      <c r="C67" s="15">
        <f>SUMIFS('Shift Split Data'!D:D,'Shift Split Data'!A:A,A67,'Shift Split Data'!E:E,"Night Shift")</f>
        <v/>
      </c>
      <c r="D67" s="15">
        <f>B67+C67</f>
        <v/>
      </c>
    </row>
    <row r="68">
      <c r="A68" s="12" t="inlineStr">
        <is>
          <t>EXD55</t>
        </is>
      </c>
      <c r="B68" s="13">
        <f>SUMIFS('Shift Split Data'!D:D,'Shift Split Data'!A:A,A68,'Shift Split Data'!E:E,"Day Shift")</f>
        <v/>
      </c>
      <c r="C68" s="13">
        <f>SUMIFS('Shift Split Data'!D:D,'Shift Split Data'!A:A,A68,'Shift Split Data'!E:E,"Night Shift")</f>
        <v/>
      </c>
      <c r="D68" s="13">
        <f>B68+C68</f>
        <v/>
      </c>
    </row>
    <row r="69">
      <c r="A69" s="14" t="inlineStr">
        <is>
          <t>EXD55;EXD51</t>
        </is>
      </c>
      <c r="B69" s="15">
        <f>SUMIFS('Shift Split Data'!D:D,'Shift Split Data'!A:A,A69,'Shift Split Data'!E:E,"Day Shift")</f>
        <v/>
      </c>
      <c r="C69" s="15">
        <f>SUMIFS('Shift Split Data'!D:D,'Shift Split Data'!A:A,A69,'Shift Split Data'!E:E,"Night Shift")</f>
        <v/>
      </c>
      <c r="D69" s="15">
        <f>B69+C69</f>
        <v/>
      </c>
    </row>
    <row r="70">
      <c r="A70" s="12" t="inlineStr">
        <is>
          <t>EXD56</t>
        </is>
      </c>
      <c r="B70" s="13">
        <f>SUMIFS('Shift Split Data'!D:D,'Shift Split Data'!A:A,A70,'Shift Split Data'!E:E,"Day Shift")</f>
        <v/>
      </c>
      <c r="C70" s="13">
        <f>SUMIFS('Shift Split Data'!D:D,'Shift Split Data'!A:A,A70,'Shift Split Data'!E:E,"Night Shift")</f>
        <v/>
      </c>
      <c r="D70" s="13">
        <f>B70+C70</f>
        <v/>
      </c>
    </row>
    <row r="71">
      <c r="A71" s="14" t="inlineStr">
        <is>
          <t>EXD56;EXD73</t>
        </is>
      </c>
      <c r="B71" s="15">
        <f>SUMIFS('Shift Split Data'!D:D,'Shift Split Data'!A:A,A71,'Shift Split Data'!E:E,"Day Shift")</f>
        <v/>
      </c>
      <c r="C71" s="15">
        <f>SUMIFS('Shift Split Data'!D:D,'Shift Split Data'!A:A,A71,'Shift Split Data'!E:E,"Night Shift")</f>
        <v/>
      </c>
      <c r="D71" s="15">
        <f>B71+C71</f>
        <v/>
      </c>
    </row>
    <row r="72">
      <c r="A72" s="12" t="inlineStr">
        <is>
          <t>EXD60</t>
        </is>
      </c>
      <c r="B72" s="13">
        <f>SUMIFS('Shift Split Data'!D:D,'Shift Split Data'!A:A,A72,'Shift Split Data'!E:E,"Day Shift")</f>
        <v/>
      </c>
      <c r="C72" s="13">
        <f>SUMIFS('Shift Split Data'!D:D,'Shift Split Data'!A:A,A72,'Shift Split Data'!E:E,"Night Shift")</f>
        <v/>
      </c>
      <c r="D72" s="13">
        <f>B72+C72</f>
        <v/>
      </c>
    </row>
    <row r="73">
      <c r="A73" s="14" t="inlineStr">
        <is>
          <t>EXD61</t>
        </is>
      </c>
      <c r="B73" s="15">
        <f>SUMIFS('Shift Split Data'!D:D,'Shift Split Data'!A:A,A73,'Shift Split Data'!E:E,"Day Shift")</f>
        <v/>
      </c>
      <c r="C73" s="15">
        <f>SUMIFS('Shift Split Data'!D:D,'Shift Split Data'!A:A,A73,'Shift Split Data'!E:E,"Night Shift")</f>
        <v/>
      </c>
      <c r="D73" s="15">
        <f>B73+C73</f>
        <v/>
      </c>
    </row>
    <row r="74">
      <c r="A74" s="12" t="inlineStr">
        <is>
          <t>EXD61;EXD73</t>
        </is>
      </c>
      <c r="B74" s="13">
        <f>SUMIFS('Shift Split Data'!D:D,'Shift Split Data'!A:A,A74,'Shift Split Data'!E:E,"Day Shift")</f>
        <v/>
      </c>
      <c r="C74" s="13">
        <f>SUMIFS('Shift Split Data'!D:D,'Shift Split Data'!A:A,A74,'Shift Split Data'!E:E,"Night Shift")</f>
        <v/>
      </c>
      <c r="D74" s="13">
        <f>B74+C74</f>
        <v/>
      </c>
    </row>
    <row r="75">
      <c r="A75" s="14" t="inlineStr">
        <is>
          <t>EXD73</t>
        </is>
      </c>
      <c r="B75" s="15">
        <f>SUMIFS('Shift Split Data'!D:D,'Shift Split Data'!A:A,A75,'Shift Split Data'!E:E,"Day Shift")</f>
        <v/>
      </c>
      <c r="C75" s="15">
        <f>SUMIFS('Shift Split Data'!D:D,'Shift Split Data'!A:A,A75,'Shift Split Data'!E:E,"Night Shift")</f>
        <v/>
      </c>
      <c r="D75" s="15">
        <f>B75+C75</f>
        <v/>
      </c>
    </row>
    <row r="76">
      <c r="A76" s="12" t="inlineStr">
        <is>
          <t>EXD73;EXD61</t>
        </is>
      </c>
      <c r="B76" s="13">
        <f>SUMIFS('Shift Split Data'!D:D,'Shift Split Data'!A:A,A76,'Shift Split Data'!E:E,"Day Shift")</f>
        <v/>
      </c>
      <c r="C76" s="13">
        <f>SUMIFS('Shift Split Data'!D:D,'Shift Split Data'!A:A,A76,'Shift Split Data'!E:E,"Night Shift")</f>
        <v/>
      </c>
      <c r="D76" s="13">
        <f>B76+C76</f>
        <v/>
      </c>
    </row>
    <row r="77">
      <c r="A77" s="14" t="inlineStr">
        <is>
          <t>EXD98</t>
        </is>
      </c>
      <c r="B77" s="15">
        <f>SUMIFS('Shift Split Data'!D:D,'Shift Split Data'!A:A,A77,'Shift Split Data'!E:E,"Day Shift")</f>
        <v/>
      </c>
      <c r="C77" s="15">
        <f>SUMIFS('Shift Split Data'!D:D,'Shift Split Data'!A:A,A77,'Shift Split Data'!E:E,"Night Shift")</f>
        <v/>
      </c>
      <c r="D77" s="15">
        <f>B77+C77</f>
        <v/>
      </c>
    </row>
    <row r="78">
      <c r="A78" s="12" t="inlineStr">
        <is>
          <t>EXD98;EXD408</t>
        </is>
      </c>
      <c r="B78" s="13">
        <f>SUMIFS('Shift Split Data'!D:D,'Shift Split Data'!A:A,A78,'Shift Split Data'!E:E,"Day Shift")</f>
        <v/>
      </c>
      <c r="C78" s="13">
        <f>SUMIFS('Shift Split Data'!D:D,'Shift Split Data'!A:A,A78,'Shift Split Data'!E:E,"Night Shift")</f>
        <v/>
      </c>
      <c r="D78" s="13">
        <f>B78+C78</f>
        <v/>
      </c>
    </row>
    <row r="79">
      <c r="A79" s="14" t="inlineStr">
        <is>
          <t>LDW262</t>
        </is>
      </c>
      <c r="B79" s="15">
        <f>SUMIFS('Shift Split Data'!D:D,'Shift Split Data'!A:A,A79,'Shift Split Data'!E:E,"Day Shift")</f>
        <v/>
      </c>
      <c r="C79" s="15">
        <f>SUMIFS('Shift Split Data'!D:D,'Shift Split Data'!A:A,A79,'Shift Split Data'!E:E,"Night Shift")</f>
        <v/>
      </c>
      <c r="D79" s="15">
        <f>B79+C79</f>
        <v/>
      </c>
    </row>
    <row r="80">
      <c r="A80" s="12" t="inlineStr">
        <is>
          <t>LDW262;EXD51</t>
        </is>
      </c>
      <c r="B80" s="13">
        <f>SUMIFS('Shift Split Data'!D:D,'Shift Split Data'!A:A,A80,'Shift Split Data'!E:E,"Day Shift")</f>
        <v/>
      </c>
      <c r="C80" s="13">
        <f>SUMIFS('Shift Split Data'!D:D,'Shift Split Data'!A:A,A80,'Shift Split Data'!E:E,"Night Shift")</f>
        <v/>
      </c>
      <c r="D80" s="13">
        <f>B80+C80</f>
        <v/>
      </c>
    </row>
    <row r="81">
      <c r="A81" s="14" t="inlineStr">
        <is>
          <t>LDW262;EXD52</t>
        </is>
      </c>
      <c r="B81" s="15">
        <f>SUMIFS('Shift Split Data'!D:D,'Shift Split Data'!A:A,A81,'Shift Split Data'!E:E,"Day Shift")</f>
        <v/>
      </c>
      <c r="C81" s="15">
        <f>SUMIFS('Shift Split Data'!D:D,'Shift Split Data'!A:A,A81,'Shift Split Data'!E:E,"Night Shift")</f>
        <v/>
      </c>
      <c r="D81" s="15">
        <f>B81+C81</f>
        <v/>
      </c>
    </row>
    <row r="82">
      <c r="A82" s="12" t="inlineStr">
        <is>
          <t>LDW262;LDW265</t>
        </is>
      </c>
      <c r="B82" s="13">
        <f>SUMIFS('Shift Split Data'!D:D,'Shift Split Data'!A:A,A82,'Shift Split Data'!E:E,"Day Shift")</f>
        <v/>
      </c>
      <c r="C82" s="13">
        <f>SUMIFS('Shift Split Data'!D:D,'Shift Split Data'!A:A,A82,'Shift Split Data'!E:E,"Night Shift")</f>
        <v/>
      </c>
      <c r="D82" s="13">
        <f>B82+C82</f>
        <v/>
      </c>
    </row>
    <row r="83">
      <c r="A83" s="14" t="inlineStr">
        <is>
          <t>LDW265</t>
        </is>
      </c>
      <c r="B83" s="15">
        <f>SUMIFS('Shift Split Data'!D:D,'Shift Split Data'!A:A,A83,'Shift Split Data'!E:E,"Day Shift")</f>
        <v/>
      </c>
      <c r="C83" s="15">
        <f>SUMIFS('Shift Split Data'!D:D,'Shift Split Data'!A:A,A83,'Shift Split Data'!E:E,"Night Shift")</f>
        <v/>
      </c>
      <c r="D83" s="15">
        <f>B83+C83</f>
        <v/>
      </c>
    </row>
    <row r="84">
      <c r="A84" s="12" t="inlineStr">
        <is>
          <t>LDW265;LDW262</t>
        </is>
      </c>
      <c r="B84" s="13">
        <f>SUMIFS('Shift Split Data'!D:D,'Shift Split Data'!A:A,A84,'Shift Split Data'!E:E,"Day Shift")</f>
        <v/>
      </c>
      <c r="C84" s="13">
        <f>SUMIFS('Shift Split Data'!D:D,'Shift Split Data'!A:A,A84,'Shift Split Data'!E:E,"Night Shift")</f>
        <v/>
      </c>
      <c r="D84" s="13">
        <f>B84+C84</f>
        <v/>
      </c>
    </row>
    <row r="85">
      <c r="A85" s="14" t="inlineStr">
        <is>
          <t>R02S Blockage</t>
        </is>
      </c>
      <c r="B85" s="15">
        <f>SUMIFS('Shift Split Data'!D:D,'Shift Split Data'!A:A,A85,'Shift Split Data'!E:E,"Day Shift")</f>
        <v/>
      </c>
      <c r="C85" s="15">
        <f>SUMIFS('Shift Split Data'!D:D,'Shift Split Data'!A:A,A85,'Shift Split Data'!E:E,"Night Shift")</f>
        <v/>
      </c>
      <c r="D85" s="15">
        <f>B85+C85</f>
        <v/>
      </c>
    </row>
    <row r="86">
      <c r="A86" s="12" t="inlineStr">
        <is>
          <t>R04N Blockage</t>
        </is>
      </c>
      <c r="B86" s="13">
        <f>SUMIFS('Shift Split Data'!D:D,'Shift Split Data'!A:A,A86,'Shift Split Data'!E:E,"Day Shift")</f>
        <v/>
      </c>
      <c r="C86" s="13">
        <f>SUMIFS('Shift Split Data'!D:D,'Shift Split Data'!A:A,A86,'Shift Split Data'!E:E,"Night Shift")</f>
        <v/>
      </c>
      <c r="D86" s="13">
        <f>B86+C86</f>
        <v/>
      </c>
    </row>
    <row r="87">
      <c r="A87" s="14" t="inlineStr">
        <is>
          <t>R04S Blockage</t>
        </is>
      </c>
      <c r="B87" s="15">
        <f>SUMIFS('Shift Split Data'!D:D,'Shift Split Data'!A:A,A87,'Shift Split Data'!E:E,"Day Shift")</f>
        <v/>
      </c>
      <c r="C87" s="15">
        <f>SUMIFS('Shift Split Data'!D:D,'Shift Split Data'!A:A,A87,'Shift Split Data'!E:E,"Night Shift")</f>
        <v/>
      </c>
      <c r="D87" s="15">
        <f>B87+C87</f>
        <v/>
      </c>
    </row>
    <row r="88">
      <c r="A88" s="12" t="inlineStr">
        <is>
          <t>R07N Blockage</t>
        </is>
      </c>
      <c r="B88" s="13">
        <f>SUMIFS('Shift Split Data'!D:D,'Shift Split Data'!A:A,A88,'Shift Split Data'!E:E,"Day Shift")</f>
        <v/>
      </c>
      <c r="C88" s="13">
        <f>SUMIFS('Shift Split Data'!D:D,'Shift Split Data'!A:A,A88,'Shift Split Data'!E:E,"Night Shift")</f>
        <v/>
      </c>
      <c r="D88" s="13">
        <f>B88+C88</f>
        <v/>
      </c>
    </row>
    <row r="89">
      <c r="A89" s="14" t="inlineStr">
        <is>
          <t>R11S Blockage</t>
        </is>
      </c>
      <c r="B89" s="15">
        <f>SUMIFS('Shift Split Data'!D:D,'Shift Split Data'!A:A,A89,'Shift Split Data'!E:E,"Day Shift")</f>
        <v/>
      </c>
      <c r="C89" s="15">
        <f>SUMIFS('Shift Split Data'!D:D,'Shift Split Data'!A:A,A89,'Shift Split Data'!E:E,"Night Shift")</f>
        <v/>
      </c>
      <c r="D89" s="15">
        <f>B89+C89</f>
        <v/>
      </c>
    </row>
    <row r="90">
      <c r="A90" s="12" t="inlineStr">
        <is>
          <t>SHE36</t>
        </is>
      </c>
      <c r="B90" s="13">
        <f>SUMIFS('Shift Split Data'!D:D,'Shift Split Data'!A:A,A90,'Shift Split Data'!E:E,"Day Shift")</f>
        <v/>
      </c>
      <c r="C90" s="13">
        <f>SUMIFS('Shift Split Data'!D:D,'Shift Split Data'!A:A,A90,'Shift Split Data'!E:E,"Night Shift")</f>
        <v/>
      </c>
      <c r="D90" s="13">
        <f>B90+C90</f>
        <v/>
      </c>
    </row>
    <row r="91">
      <c r="A91" s="14" t="inlineStr">
        <is>
          <t>SHE36;EXD101</t>
        </is>
      </c>
      <c r="B91" s="15">
        <f>SUMIFS('Shift Split Data'!D:D,'Shift Split Data'!A:A,A91,'Shift Split Data'!E:E,"Day Shift")</f>
        <v/>
      </c>
      <c r="C91" s="15">
        <f>SUMIFS('Shift Split Data'!D:D,'Shift Split Data'!A:A,A91,'Shift Split Data'!E:E,"Night Shift")</f>
        <v/>
      </c>
      <c r="D91" s="15">
        <f>B91+C91</f>
        <v/>
      </c>
    </row>
    <row r="92">
      <c r="A92" s="12" t="inlineStr">
        <is>
          <t>Sprint 1</t>
        </is>
      </c>
      <c r="B92" s="13">
        <f>SUMIFS('Shift Split Data'!D:D,'Shift Split Data'!A:A,A92,'Shift Split Data'!E:E,"Day Shift")</f>
        <v/>
      </c>
      <c r="C92" s="13">
        <f>SUMIFS('Shift Split Data'!D:D,'Shift Split Data'!A:A,A92,'Shift Split Data'!E:E,"Night Shift")</f>
        <v/>
      </c>
      <c r="D92" s="13">
        <f>B92+C92</f>
        <v/>
      </c>
    </row>
    <row r="93">
      <c r="A93" s="14" t="inlineStr">
        <is>
          <t>Sprint 1;EDD175;EDD1932;EDD2134;EDD2541;EDD812</t>
        </is>
      </c>
      <c r="B93" s="15">
        <f>SUMIFS('Shift Split Data'!D:D,'Shift Split Data'!A:A,A93,'Shift Split Data'!E:E,"Day Shift")</f>
        <v/>
      </c>
      <c r="C93" s="15">
        <f>SUMIFS('Shift Split Data'!D:D,'Shift Split Data'!A:A,A93,'Shift Split Data'!E:E,"Night Shift")</f>
        <v/>
      </c>
      <c r="D93" s="15">
        <f>B93+C93</f>
        <v/>
      </c>
    </row>
    <row r="94">
      <c r="A94" s="12" t="inlineStr">
        <is>
          <t>Sprint 1;EDD2541</t>
        </is>
      </c>
      <c r="B94" s="13">
        <f>SUMIFS('Shift Split Data'!D:D,'Shift Split Data'!A:A,A94,'Shift Split Data'!E:E,"Day Shift")</f>
        <v/>
      </c>
      <c r="C94" s="13">
        <f>SUMIFS('Shift Split Data'!D:D,'Shift Split Data'!A:A,A94,'Shift Split Data'!E:E,"Night Shift")</f>
        <v/>
      </c>
      <c r="D94" s="13">
        <f>B94+C94</f>
        <v/>
      </c>
    </row>
    <row r="95">
      <c r="A95" s="14" t="inlineStr">
        <is>
          <t>Stag Drill</t>
        </is>
      </c>
      <c r="B95" s="15">
        <f>SUMIFS('Shift Split Data'!D:D,'Shift Split Data'!A:A,A95,'Shift Split Data'!E:E,"Day Shift")</f>
        <v/>
      </c>
      <c r="C95" s="15">
        <f>SUMIFS('Shift Split Data'!D:D,'Shift Split Data'!A:A,A95,'Shift Split Data'!E:E,"Night Shift")</f>
        <v/>
      </c>
      <c r="D95" s="15">
        <f>B95+C95</f>
        <v/>
      </c>
    </row>
  </sheetData>
  <autoFilter ref="A1:D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18" customHeight="1">
      <c r="A1" s="1" t="inlineStr">
        <is>
          <t>COLUMN</t>
        </is>
      </c>
      <c r="B1" s="1" t="inlineStr">
        <is>
          <t>EXCEL FORMULA (B=Start DateTime, C=End DateTime)</t>
        </is>
      </c>
    </row>
    <row r="2" ht="18" customHeight="1">
      <c r="A2" s="16" t="inlineStr">
        <is>
          <t>D  Duration (decimal hrs)</t>
        </is>
      </c>
      <c r="B2" s="17">
        <f>(C2-B2)*24</f>
        <v/>
      </c>
    </row>
    <row r="3" ht="18" customHeight="1">
      <c r="A3" s="18" t="inlineStr">
        <is>
          <t>E  Shift Type</t>
        </is>
      </c>
      <c r="B3" s="19">
        <f>IF(AND(HOUR(B2)&gt;=6,HOUR(B2)&lt;18),"Day Shift","Night Shift")</f>
        <v/>
      </c>
    </row>
    <row r="4" ht="18" customHeight="1">
      <c r="A4" s="16" t="inlineStr">
        <is>
          <t>F  Start Date only</t>
        </is>
      </c>
      <c r="B4" s="17">
        <f>INT(B2)     → format cell as DD/MM/YYYY</f>
        <v/>
      </c>
    </row>
    <row r="5" ht="18" customHeight="1">
      <c r="A5" s="18" t="inlineStr">
        <is>
          <t>G  End Date only</t>
        </is>
      </c>
      <c r="B5" s="19">
        <f>INT(C2)     → format cell as DD/MM/YYYY</f>
        <v/>
      </c>
    </row>
    <row r="6" ht="18" customHeight="1">
      <c r="A6" s="16" t="inlineStr">
        <is>
          <t>—  Start Time only</t>
        </is>
      </c>
      <c r="B6" s="17">
        <f>MOD(B2,1)   → format cell as HH:MM:SS</f>
        <v/>
      </c>
    </row>
    <row r="7" ht="18" customHeight="1">
      <c r="A7" s="18" t="inlineStr">
        <is>
          <t>—  End Time only</t>
        </is>
      </c>
      <c r="B7" s="19">
        <f>MOD(C2,1)   → format cell as HH:MM:SS</f>
        <v/>
      </c>
    </row>
    <row r="8" ht="18" customHeight="1">
      <c r="A8" s="16" t="inlineStr">
        <is>
          <t>—  Duration hh:mm:ss</t>
        </is>
      </c>
      <c r="B8" s="17">
        <f>C2-B2       → format cell as [h]:mm:ss</f>
        <v/>
      </c>
    </row>
    <row r="9" ht="18" customHeight="1">
      <c r="A9" s="18" t="inlineStr">
        <is>
          <t>—  Is Day Shift?</t>
        </is>
      </c>
      <c r="B9" s="19">
        <f>AND(HOUR(B2)&gt;=6,HOUR(B2)&lt;18)</f>
        <v/>
      </c>
    </row>
    <row r="10" ht="18" customHeight="1">
      <c r="A10" s="16" t="inlineStr">
        <is>
          <t>—  Is Night Shift?</t>
        </is>
      </c>
      <c r="B10" s="17">
        <f>OR(HOUR(B2)&gt;=18,HOUR(B2)&lt;6)</f>
        <v/>
      </c>
    </row>
    <row r="11" ht="18" customHeight="1">
      <c r="A11" s="18" t="inlineStr">
        <is>
          <t>—  Spans shift boundary?</t>
        </is>
      </c>
      <c r="B11" s="19">
        <f>IF(AND(HOUR(B2)&gt;=6,HOUR(B2)&lt;18),HOUR(C2)&gt;=18,AND(INT(C2)&gt;=INT(B2)+1,HOUR(C2)&gt;=6))</f>
        <v/>
      </c>
    </row>
    <row r="12" ht="18" customHeight="1">
      <c r="A12" s="16" t="inlineStr">
        <is>
          <t>Summary: Day hrs per res</t>
        </is>
      </c>
      <c r="B12" s="17">
        <f>SUMIFS(D:D,A:A,"EXD60",E:E,"Day Shift")</f>
        <v/>
      </c>
    </row>
    <row r="13" ht="18" customHeight="1">
      <c r="A13" s="18" t="inlineStr">
        <is>
          <t>Summary: Night hrs per res</t>
        </is>
      </c>
      <c r="B13" s="19">
        <f>SUMIFS(D:D,A:A,"EXD60",E:E,"Night Shift")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2026-05-11T07:22:42Z</dcterms:created>
  <dcterms:modified xsi:type="dcterms:W3CDTF">2026-05-11T07:22:44Z</dcterms:modified>
</cp:coreProperties>
</file>